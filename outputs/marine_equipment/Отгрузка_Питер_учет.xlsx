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Расходы и доставка" sheetId="2" state="visible" r:id="rId2"/>
    <sheet name="Отгрузка" sheetId="3" state="visible" r:id="rId3"/>
    <sheet name="Итоги по состоянию" sheetId="4" state="visible" r:id="rId4"/>
  </sheets>
  <definedNames>
    <definedName name="_xlnm._FilterDatabase" localSheetId="2" hidden="1">'Отгрузка'!$A$4:$Y$149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#,##0.00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EAF3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0" borderId="1" pivotButton="0" quotePrefix="0" xfId="0"/>
    <xf numFmtId="3" fontId="0" fillId="3" borderId="1" pivotButton="0" quotePrefix="0" xfId="0"/>
    <xf numFmtId="0" fontId="0" fillId="0" borderId="1" pivotButton="0" quotePrefix="0" xfId="0"/>
    <xf numFmtId="0" fontId="3" fillId="0" borderId="0" pivotButton="0" quotePrefix="0" xfId="0"/>
    <xf numFmtId="3" fontId="3" fillId="4" borderId="1" pivotButton="0" quotePrefix="0" xfId="0"/>
    <xf numFmtId="0" fontId="5" fillId="3" borderId="1" pivotButton="0" quotePrefix="0" xfId="0"/>
    <xf numFmtId="0" fontId="5" fillId="0" borderId="0" pivotButton="0" quotePrefix="0" xfId="0"/>
    <xf numFmtId="164" fontId="3" fillId="4" borderId="1" pivotButton="0" quotePrefix="0" xfId="0"/>
    <xf numFmtId="4" fontId="3" fillId="4" borderId="1" pivotButton="0" quotePrefix="0" xfId="0"/>
    <xf numFmtId="165" fontId="3" fillId="4" borderId="1" pivotButton="0" quotePrefix="0" xfId="0"/>
    <xf numFmtId="0" fontId="5" fillId="3" borderId="1" applyAlignment="1" pivotButton="0" quotePrefix="0" xfId="0">
      <alignment vertical="top"/>
    </xf>
    <xf numFmtId="3" fontId="5" fillId="4" borderId="1" applyAlignment="1" pivotButton="0" quotePrefix="0" xfId="0">
      <alignment vertical="top"/>
    </xf>
    <xf numFmtId="166" fontId="5" fillId="0" borderId="1" applyAlignment="1" pivotButton="0" quotePrefix="0" xfId="0">
      <alignment vertical="top"/>
    </xf>
    <xf numFmtId="10" fontId="5" fillId="4" borderId="1" applyAlignment="1" pivotButton="0" quotePrefix="0" xfId="0">
      <alignment vertical="top"/>
    </xf>
    <xf numFmtId="4" fontId="5" fillId="4" borderId="1" applyAlignment="1" pivotButton="0" quotePrefix="0" xfId="0">
      <alignment vertical="top"/>
    </xf>
    <xf numFmtId="3" fontId="5" fillId="3" borderId="1" applyAlignment="1" pivotButton="0" quotePrefix="0" xfId="0">
      <alignment vertical="top"/>
    </xf>
    <xf numFmtId="165" fontId="5" fillId="4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3" fontId="3" fillId="0" borderId="1" pivotButton="0" quotePrefix="0" xfId="0"/>
    <xf numFmtId="164" fontId="3" fillId="0" borderId="1" pivotButton="0" quotePrefix="0" xfId="0"/>
    <xf numFmtId="3" fontId="5" fillId="0" borderId="1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88" customWidth="1" min="3" max="3"/>
  </cols>
  <sheetData>
    <row r="1">
      <c r="A1" s="1" t="inlineStr">
        <is>
          <t>Как вести этот файл</t>
        </is>
      </c>
    </row>
    <row r="2">
      <c r="A2" s="2" t="inlineStr">
        <is>
          <t>Желтое — вводим руками. Зеленое — считается. Файл ведется во время погрузки, а не после отправки.</t>
        </is>
      </c>
    </row>
    <row r="4" ht="22" customHeight="1">
      <c r="A4" s="3" t="inlineStr">
        <is>
          <t>№</t>
        </is>
      </c>
      <c r="B4" s="3" t="inlineStr">
        <is>
          <t>Правило</t>
        </is>
      </c>
      <c r="C4" s="3" t="inlineStr">
        <is>
          <t>Почему так</t>
        </is>
      </c>
    </row>
    <row r="5" ht="56" customHeight="1">
      <c r="A5" s="4" t="n">
        <v>1</v>
      </c>
      <c r="B5" s="5" t="inlineStr">
        <is>
          <t>Состояние ставим при погрузке, не после</t>
        </is>
      </c>
      <c r="C5" s="5" t="inlineStr">
        <is>
          <t>Позицию все равно берут в руки и кладут в ящик — тогда и видно, новая она или б/у. В учете состояние проставлено только у 54 позиций из 810, по остальным его просто нет. Заполнить потом по памяти не получится.</t>
        </is>
      </c>
    </row>
    <row r="6" ht="56" customHeight="1">
      <c r="A6" s="4" t="n">
        <v>2</v>
      </c>
      <c r="B6" s="5" t="inlineStr">
        <is>
          <t>Новое и б/у не смешиваем в одном месте</t>
        </is>
      </c>
      <c r="C6" s="5" t="inlineStr">
        <is>
          <t>Покупатель принимает груз по упаковочному листу. Если в ящике лежит и новое, и б/у, спор о состоянии придет на весь ящик.</t>
        </is>
      </c>
    </row>
    <row r="7" ht="56" customHeight="1">
      <c r="A7" s="4" t="n">
        <v>3</v>
      </c>
      <c r="B7" s="5" t="inlineStr">
        <is>
          <t>Сначала расходы, потом цены</t>
        </is>
      </c>
      <c r="C7" s="5" t="inlineStr">
        <is>
          <t>Доставка разносится от суммы на листе расходов. Пока там нули, колонка «Доставка на ед.» будет нулевой, и цена с доставкой совпадет с ценой товара.</t>
        </is>
      </c>
    </row>
    <row r="8" ht="56" customHeight="1">
      <c r="A8" s="4" t="n">
        <v>4</v>
      </c>
      <c r="B8" s="5" t="inlineStr">
        <is>
          <t>Разносим по весу</t>
        </is>
      </c>
      <c r="C8" s="5" t="inlineStr">
        <is>
          <t>За контейнер платят за тонны, поэтому доставка ложится на вес. На задвижке Ду250 это будут тысячи рублей на штуку, на штуцерном клапане — рубли. Разнести поровну на штуку значит завысить цену мелочи и занизить цену тяжелой арматуры.</t>
        </is>
      </c>
    </row>
    <row r="9" ht="56" customHeight="1">
      <c r="A9" s="4" t="n">
        <v>5</v>
      </c>
      <c r="B9" s="5" t="inlineStr">
        <is>
          <t>Вес можно заменить на фактический</t>
        </is>
      </c>
      <c r="C9" s="5" t="inlineStr">
        <is>
          <t>Колонка «Вес ед.» желтая: там стоит справочная масса с погрешностью около трети. Взвесили место — впишите факт, разнесение пересчитается.</t>
        </is>
      </c>
    </row>
    <row r="10" ht="56" customHeight="1">
      <c r="A10" s="4" t="n">
        <v>6</v>
      </c>
      <c r="B10" s="5" t="inlineStr">
        <is>
          <t>Отгружено, а не числится</t>
        </is>
      </c>
      <c r="C10" s="5" t="inlineStr">
        <is>
          <t>Колонка «Числится» — то, что стоит в учете на 16.06.2025 и не подтверждено инвентаризацией. Считаем по колонке «Отгружено»: сколько реально положили в контейнер.</t>
        </is>
      </c>
    </row>
    <row r="11" ht="56" customHeight="1">
      <c r="A11" s="4" t="n">
        <v>7</v>
      </c>
      <c r="B11" s="5" t="inlineStr">
        <is>
          <t>Цена с доставкой — это не цена продажи</t>
        </is>
      </c>
      <c r="C11" s="5" t="inlineStr">
        <is>
          <t>Это то, во что позиция обошлась на складе в Петербурге. Цену покупателю ставим от нее, иначе тяжелая арматура уедет в минус.</t>
        </is>
      </c>
    </row>
    <row r="12" ht="56" customHeight="1">
      <c r="A12" s="4" t="n">
        <v>8</v>
      </c>
      <c r="B12" s="5" t="inlineStr">
        <is>
          <t>Каждое место — свой номер</t>
        </is>
      </c>
      <c r="C12" s="5" t="inlineStr">
        <is>
          <t>Номер места в отгрузке должен совпадать с биркой на ящике и строкой упаковочного листа. Иначе принимать груз придется вскрытием всего подряд.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52" customWidth="1" min="3" max="3"/>
  </cols>
  <sheetData>
    <row r="1">
      <c r="A1" s="1" t="inlineStr">
        <is>
          <t>Расходы на отгрузку и как они ложатся на товар</t>
        </is>
      </c>
    </row>
    <row r="2">
      <c r="A2" s="2" t="inlineStr">
        <is>
          <t>Желтые ячейки заполняем сами. Все остальное считается. Пока расходы не введены, доставка на единицу будет нулевой.</t>
        </is>
      </c>
    </row>
    <row r="4" ht="22" customHeight="1">
      <c r="A4" s="3" t="inlineStr">
        <is>
          <t>Расход</t>
        </is>
      </c>
      <c r="B4" s="3" t="inlineStr">
        <is>
          <t>Сумма, руб</t>
        </is>
      </c>
      <c r="C4" s="3" t="inlineStr">
        <is>
          <t>Комментарий</t>
        </is>
      </c>
    </row>
    <row r="5">
      <c r="A5" s="6" t="inlineStr">
        <is>
          <t>Контейнер: фрахт Владивосток — Петербург</t>
        </is>
      </c>
      <c r="B5" s="7" t="n"/>
      <c r="C5" s="8" t="n"/>
    </row>
    <row r="6">
      <c r="A6" s="6" t="inlineStr">
        <is>
          <t>Автодоставка до контейнера во Владивостоке</t>
        </is>
      </c>
      <c r="B6" s="7" t="n"/>
      <c r="C6" s="8" t="n"/>
    </row>
    <row r="7">
      <c r="A7" s="6" t="inlineStr">
        <is>
          <t>Погрузка и выгрузка, такелаж</t>
        </is>
      </c>
      <c r="B7" s="7" t="n"/>
      <c r="C7" s="8" t="n"/>
    </row>
    <row r="8">
      <c r="A8" s="6" t="inlineStr">
        <is>
          <t>Тара: поддоны, доска, ящики</t>
        </is>
      </c>
      <c r="B8" s="7" t="n"/>
      <c r="C8" s="8" t="n"/>
    </row>
    <row r="9">
      <c r="A9" s="6" t="inlineStr">
        <is>
          <t>Упаковка: стрейч, лента, фанера на фланцы</t>
        </is>
      </c>
      <c r="B9" s="7" t="n"/>
      <c r="C9" s="8" t="n"/>
    </row>
    <row r="10">
      <c r="A10" s="6" t="inlineStr">
        <is>
          <t>Экспедирование и документы</t>
        </is>
      </c>
      <c r="B10" s="7" t="n"/>
      <c r="C10" s="8" t="n"/>
    </row>
    <row r="11">
      <c r="A11" s="6" t="inlineStr">
        <is>
          <t>Страхование груза</t>
        </is>
      </c>
      <c r="B11" s="7" t="n"/>
      <c r="C11" s="8" t="n"/>
    </row>
    <row r="12">
      <c r="A12" s="6" t="inlineStr">
        <is>
          <t>Прочие расходы</t>
        </is>
      </c>
      <c r="B12" s="7" t="n"/>
      <c r="C12" s="8" t="n"/>
    </row>
    <row r="13">
      <c r="A13" s="9" t="inlineStr">
        <is>
          <t>ИТОГО расходов на отгрузку</t>
        </is>
      </c>
      <c r="B13" s="10">
        <f>SUM(B5:B12)</f>
        <v/>
      </c>
    </row>
    <row r="15">
      <c r="A15" s="9" t="inlineStr">
        <is>
          <t>Как разносим на позиции</t>
        </is>
      </c>
      <c r="B15" s="11" t="inlineStr">
        <is>
          <t>по весу</t>
        </is>
      </c>
      <c r="C15" s="2" t="inlineStr">
        <is>
          <t>За контейнер платят за тонны, поэтому по умолчанию по весу</t>
        </is>
      </c>
    </row>
    <row r="17">
      <c r="A17" s="1" t="inlineStr">
        <is>
          <t>Что набралось в отгрузке</t>
        </is>
      </c>
    </row>
    <row r="19">
      <c r="A19" s="12" t="inlineStr">
        <is>
          <t>Вес всего, кг</t>
        </is>
      </c>
      <c r="B19" s="10">
        <f>SUM('Отгрузка'!N5:N149)</f>
        <v/>
      </c>
    </row>
    <row r="20">
      <c r="A20" s="12" t="inlineStr">
        <is>
          <t>Объем всего, м³</t>
        </is>
      </c>
      <c r="B20" s="13">
        <f>SUM('Отгрузка'!O5:O149)</f>
        <v/>
      </c>
    </row>
    <row r="21">
      <c r="A21" s="12" t="inlineStr">
        <is>
          <t>Штук всего</t>
        </is>
      </c>
      <c r="B21" s="10">
        <f>SUM('Отгрузка'!L5:L149)</f>
        <v/>
      </c>
    </row>
    <row r="22">
      <c r="A22" s="12" t="inlineStr">
        <is>
          <t>Стоимость товара, руб</t>
        </is>
      </c>
      <c r="B22" s="10">
        <f>SUM('Отгрузка'!T5:T149)</f>
        <v/>
      </c>
    </row>
    <row r="24">
      <c r="A24" s="1" t="inlineStr">
        <is>
          <t>Сколько стоит перевозка</t>
        </is>
      </c>
    </row>
    <row r="25">
      <c r="A25" s="12" t="inlineStr">
        <is>
          <t>Доставка на килограмм, руб</t>
        </is>
      </c>
      <c r="B25" s="14">
        <f>IFERROR(B13/B19,0)</f>
        <v/>
      </c>
    </row>
    <row r="26">
      <c r="A26" s="12" t="inlineStr">
        <is>
          <t>Доставка на штуку в среднем, руб</t>
        </is>
      </c>
      <c r="B26" s="14">
        <f>IFERROR(B13/B21,0)</f>
        <v/>
      </c>
    </row>
    <row r="27">
      <c r="A27" s="12" t="inlineStr">
        <is>
          <t>Доставка в процентах от стоимости товара</t>
        </is>
      </c>
      <c r="B27" s="15">
        <f>IFERROR(B13/B22,0)</f>
        <v/>
      </c>
    </row>
    <row r="28">
      <c r="A28" s="12" t="inlineStr">
        <is>
          <t>Товар с доставкой, руб</t>
        </is>
      </c>
      <c r="B28" s="10">
        <f>B22+B13</f>
        <v/>
      </c>
    </row>
  </sheetData>
  <dataValidations count="1">
    <dataValidation sqref="B15" showDropDown="0" showInputMessage="0" showErrorMessage="0" allowBlank="0" type="list">
      <formula1>"по весу,по объему,поровну на штуку,по стоимости"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22" customWidth="1" min="4" max="4"/>
    <col width="10" customWidth="1" min="5" max="5"/>
    <col width="46" customWidth="1" min="6" max="6"/>
    <col width="18" customWidth="1" min="7" max="7"/>
    <col width="15" customWidth="1" min="8" max="8"/>
    <col width="15" customWidth="1" min="9" max="9"/>
    <col width="20" customWidth="1" min="10" max="10"/>
    <col width="12" customWidth="1" min="11" max="11"/>
    <col width="13" customWidth="1" min="12" max="12"/>
    <col width="12" customWidth="1" min="13" max="13"/>
    <col width="13" customWidth="1" min="14" max="14"/>
    <col width="14" customWidth="1" min="15" max="15"/>
    <col width="14" customWidth="1" min="16" max="16"/>
    <col width="16" customWidth="1" min="17" max="17"/>
    <col width="15" customWidth="1" min="18" max="18"/>
    <col width="14" customWidth="1" min="19" max="19"/>
    <col width="16" customWidth="1" min="20" max="20"/>
    <col width="17" customWidth="1" min="21" max="21"/>
    <col width="13" customWidth="1" min="22" max="22"/>
    <col width="10" customWidth="1" min="23" max="23"/>
    <col width="15" customWidth="1" min="24" max="24"/>
    <col width="30" customWidth="1" min="25" max="25"/>
  </cols>
  <sheetData>
    <row r="1">
      <c r="A1" s="1" t="inlineStr">
        <is>
          <t>Отгрузка в Санкт-Петербург: что грузим и почем выходит</t>
        </is>
      </c>
    </row>
    <row r="2">
      <c r="A2" s="2" t="inlineStr">
        <is>
          <t>Желтые колонки заполняем при погрузке. Состояние ставим на месте: в учете оно проставлено только у части позиций. Зеленые колонки считаются сами.</t>
        </is>
      </c>
    </row>
    <row r="4" ht="40" customHeight="1">
      <c r="A4" s="3" t="inlineStr">
        <is>
          <t>№</t>
        </is>
      </c>
      <c r="B4" s="3" t="inlineStr">
        <is>
          <t>Очередь</t>
        </is>
      </c>
      <c r="C4" s="3" t="inlineStr">
        <is>
          <t>Ярус</t>
        </is>
      </c>
      <c r="D4" s="3" t="inlineStr">
        <is>
          <t>Тип</t>
        </is>
      </c>
      <c r="E4" s="3" t="inlineStr">
        <is>
          <t>Диаметр</t>
        </is>
      </c>
      <c r="F4" s="3" t="inlineStr">
        <is>
          <t>Наименование</t>
        </is>
      </c>
      <c r="G4" s="3" t="inlineStr">
        <is>
          <t>Чертеж</t>
        </is>
      </c>
      <c r="H4" s="3" t="inlineStr">
        <is>
          <t>Состояние</t>
        </is>
      </c>
      <c r="I4" s="3" t="inlineStr">
        <is>
          <t>Комплектность</t>
        </is>
      </c>
      <c r="J4" s="3" t="inlineStr">
        <is>
          <t>Материал</t>
        </is>
      </c>
      <c r="K4" s="3" t="inlineStr">
        <is>
          <t>Числится, шт</t>
        </is>
      </c>
      <c r="L4" s="3" t="inlineStr">
        <is>
          <t>Отгружено, шт</t>
        </is>
      </c>
      <c r="M4" s="3" t="inlineStr">
        <is>
          <t>Вес ед., кг</t>
        </is>
      </c>
      <c r="N4" s="3" t="inlineStr">
        <is>
          <t>Вес всего, кг</t>
        </is>
      </c>
      <c r="O4" s="3" t="inlineStr">
        <is>
          <t>Объем всего, м³</t>
        </is>
      </c>
      <c r="P4" s="3" t="inlineStr">
        <is>
          <t>Доля в отгрузке</t>
        </is>
      </c>
      <c r="Q4" s="3" t="inlineStr">
        <is>
          <t>Доставка на позицию, руб</t>
        </is>
      </c>
      <c r="R4" s="3" t="inlineStr">
        <is>
          <t>Доставка на ед., руб</t>
        </is>
      </c>
      <c r="S4" s="3" t="inlineStr">
        <is>
          <t>Цена за ед., руб</t>
        </is>
      </c>
      <c r="T4" s="3" t="inlineStr">
        <is>
          <t>Сумма позиции, руб</t>
        </is>
      </c>
      <c r="U4" s="3" t="inlineStr">
        <is>
          <t>Цена с доставкой за ед., руб</t>
        </is>
      </c>
      <c r="V4" s="3" t="inlineStr">
        <is>
          <t>Доставка в цене, %</t>
        </is>
      </c>
      <c r="W4" s="3" t="inlineStr">
        <is>
          <t>№ места</t>
        </is>
      </c>
      <c r="X4" s="3" t="inlineStr">
        <is>
          <t>Локация</t>
        </is>
      </c>
      <c r="Y4" s="3" t="inlineStr">
        <is>
          <t>Примечание</t>
        </is>
      </c>
    </row>
    <row r="5">
      <c r="A5" s="4" t="n">
        <v>1</v>
      </c>
      <c r="B5" s="5" t="inlineStr">
        <is>
          <t>1. Клинкет Ду250, Ду300, Ду350, бронза и латунь</t>
        </is>
      </c>
      <c r="C5" s="4" t="inlineStr">
        <is>
          <t>Ярус 1, на настил</t>
        </is>
      </c>
      <c r="D5" s="4" t="inlineStr">
        <is>
          <t>клинкет (задвижка)</t>
        </is>
      </c>
      <c r="E5" s="4" t="inlineStr">
        <is>
          <t>Ду250</t>
        </is>
      </c>
      <c r="F5" s="5" t="inlineStr">
        <is>
          <t>Клинкет Ду 250</t>
        </is>
      </c>
      <c r="G5" s="4" t="inlineStr"/>
      <c r="H5" s="16" t="inlineStr"/>
      <c r="I5" s="16" t="inlineStr">
        <is>
          <t>Комплект</t>
        </is>
      </c>
      <c r="J5" s="4" t="inlineStr">
        <is>
          <t>проверить: везем бронзу и латунь</t>
        </is>
      </c>
      <c r="K5" s="4" t="n">
        <v>2</v>
      </c>
      <c r="L5" s="16" t="n">
        <v>2</v>
      </c>
      <c r="M5" s="16" t="n">
        <v>220</v>
      </c>
      <c r="N5" s="17">
        <f>L5*M5</f>
        <v/>
      </c>
      <c r="O5" s="18" t="n">
        <v>0.5</v>
      </c>
      <c r="P5" s="19">
        <f>IFERROR(IF('Расходы и доставка'!$B$15="по весу",N5/'Расходы и доставка'!$B$19,IF('Расходы и доставка'!$B$15="по объему",O5/'Расходы и доставка'!$B$20,IF('Расходы и доставка'!$B$15="поровну на штуку",L5/'Расходы и доставка'!$B$21,T5/'Расходы и доставка'!$B$22))),0)</f>
        <v/>
      </c>
      <c r="Q5" s="17">
        <f>P5*'Расходы и доставка'!$B$13</f>
        <v/>
      </c>
      <c r="R5" s="20">
        <f>IFERROR(Q5/L5,0)</f>
        <v/>
      </c>
      <c r="S5" s="21" t="n">
        <v>200000</v>
      </c>
      <c r="T5" s="17">
        <f>L5*S5</f>
        <v/>
      </c>
      <c r="U5" s="17">
        <f>S5+R5</f>
        <v/>
      </c>
      <c r="V5" s="22">
        <f>IFERROR(R5/S5,"")</f>
        <v/>
      </c>
      <c r="W5" s="16" t="inlineStr"/>
      <c r="X5" s="4" t="inlineStr">
        <is>
          <t>Фойе</t>
        </is>
      </c>
      <c r="Y5" s="23" t="inlineStr"/>
    </row>
    <row r="6">
      <c r="A6" s="4" t="n">
        <v>2</v>
      </c>
      <c r="B6" s="5" t="inlineStr">
        <is>
          <t>1. Клинкет Ду250, Ду300, Ду350, бронза и латунь</t>
        </is>
      </c>
      <c r="C6" s="4" t="inlineStr">
        <is>
          <t>Ярус 1, на настил</t>
        </is>
      </c>
      <c r="D6" s="4" t="inlineStr">
        <is>
          <t>клинкет (задвижка)</t>
        </is>
      </c>
      <c r="E6" s="4" t="inlineStr">
        <is>
          <t>Ду250</t>
        </is>
      </c>
      <c r="F6" s="5" t="inlineStr">
        <is>
          <t>Клинкет Ду 250 не комплект</t>
        </is>
      </c>
      <c r="G6" s="4" t="inlineStr"/>
      <c r="H6" s="16" t="inlineStr"/>
      <c r="I6" s="16" t="inlineStr">
        <is>
          <t>Не комплект</t>
        </is>
      </c>
      <c r="J6" s="4" t="inlineStr">
        <is>
          <t>проверить: везем бронзу и латунь</t>
        </is>
      </c>
      <c r="K6" s="4" t="n">
        <v>2</v>
      </c>
      <c r="L6" s="16" t="n">
        <v>2</v>
      </c>
      <c r="M6" s="16" t="n">
        <v>220</v>
      </c>
      <c r="N6" s="17">
        <f>L6*M6</f>
        <v/>
      </c>
      <c r="O6" s="18" t="n">
        <v>0.5</v>
      </c>
      <c r="P6" s="19">
        <f>IFERROR(IF('Расходы и доставка'!$B$15="по весу",N6/'Расходы и доставка'!$B$19,IF('Расходы и доставка'!$B$15="по объему",O6/'Расходы и доставка'!$B$20,IF('Расходы и доставка'!$B$15="поровну на штуку",L6/'Расходы и доставка'!$B$21,T6/'Расходы и доставка'!$B$22))),0)</f>
        <v/>
      </c>
      <c r="Q6" s="17">
        <f>P6*'Расходы и доставка'!$B$13</f>
        <v/>
      </c>
      <c r="R6" s="20">
        <f>IFERROR(Q6/L6,0)</f>
        <v/>
      </c>
      <c r="S6" s="21" t="n">
        <v>200000</v>
      </c>
      <c r="T6" s="17">
        <f>L6*S6</f>
        <v/>
      </c>
      <c r="U6" s="17">
        <f>S6+R6</f>
        <v/>
      </c>
      <c r="V6" s="22">
        <f>IFERROR(R6/S6,"")</f>
        <v/>
      </c>
      <c r="W6" s="16" t="inlineStr"/>
      <c r="X6" s="4" t="inlineStr">
        <is>
          <t>Фойе</t>
        </is>
      </c>
      <c r="Y6" s="23" t="inlineStr"/>
    </row>
    <row r="7">
      <c r="A7" s="4" t="n">
        <v>3</v>
      </c>
      <c r="B7" s="5" t="inlineStr">
        <is>
          <t>1. Клинкет Ду250, Ду300, Ду350, бронза и латунь</t>
        </is>
      </c>
      <c r="C7" s="4" t="inlineStr">
        <is>
          <t>Ярус 1, на настил</t>
        </is>
      </c>
      <c r="D7" s="4" t="inlineStr">
        <is>
          <t>клинкет (задвижка)</t>
        </is>
      </c>
      <c r="E7" s="4" t="inlineStr">
        <is>
          <t>Ду300</t>
        </is>
      </c>
      <c r="F7" s="5" t="inlineStr">
        <is>
          <t>Клинкет Ду 300</t>
        </is>
      </c>
      <c r="G7" s="4" t="inlineStr"/>
      <c r="H7" s="16" t="inlineStr"/>
      <c r="I7" s="16" t="inlineStr">
        <is>
          <t>Комплект</t>
        </is>
      </c>
      <c r="J7" s="4" t="inlineStr">
        <is>
          <t>проверить: везем бронзу и латунь</t>
        </is>
      </c>
      <c r="K7" s="4" t="n">
        <v>16</v>
      </c>
      <c r="L7" s="16" t="n">
        <v>16</v>
      </c>
      <c r="M7" s="16" t="n">
        <v>300</v>
      </c>
      <c r="N7" s="17">
        <f>L7*M7</f>
        <v/>
      </c>
      <c r="O7" s="18" t="n">
        <v>5.6</v>
      </c>
      <c r="P7" s="19">
        <f>IFERROR(IF('Расходы и доставка'!$B$15="по весу",N7/'Расходы и доставка'!$B$19,IF('Расходы и доставка'!$B$15="по объему",O7/'Расходы и доставка'!$B$20,IF('Расходы и доставка'!$B$15="поровну на штуку",L7/'Расходы и доставка'!$B$21,T7/'Расходы и доставка'!$B$22))),0)</f>
        <v/>
      </c>
      <c r="Q7" s="17">
        <f>P7*'Расходы и доставка'!$B$13</f>
        <v/>
      </c>
      <c r="R7" s="20">
        <f>IFERROR(Q7/L7,0)</f>
        <v/>
      </c>
      <c r="S7" s="21" t="n">
        <v>250000</v>
      </c>
      <c r="T7" s="17">
        <f>L7*S7</f>
        <v/>
      </c>
      <c r="U7" s="17">
        <f>S7+R7</f>
        <v/>
      </c>
      <c r="V7" s="22">
        <f>IFERROR(R7/S7,"")</f>
        <v/>
      </c>
      <c r="W7" s="16" t="inlineStr"/>
      <c r="X7" s="4" t="inlineStr">
        <is>
          <t>Фойе</t>
        </is>
      </c>
      <c r="Y7" s="23" t="inlineStr"/>
    </row>
    <row r="8">
      <c r="A8" s="4" t="n">
        <v>4</v>
      </c>
      <c r="B8" s="5" t="inlineStr">
        <is>
          <t>1. Клинкет Ду250, Ду300, Ду350, бронза и латунь</t>
        </is>
      </c>
      <c r="C8" s="4" t="inlineStr">
        <is>
          <t>Ярус 1, на настил</t>
        </is>
      </c>
      <c r="D8" s="4" t="inlineStr">
        <is>
          <t>клинкет (задвижка)</t>
        </is>
      </c>
      <c r="E8" s="4" t="inlineStr">
        <is>
          <t>Ду350</t>
        </is>
      </c>
      <c r="F8" s="5" t="inlineStr">
        <is>
          <t>Клинкет Ду 350</t>
        </is>
      </c>
      <c r="G8" s="4" t="inlineStr"/>
      <c r="H8" s="16" t="inlineStr"/>
      <c r="I8" s="16" t="inlineStr">
        <is>
          <t>Комплект</t>
        </is>
      </c>
      <c r="J8" s="4" t="inlineStr">
        <is>
          <t>проверить: везем бронзу и латунь</t>
        </is>
      </c>
      <c r="K8" s="4" t="n">
        <v>1</v>
      </c>
      <c r="L8" s="16" t="n">
        <v>1</v>
      </c>
      <c r="M8" s="16" t="n">
        <v>400</v>
      </c>
      <c r="N8" s="17">
        <f>L8*M8</f>
        <v/>
      </c>
      <c r="O8" s="18" t="n">
        <v>0.45</v>
      </c>
      <c r="P8" s="19">
        <f>IFERROR(IF('Расходы и доставка'!$B$15="по весу",N8/'Расходы и доставка'!$B$19,IF('Расходы и доставка'!$B$15="по объему",O8/'Расходы и доставка'!$B$20,IF('Расходы и доставка'!$B$15="поровну на штуку",L8/'Расходы и доставка'!$B$21,T8/'Расходы и доставка'!$B$22))),0)</f>
        <v/>
      </c>
      <c r="Q8" s="17">
        <f>P8*'Расходы и доставка'!$B$13</f>
        <v/>
      </c>
      <c r="R8" s="20">
        <f>IFERROR(Q8/L8,0)</f>
        <v/>
      </c>
      <c r="S8" s="21" t="n">
        <v>300000</v>
      </c>
      <c r="T8" s="17">
        <f>L8*S8</f>
        <v/>
      </c>
      <c r="U8" s="17">
        <f>S8+R8</f>
        <v/>
      </c>
      <c r="V8" s="22">
        <f>IFERROR(R8/S8,"")</f>
        <v/>
      </c>
      <c r="W8" s="16" t="inlineStr"/>
      <c r="X8" s="4" t="inlineStr">
        <is>
          <t>Фойе</t>
        </is>
      </c>
      <c r="Y8" s="23" t="inlineStr"/>
    </row>
    <row r="9">
      <c r="A9" s="4" t="n">
        <v>5</v>
      </c>
      <c r="B9" s="5" t="inlineStr">
        <is>
          <t>1. Клинкет Ду250, Ду300, Ду350, бронза и латунь</t>
        </is>
      </c>
      <c r="C9" s="4" t="inlineStr">
        <is>
          <t>Ярус 1, на настил</t>
        </is>
      </c>
      <c r="D9" s="4" t="inlineStr">
        <is>
          <t>клинкет (задвижка)</t>
        </is>
      </c>
      <c r="E9" s="4" t="inlineStr">
        <is>
          <t>Ду250</t>
        </is>
      </c>
      <c r="F9" s="5" t="inlineStr">
        <is>
          <t>Задвижка клинкетная Ду 250</t>
        </is>
      </c>
      <c r="G9" s="4" t="inlineStr"/>
      <c r="H9" s="16" t="inlineStr"/>
      <c r="I9" s="16" t="inlineStr">
        <is>
          <t>Комплект</t>
        </is>
      </c>
      <c r="J9" s="4" t="inlineStr">
        <is>
          <t>проверить: везем бронзу и латунь</t>
        </is>
      </c>
      <c r="K9" s="4" t="n">
        <v>17</v>
      </c>
      <c r="L9" s="16" t="n">
        <v>17</v>
      </c>
      <c r="M9" s="16" t="n">
        <v>220</v>
      </c>
      <c r="N9" s="17">
        <f>L9*M9</f>
        <v/>
      </c>
      <c r="O9" s="18" t="n">
        <v>4.25</v>
      </c>
      <c r="P9" s="19">
        <f>IFERROR(IF('Расходы и доставка'!$B$15="по весу",N9/'Расходы и доставка'!$B$19,IF('Расходы и доставка'!$B$15="по объему",O9/'Расходы и доставка'!$B$20,IF('Расходы и доставка'!$B$15="поровну на штуку",L9/'Расходы и доставка'!$B$21,T9/'Расходы и доставка'!$B$22))),0)</f>
        <v/>
      </c>
      <c r="Q9" s="17">
        <f>P9*'Расходы и доставка'!$B$13</f>
        <v/>
      </c>
      <c r="R9" s="20">
        <f>IFERROR(Q9/L9,0)</f>
        <v/>
      </c>
      <c r="S9" s="21" t="n">
        <v>150000</v>
      </c>
      <c r="T9" s="17">
        <f>L9*S9</f>
        <v/>
      </c>
      <c r="U9" s="17">
        <f>S9+R9</f>
        <v/>
      </c>
      <c r="V9" s="22">
        <f>IFERROR(R9/S9,"")</f>
        <v/>
      </c>
      <c r="W9" s="16" t="inlineStr"/>
      <c r="X9" s="4" t="inlineStr">
        <is>
          <t>Склад 1А/1Б</t>
        </is>
      </c>
      <c r="Y9" s="23" t="inlineStr"/>
    </row>
    <row r="10">
      <c r="A10" s="4" t="n">
        <v>6</v>
      </c>
      <c r="B10" s="5" t="inlineStr">
        <is>
          <t>2. Титановая арматура</t>
        </is>
      </c>
      <c r="C10" s="4" t="inlineStr">
        <is>
          <t>Ярус 4, верх</t>
        </is>
      </c>
      <c r="D10" s="4" t="inlineStr">
        <is>
          <t>клапан фланцевый</t>
        </is>
      </c>
      <c r="E10" s="4" t="inlineStr">
        <is>
          <t>Ду50</t>
        </is>
      </c>
      <c r="F10" s="5" t="inlineStr">
        <is>
          <t>Клапан фланцевый проходной титановые Ду50Ру10</t>
        </is>
      </c>
      <c r="G10" s="4" t="inlineStr">
        <is>
          <t>521-182.110</t>
        </is>
      </c>
      <c r="H10" s="16" t="inlineStr">
        <is>
          <t>Новое</t>
        </is>
      </c>
      <c r="I10" s="16" t="inlineStr">
        <is>
          <t>Комплект</t>
        </is>
      </c>
      <c r="J10" s="4" t="inlineStr">
        <is>
          <t>титан</t>
        </is>
      </c>
      <c r="K10" s="4" t="n">
        <v>5</v>
      </c>
      <c r="L10" s="16" t="n">
        <v>5</v>
      </c>
      <c r="M10" s="16" t="n">
        <v>14</v>
      </c>
      <c r="N10" s="17">
        <f>L10*M10</f>
        <v/>
      </c>
      <c r="O10" s="18" t="n">
        <v>0.06</v>
      </c>
      <c r="P10" s="19">
        <f>IFERROR(IF('Расходы и доставка'!$B$15="по весу",N10/'Расходы и доставка'!$B$19,IF('Расходы и доставка'!$B$15="по объему",O10/'Расходы и доставка'!$B$20,IF('Расходы и доставка'!$B$15="поровну на штуку",L10/'Расходы и доставка'!$B$21,T10/'Расходы и доставка'!$B$22))),0)</f>
        <v/>
      </c>
      <c r="Q10" s="17">
        <f>P10*'Расходы и доставка'!$B$13</f>
        <v/>
      </c>
      <c r="R10" s="20">
        <f>IFERROR(Q10/L10,0)</f>
        <v/>
      </c>
      <c r="S10" s="21" t="n"/>
      <c r="T10" s="17">
        <f>L10*S10</f>
        <v/>
      </c>
      <c r="U10" s="17">
        <f>S10+R10</f>
        <v/>
      </c>
      <c r="V10" s="22">
        <f>IFERROR(R10/S10,"")</f>
        <v/>
      </c>
      <c r="W10" s="16" t="inlineStr"/>
      <c r="X10" s="4" t="inlineStr">
        <is>
          <t>Склад 2</t>
        </is>
      </c>
      <c r="Y10" s="23" t="inlineStr"/>
    </row>
    <row r="11">
      <c r="A11" s="4" t="n">
        <v>7</v>
      </c>
      <c r="B11" s="5" t="inlineStr">
        <is>
          <t>2. Титановая арматура</t>
        </is>
      </c>
      <c r="C11" s="4" t="inlineStr">
        <is>
          <t>Ярус 4, верх</t>
        </is>
      </c>
      <c r="D11" s="4" t="inlineStr">
        <is>
          <t>клапан фланцевый</t>
        </is>
      </c>
      <c r="E11" s="4" t="inlineStr">
        <is>
          <t>Ду100</t>
        </is>
      </c>
      <c r="F11" s="5" t="inlineStr">
        <is>
          <t>Клапан фланцевый проходной титановые Ду100Ру10</t>
        </is>
      </c>
      <c r="G11" s="4" t="inlineStr">
        <is>
          <t>521-182.116</t>
        </is>
      </c>
      <c r="H11" s="16" t="inlineStr">
        <is>
          <t>Новое</t>
        </is>
      </c>
      <c r="I11" s="16" t="inlineStr">
        <is>
          <t>Комплект</t>
        </is>
      </c>
      <c r="J11" s="4" t="inlineStr">
        <is>
          <t>титан</t>
        </is>
      </c>
      <c r="K11" s="4" t="n">
        <v>1</v>
      </c>
      <c r="L11" s="16" t="n">
        <v>1</v>
      </c>
      <c r="M11" s="16" t="n">
        <v>40</v>
      </c>
      <c r="N11" s="17">
        <f>L11*M11</f>
        <v/>
      </c>
      <c r="O11" s="18" t="n">
        <v>0.045</v>
      </c>
      <c r="P11" s="19">
        <f>IFERROR(IF('Расходы и доставка'!$B$15="по весу",N11/'Расходы и доставка'!$B$19,IF('Расходы и доставка'!$B$15="по объему",O11/'Расходы и доставка'!$B$20,IF('Расходы и доставка'!$B$15="поровну на штуку",L11/'Расходы и доставка'!$B$21,T11/'Расходы и доставка'!$B$22))),0)</f>
        <v/>
      </c>
      <c r="Q11" s="17">
        <f>P11*'Расходы и доставка'!$B$13</f>
        <v/>
      </c>
      <c r="R11" s="20">
        <f>IFERROR(Q11/L11,0)</f>
        <v/>
      </c>
      <c r="S11" s="21" t="n"/>
      <c r="T11" s="17">
        <f>L11*S11</f>
        <v/>
      </c>
      <c r="U11" s="17">
        <f>S11+R11</f>
        <v/>
      </c>
      <c r="V11" s="22">
        <f>IFERROR(R11/S11,"")</f>
        <v/>
      </c>
      <c r="W11" s="16" t="inlineStr"/>
      <c r="X11" s="4" t="inlineStr">
        <is>
          <t>Склад 2</t>
        </is>
      </c>
      <c r="Y11" s="23" t="inlineStr"/>
    </row>
    <row r="12">
      <c r="A12" s="4" t="n">
        <v>8</v>
      </c>
      <c r="B12" s="5" t="inlineStr">
        <is>
          <t>3. Остальная бронза и латунь</t>
        </is>
      </c>
      <c r="C12" s="4" t="inlineStr">
        <is>
          <t>Ярус 3, ящики</t>
        </is>
      </c>
      <c r="D12" s="4" t="inlineStr">
        <is>
          <t>клапан фланцевый</t>
        </is>
      </c>
      <c r="E12" s="4" t="inlineStr">
        <is>
          <t>Ду25</t>
        </is>
      </c>
      <c r="F12" s="5" t="inlineStr">
        <is>
          <t>Клапан фланцевый угловой Ду25</t>
        </is>
      </c>
      <c r="G12" s="4" t="inlineStr">
        <is>
          <t>521-3М539</t>
        </is>
      </c>
      <c r="H12" s="16" t="inlineStr"/>
      <c r="I12" s="16" t="inlineStr">
        <is>
          <t>Комплект</t>
        </is>
      </c>
      <c r="J12" s="4" t="inlineStr">
        <is>
          <t>бронза/латунь</t>
        </is>
      </c>
      <c r="K12" s="4" t="n">
        <v>15</v>
      </c>
      <c r="L12" s="16" t="n">
        <v>15</v>
      </c>
      <c r="M12" s="16" t="n">
        <v>5</v>
      </c>
      <c r="N12" s="17">
        <f>L12*M12</f>
        <v/>
      </c>
      <c r="O12" s="18" t="n">
        <v>0.045</v>
      </c>
      <c r="P12" s="19">
        <f>IFERROR(IF('Расходы и доставка'!$B$15="по весу",N12/'Расходы и доставка'!$B$19,IF('Расходы и доставка'!$B$15="по объему",O12/'Расходы и доставка'!$B$20,IF('Расходы и доставка'!$B$15="поровну на штуку",L12/'Расходы и доставка'!$B$21,T12/'Расходы и доставка'!$B$22))),0)</f>
        <v/>
      </c>
      <c r="Q12" s="17">
        <f>P12*'Расходы и доставка'!$B$13</f>
        <v/>
      </c>
      <c r="R12" s="20">
        <f>IFERROR(Q12/L12,0)</f>
        <v/>
      </c>
      <c r="S12" s="21" t="n">
        <v>9600</v>
      </c>
      <c r="T12" s="17">
        <f>L12*S12</f>
        <v/>
      </c>
      <c r="U12" s="17">
        <f>S12+R12</f>
        <v/>
      </c>
      <c r="V12" s="22">
        <f>IFERROR(R12/S12,"")</f>
        <v/>
      </c>
      <c r="W12" s="16" t="inlineStr"/>
      <c r="X12" s="4" t="inlineStr">
        <is>
          <t>Склад 3</t>
        </is>
      </c>
      <c r="Y12" s="23" t="inlineStr"/>
    </row>
    <row r="13">
      <c r="A13" s="4" t="n">
        <v>9</v>
      </c>
      <c r="B13" s="5" t="inlineStr">
        <is>
          <t>3. Остальная бронза и латунь</t>
        </is>
      </c>
      <c r="C13" s="4" t="inlineStr">
        <is>
          <t>Ярус 3, ящики</t>
        </is>
      </c>
      <c r="D13" s="4" t="inlineStr">
        <is>
          <t>клапан фланцевый</t>
        </is>
      </c>
      <c r="E13" s="4" t="inlineStr">
        <is>
          <t>Ду40</t>
        </is>
      </c>
      <c r="F13" s="5" t="inlineStr">
        <is>
          <t>Клапан фланцевый угловой Ду40 Ру25</t>
        </is>
      </c>
      <c r="G13" s="4" t="inlineStr">
        <is>
          <t>521-01.200</t>
        </is>
      </c>
      <c r="H13" s="16" t="inlineStr"/>
      <c r="I13" s="16" t="inlineStr">
        <is>
          <t>Комплект</t>
        </is>
      </c>
      <c r="J13" s="4" t="inlineStr">
        <is>
          <t>бронза/латунь</t>
        </is>
      </c>
      <c r="K13" s="4" t="n">
        <v>1</v>
      </c>
      <c r="L13" s="16" t="n">
        <v>1</v>
      </c>
      <c r="M13" s="16" t="n">
        <v>10</v>
      </c>
      <c r="N13" s="17">
        <f>L13*M13</f>
        <v/>
      </c>
      <c r="O13" s="18" t="n">
        <v>0.008</v>
      </c>
      <c r="P13" s="19">
        <f>IFERROR(IF('Расходы и доставка'!$B$15="по весу",N13/'Расходы и доставка'!$B$19,IF('Расходы и доставка'!$B$15="по объему",O13/'Расходы и доставка'!$B$20,IF('Расходы и доставка'!$B$15="поровну на штуку",L13/'Расходы и доставка'!$B$21,T13/'Расходы и доставка'!$B$22))),0)</f>
        <v/>
      </c>
      <c r="Q13" s="17">
        <f>P13*'Расходы и доставка'!$B$13</f>
        <v/>
      </c>
      <c r="R13" s="20">
        <f>IFERROR(Q13/L13,0)</f>
        <v/>
      </c>
      <c r="S13" s="21" t="n">
        <v>18000</v>
      </c>
      <c r="T13" s="17">
        <f>L13*S13</f>
        <v/>
      </c>
      <c r="U13" s="17">
        <f>S13+R13</f>
        <v/>
      </c>
      <c r="V13" s="22">
        <f>IFERROR(R13/S13,"")</f>
        <v/>
      </c>
      <c r="W13" s="16" t="inlineStr"/>
      <c r="X13" s="4" t="inlineStr">
        <is>
          <t>Склад 3</t>
        </is>
      </c>
      <c r="Y13" s="23" t="inlineStr"/>
    </row>
    <row r="14">
      <c r="A14" s="4" t="n">
        <v>10</v>
      </c>
      <c r="B14" s="5" t="inlineStr">
        <is>
          <t>3. Остальная бронза и латунь</t>
        </is>
      </c>
      <c r="C14" s="4" t="inlineStr">
        <is>
          <t>Ярус 3, ящики</t>
        </is>
      </c>
      <c r="D14" s="4" t="inlineStr">
        <is>
          <t>клапан фланцевый</t>
        </is>
      </c>
      <c r="E14" s="4" t="inlineStr">
        <is>
          <t>Ду50</t>
        </is>
      </c>
      <c r="F14" s="5" t="inlineStr">
        <is>
          <t>Клапан фланцевый угловой Ду50 Ру25</t>
        </is>
      </c>
      <c r="G14" s="4" t="inlineStr">
        <is>
          <t>СВ/Т3197-95В25050</t>
        </is>
      </c>
      <c r="H14" s="16" t="inlineStr"/>
      <c r="I14" s="16" t="inlineStr">
        <is>
          <t>Комплект</t>
        </is>
      </c>
      <c r="J14" s="4" t="inlineStr">
        <is>
          <t>бронза/латунь</t>
        </is>
      </c>
      <c r="K14" s="4" t="n">
        <v>7</v>
      </c>
      <c r="L14" s="16" t="n">
        <v>7</v>
      </c>
      <c r="M14" s="16" t="n">
        <v>14</v>
      </c>
      <c r="N14" s="17">
        <f>L14*M14</f>
        <v/>
      </c>
      <c r="O14" s="18" t="n">
        <v>0.08400000000000001</v>
      </c>
      <c r="P14" s="19">
        <f>IFERROR(IF('Расходы и доставка'!$B$15="по весу",N14/'Расходы и доставка'!$B$19,IF('Расходы и доставка'!$B$15="по объему",O14/'Расходы и доставка'!$B$20,IF('Расходы и доставка'!$B$15="поровну на штуку",L14/'Расходы и доставка'!$B$21,T14/'Расходы и доставка'!$B$22))),0)</f>
        <v/>
      </c>
      <c r="Q14" s="17">
        <f>P14*'Расходы и доставка'!$B$13</f>
        <v/>
      </c>
      <c r="R14" s="20">
        <f>IFERROR(Q14/L14,0)</f>
        <v/>
      </c>
      <c r="S14" s="21" t="n">
        <v>22500</v>
      </c>
      <c r="T14" s="17">
        <f>L14*S14</f>
        <v/>
      </c>
      <c r="U14" s="17">
        <f>S14+R14</f>
        <v/>
      </c>
      <c r="V14" s="22">
        <f>IFERROR(R14/S14,"")</f>
        <v/>
      </c>
      <c r="W14" s="16" t="inlineStr"/>
      <c r="X14" s="4" t="inlineStr">
        <is>
          <t>Склад 3</t>
        </is>
      </c>
      <c r="Y14" s="23" t="inlineStr"/>
    </row>
    <row r="15">
      <c r="A15" s="4" t="n">
        <v>11</v>
      </c>
      <c r="B15" s="5" t="inlineStr">
        <is>
          <t>3. Остальная бронза и латунь</t>
        </is>
      </c>
      <c r="C15" s="4" t="inlineStr">
        <is>
          <t>Ярус 3, ящики</t>
        </is>
      </c>
      <c r="D15" s="4" t="inlineStr">
        <is>
          <t>клапан фланцевый</t>
        </is>
      </c>
      <c r="E15" s="4" t="inlineStr">
        <is>
          <t>Ду40</t>
        </is>
      </c>
      <c r="F15" s="5" t="inlineStr">
        <is>
          <t>Клапан фланцевый угловой Ду40 Ру10</t>
        </is>
      </c>
      <c r="G15" s="4" t="inlineStr">
        <is>
          <t>522-03.202</t>
        </is>
      </c>
      <c r="H15" s="16" t="inlineStr"/>
      <c r="I15" s="16" t="inlineStr">
        <is>
          <t>Комплект</t>
        </is>
      </c>
      <c r="J15" s="4" t="inlineStr">
        <is>
          <t>бронза/латунь</t>
        </is>
      </c>
      <c r="K15" s="4" t="n">
        <v>1</v>
      </c>
      <c r="L15" s="16" t="n">
        <v>1</v>
      </c>
      <c r="M15" s="16" t="n">
        <v>10</v>
      </c>
      <c r="N15" s="17">
        <f>L15*M15</f>
        <v/>
      </c>
      <c r="O15" s="18" t="n">
        <v>0.008</v>
      </c>
      <c r="P15" s="19">
        <f>IFERROR(IF('Расходы и доставка'!$B$15="по весу",N15/'Расходы и доставка'!$B$19,IF('Расходы и доставка'!$B$15="по объему",O15/'Расходы и доставка'!$B$20,IF('Расходы и доставка'!$B$15="поровну на штуку",L15/'Расходы и доставка'!$B$21,T15/'Расходы и доставка'!$B$22))),0)</f>
        <v/>
      </c>
      <c r="Q15" s="17">
        <f>P15*'Расходы и доставка'!$B$13</f>
        <v/>
      </c>
      <c r="R15" s="20">
        <f>IFERROR(Q15/L15,0)</f>
        <v/>
      </c>
      <c r="S15" s="21" t="n">
        <v>16000</v>
      </c>
      <c r="T15" s="17">
        <f>L15*S15</f>
        <v/>
      </c>
      <c r="U15" s="17">
        <f>S15+R15</f>
        <v/>
      </c>
      <c r="V15" s="22">
        <f>IFERROR(R15/S15,"")</f>
        <v/>
      </c>
      <c r="W15" s="16" t="inlineStr"/>
      <c r="X15" s="4" t="inlineStr">
        <is>
          <t>Склад 3</t>
        </is>
      </c>
      <c r="Y15" s="23" t="inlineStr"/>
    </row>
    <row r="16">
      <c r="A16" s="4" t="n">
        <v>12</v>
      </c>
      <c r="B16" s="5" t="inlineStr">
        <is>
          <t>3. Остальная бронза и латунь</t>
        </is>
      </c>
      <c r="C16" s="4" t="inlineStr">
        <is>
          <t>Ярус 3, ящики</t>
        </is>
      </c>
      <c r="D16" s="4" t="inlineStr">
        <is>
          <t>клинкет (задвижка)</t>
        </is>
      </c>
      <c r="E16" s="4" t="inlineStr">
        <is>
          <t>Ду65</t>
        </is>
      </c>
      <c r="F16" s="5" t="inlineStr">
        <is>
          <t>Задвижка клинкетная Ду65</t>
        </is>
      </c>
      <c r="G16" s="4" t="inlineStr"/>
      <c r="H16" s="16" t="inlineStr"/>
      <c r="I16" s="16" t="inlineStr">
        <is>
          <t>Комплект</t>
        </is>
      </c>
      <c r="J16" s="4" t="inlineStr">
        <is>
          <t>бронза/латунь</t>
        </is>
      </c>
      <c r="K16" s="4" t="n">
        <v>16</v>
      </c>
      <c r="L16" s="16" t="n">
        <v>16</v>
      </c>
      <c r="M16" s="16" t="n">
        <v>18</v>
      </c>
      <c r="N16" s="17">
        <f>L16*M16</f>
        <v/>
      </c>
      <c r="O16" s="18" t="n">
        <v>0.32</v>
      </c>
      <c r="P16" s="19">
        <f>IFERROR(IF('Расходы и доставка'!$B$15="по весу",N16/'Расходы и доставка'!$B$19,IF('Расходы и доставка'!$B$15="по объему",O16/'Расходы и доставка'!$B$20,IF('Расходы и доставка'!$B$15="поровну на штуку",L16/'Расходы и доставка'!$B$21,T16/'Расходы и доставка'!$B$22))),0)</f>
        <v/>
      </c>
      <c r="Q16" s="17">
        <f>P16*'Расходы и доставка'!$B$13</f>
        <v/>
      </c>
      <c r="R16" s="20">
        <f>IFERROR(Q16/L16,0)</f>
        <v/>
      </c>
      <c r="S16" s="21" t="n">
        <v>27000</v>
      </c>
      <c r="T16" s="17">
        <f>L16*S16</f>
        <v/>
      </c>
      <c r="U16" s="17">
        <f>S16+R16</f>
        <v/>
      </c>
      <c r="V16" s="22">
        <f>IFERROR(R16/S16,"")</f>
        <v/>
      </c>
      <c r="W16" s="16" t="inlineStr"/>
      <c r="X16" s="4" t="inlineStr">
        <is>
          <t>Склад 3</t>
        </is>
      </c>
      <c r="Y16" s="23" t="inlineStr"/>
    </row>
    <row r="17">
      <c r="A17" s="4" t="n">
        <v>13</v>
      </c>
      <c r="B17" s="5" t="inlineStr">
        <is>
          <t>3. Остальная бронза и латунь</t>
        </is>
      </c>
      <c r="C17" s="4" t="inlineStr">
        <is>
          <t>Ярус 3, ящики</t>
        </is>
      </c>
      <c r="D17" s="4" t="inlineStr">
        <is>
          <t>клапан фланцевый</t>
        </is>
      </c>
      <c r="E17" s="4" t="inlineStr">
        <is>
          <t>Ду65</t>
        </is>
      </c>
      <c r="F17" s="5" t="inlineStr">
        <is>
          <t>Клапан фланцевый угловой Ду65 Ру10</t>
        </is>
      </c>
      <c r="G17" s="4" t="inlineStr">
        <is>
          <t>522-35.4154-02</t>
        </is>
      </c>
      <c r="H17" s="16" t="inlineStr"/>
      <c r="I17" s="16" t="inlineStr">
        <is>
          <t>Комплект</t>
        </is>
      </c>
      <c r="J17" s="4" t="inlineStr">
        <is>
          <t>бронза/латунь</t>
        </is>
      </c>
      <c r="K17" s="4" t="n">
        <v>6</v>
      </c>
      <c r="L17" s="16" t="n">
        <v>6</v>
      </c>
      <c r="M17" s="16" t="n">
        <v>20</v>
      </c>
      <c r="N17" s="17">
        <f>L17*M17</f>
        <v/>
      </c>
      <c r="O17" s="18" t="n">
        <v>0.12</v>
      </c>
      <c r="P17" s="19">
        <f>IFERROR(IF('Расходы и доставка'!$B$15="по весу",N17/'Расходы и доставка'!$B$19,IF('Расходы и доставка'!$B$15="по объему",O17/'Расходы и доставка'!$B$20,IF('Расходы и доставка'!$B$15="поровну на штуку",L17/'Расходы и доставка'!$B$21,T17/'Расходы и доставка'!$B$22))),0)</f>
        <v/>
      </c>
      <c r="Q17" s="17">
        <f>P17*'Расходы и доставка'!$B$13</f>
        <v/>
      </c>
      <c r="R17" s="20">
        <f>IFERROR(Q17/L17,0)</f>
        <v/>
      </c>
      <c r="S17" s="21" t="n">
        <v>27000</v>
      </c>
      <c r="T17" s="17">
        <f>L17*S17</f>
        <v/>
      </c>
      <c r="U17" s="17">
        <f>S17+R17</f>
        <v/>
      </c>
      <c r="V17" s="22">
        <f>IFERROR(R17/S17,"")</f>
        <v/>
      </c>
      <c r="W17" s="16" t="inlineStr"/>
      <c r="X17" s="4" t="inlineStr">
        <is>
          <t>Склад 3</t>
        </is>
      </c>
      <c r="Y17" s="23" t="inlineStr"/>
    </row>
    <row r="18">
      <c r="A18" s="4" t="n">
        <v>14</v>
      </c>
      <c r="B18" s="5" t="inlineStr">
        <is>
          <t>3. Остальная бронза и латунь</t>
        </is>
      </c>
      <c r="C18" s="4" t="inlineStr">
        <is>
          <t>Ярус 3, ящики</t>
        </is>
      </c>
      <c r="D18" s="4" t="inlineStr">
        <is>
          <t>клапан фланцевый</t>
        </is>
      </c>
      <c r="E18" s="4" t="inlineStr">
        <is>
          <t>Ду65</t>
        </is>
      </c>
      <c r="F18" s="5" t="inlineStr">
        <is>
          <t>Клапан фланцевый угловой Ду65 Ру10</t>
        </is>
      </c>
      <c r="G18" s="4" t="inlineStr">
        <is>
          <t>522-35.4201</t>
        </is>
      </c>
      <c r="H18" s="16" t="inlineStr"/>
      <c r="I18" s="16" t="inlineStr">
        <is>
          <t>Комплект</t>
        </is>
      </c>
      <c r="J18" s="4" t="inlineStr">
        <is>
          <t>бронза/латунь</t>
        </is>
      </c>
      <c r="K18" s="4" t="n">
        <v>3</v>
      </c>
      <c r="L18" s="16" t="n">
        <v>3</v>
      </c>
      <c r="M18" s="16" t="n">
        <v>20</v>
      </c>
      <c r="N18" s="17">
        <f>L18*M18</f>
        <v/>
      </c>
      <c r="O18" s="18" t="n">
        <v>0.06</v>
      </c>
      <c r="P18" s="19">
        <f>IFERROR(IF('Расходы и доставка'!$B$15="по весу",N18/'Расходы и доставка'!$B$19,IF('Расходы и доставка'!$B$15="по объему",O18/'Расходы и доставка'!$B$20,IF('Расходы и доставка'!$B$15="поровну на штуку",L18/'Расходы и доставка'!$B$21,T18/'Расходы и доставка'!$B$22))),0)</f>
        <v/>
      </c>
      <c r="Q18" s="17">
        <f>P18*'Расходы и доставка'!$B$13</f>
        <v/>
      </c>
      <c r="R18" s="20">
        <f>IFERROR(Q18/L18,0)</f>
        <v/>
      </c>
      <c r="S18" s="21" t="n">
        <v>27000</v>
      </c>
      <c r="T18" s="17">
        <f>L18*S18</f>
        <v/>
      </c>
      <c r="U18" s="17">
        <f>S18+R18</f>
        <v/>
      </c>
      <c r="V18" s="22">
        <f>IFERROR(R18/S18,"")</f>
        <v/>
      </c>
      <c r="W18" s="16" t="inlineStr"/>
      <c r="X18" s="4" t="inlineStr">
        <is>
          <t>Склад 3</t>
        </is>
      </c>
      <c r="Y18" s="23" t="inlineStr"/>
    </row>
    <row r="19">
      <c r="A19" s="4" t="n">
        <v>15</v>
      </c>
      <c r="B19" s="5" t="inlineStr">
        <is>
          <t>3. Остальная бронза и латунь</t>
        </is>
      </c>
      <c r="C19" s="4" t="inlineStr">
        <is>
          <t>Ярус 3, ящики</t>
        </is>
      </c>
      <c r="D19" s="4" t="inlineStr">
        <is>
          <t>клапан фланцевый</t>
        </is>
      </c>
      <c r="E19" s="4" t="inlineStr">
        <is>
          <t>Ду65</t>
        </is>
      </c>
      <c r="F19" s="5" t="inlineStr">
        <is>
          <t>Клапан фланцевый угловой Ду65 Ру10</t>
        </is>
      </c>
      <c r="G19" s="4" t="inlineStr">
        <is>
          <t>521-03.195</t>
        </is>
      </c>
      <c r="H19" s="16" t="inlineStr"/>
      <c r="I19" s="16" t="inlineStr">
        <is>
          <t>Комплект</t>
        </is>
      </c>
      <c r="J19" s="4" t="inlineStr">
        <is>
          <t>бронза/латунь</t>
        </is>
      </c>
      <c r="K19" s="4" t="n">
        <v>12</v>
      </c>
      <c r="L19" s="16" t="n">
        <v>12</v>
      </c>
      <c r="M19" s="16" t="n">
        <v>20</v>
      </c>
      <c r="N19" s="17">
        <f>L19*M19</f>
        <v/>
      </c>
      <c r="O19" s="18" t="n">
        <v>0.24</v>
      </c>
      <c r="P19" s="19">
        <f>IFERROR(IF('Расходы и доставка'!$B$15="по весу",N19/'Расходы и доставка'!$B$19,IF('Расходы и доставка'!$B$15="по объему",O19/'Расходы и доставка'!$B$20,IF('Расходы и доставка'!$B$15="поровну на штуку",L19/'Расходы и доставка'!$B$21,T19/'Расходы и доставка'!$B$22))),0)</f>
        <v/>
      </c>
      <c r="Q19" s="17">
        <f>P19*'Расходы и доставка'!$B$13</f>
        <v/>
      </c>
      <c r="R19" s="20">
        <f>IFERROR(Q19/L19,0)</f>
        <v/>
      </c>
      <c r="S19" s="21" t="n">
        <v>27000</v>
      </c>
      <c r="T19" s="17">
        <f>L19*S19</f>
        <v/>
      </c>
      <c r="U19" s="17">
        <f>S19+R19</f>
        <v/>
      </c>
      <c r="V19" s="22">
        <f>IFERROR(R19/S19,"")</f>
        <v/>
      </c>
      <c r="W19" s="16" t="inlineStr"/>
      <c r="X19" s="4" t="inlineStr">
        <is>
          <t>Склад 3</t>
        </is>
      </c>
      <c r="Y19" s="23" t="inlineStr"/>
    </row>
    <row r="20">
      <c r="A20" s="4" t="n">
        <v>16</v>
      </c>
      <c r="B20" s="5" t="inlineStr">
        <is>
          <t>3. Остальная бронза и латунь</t>
        </is>
      </c>
      <c r="C20" s="4" t="inlineStr">
        <is>
          <t>Ярус 3, ящики</t>
        </is>
      </c>
      <c r="D20" s="4" t="inlineStr">
        <is>
          <t>клинкет (задвижка)</t>
        </is>
      </c>
      <c r="E20" s="4" t="inlineStr">
        <is>
          <t>Ду70</t>
        </is>
      </c>
      <c r="F20" s="5" t="inlineStr">
        <is>
          <t>Задвижка клинкетная фланцевая Ду70 Ру6</t>
        </is>
      </c>
      <c r="G20" s="4" t="inlineStr"/>
      <c r="H20" s="16" t="inlineStr"/>
      <c r="I20" s="16" t="inlineStr">
        <is>
          <t>Комплект</t>
        </is>
      </c>
      <c r="J20" s="4" t="inlineStr">
        <is>
          <t>бронза/латунь</t>
        </is>
      </c>
      <c r="K20" s="4" t="n">
        <v>7</v>
      </c>
      <c r="L20" s="16" t="n">
        <v>7</v>
      </c>
      <c r="M20" s="16" t="n">
        <v>22</v>
      </c>
      <c r="N20" s="17">
        <f>L20*M20</f>
        <v/>
      </c>
      <c r="O20" s="18" t="n">
        <v>0.154</v>
      </c>
      <c r="P20" s="19">
        <f>IFERROR(IF('Расходы и доставка'!$B$15="по весу",N20/'Расходы и доставка'!$B$19,IF('Расходы и доставка'!$B$15="по объему",O20/'Расходы и доставка'!$B$20,IF('Расходы и доставка'!$B$15="поровну на штуку",L20/'Расходы и доставка'!$B$21,T20/'Расходы и доставка'!$B$22))),0)</f>
        <v/>
      </c>
      <c r="Q20" s="17">
        <f>P20*'Расходы и доставка'!$B$13</f>
        <v/>
      </c>
      <c r="R20" s="20">
        <f>IFERROR(Q20/L20,0)</f>
        <v/>
      </c>
      <c r="S20" s="21" t="n">
        <v>27000</v>
      </c>
      <c r="T20" s="17">
        <f>L20*S20</f>
        <v/>
      </c>
      <c r="U20" s="17">
        <f>S20+R20</f>
        <v/>
      </c>
      <c r="V20" s="22">
        <f>IFERROR(R20/S20,"")</f>
        <v/>
      </c>
      <c r="W20" s="16" t="inlineStr"/>
      <c r="X20" s="4" t="inlineStr">
        <is>
          <t>Склад 3</t>
        </is>
      </c>
      <c r="Y20" s="23" t="inlineStr"/>
    </row>
    <row r="21">
      <c r="A21" s="4" t="n">
        <v>17</v>
      </c>
      <c r="B21" s="5" t="inlineStr">
        <is>
          <t>3. Остальная бронза и латунь</t>
        </is>
      </c>
      <c r="C21" s="4" t="inlineStr">
        <is>
          <t>Ярус 3, ящики</t>
        </is>
      </c>
      <c r="D21" s="4" t="inlineStr">
        <is>
          <t>клапан фланцевый</t>
        </is>
      </c>
      <c r="E21" s="4" t="inlineStr">
        <is>
          <t>Ду80</t>
        </is>
      </c>
      <c r="F21" s="5" t="inlineStr">
        <is>
          <t>Клапан фланцевый угловой Ду80</t>
        </is>
      </c>
      <c r="G21" s="4" t="inlineStr">
        <is>
          <t>522-03.197</t>
        </is>
      </c>
      <c r="H21" s="16" t="inlineStr"/>
      <c r="I21" s="16" t="inlineStr">
        <is>
          <t>Комплект</t>
        </is>
      </c>
      <c r="J21" s="4" t="inlineStr">
        <is>
          <t>бронза/латунь</t>
        </is>
      </c>
      <c r="K21" s="4" t="n">
        <v>7</v>
      </c>
      <c r="L21" s="16" t="n">
        <v>7</v>
      </c>
      <c r="M21" s="16" t="n">
        <v>28</v>
      </c>
      <c r="N21" s="17">
        <f>L21*M21</f>
        <v/>
      </c>
      <c r="O21" s="18" t="n">
        <v>0.21</v>
      </c>
      <c r="P21" s="19">
        <f>IFERROR(IF('Расходы и доставка'!$B$15="по весу",N21/'Расходы и доставка'!$B$19,IF('Расходы и доставка'!$B$15="по объему",O21/'Расходы и доставка'!$B$20,IF('Расходы и доставка'!$B$15="поровну на штуку",L21/'Расходы и доставка'!$B$21,T21/'Расходы и доставка'!$B$22))),0)</f>
        <v/>
      </c>
      <c r="Q21" s="17">
        <f>P21*'Расходы и доставка'!$B$13</f>
        <v/>
      </c>
      <c r="R21" s="20">
        <f>IFERROR(Q21/L21,0)</f>
        <v/>
      </c>
      <c r="S21" s="21" t="n">
        <v>34000</v>
      </c>
      <c r="T21" s="17">
        <f>L21*S21</f>
        <v/>
      </c>
      <c r="U21" s="17">
        <f>S21+R21</f>
        <v/>
      </c>
      <c r="V21" s="22">
        <f>IFERROR(R21/S21,"")</f>
        <v/>
      </c>
      <c r="W21" s="16" t="inlineStr"/>
      <c r="X21" s="4" t="inlineStr">
        <is>
          <t>Склад 3</t>
        </is>
      </c>
      <c r="Y21" s="23" t="inlineStr"/>
    </row>
    <row r="22">
      <c r="A22" s="4" t="n">
        <v>18</v>
      </c>
      <c r="B22" s="5" t="inlineStr">
        <is>
          <t>3. Остальная бронза и латунь</t>
        </is>
      </c>
      <c r="C22" s="4" t="inlineStr">
        <is>
          <t>Ярус 3, ящики</t>
        </is>
      </c>
      <c r="D22" s="4" t="inlineStr">
        <is>
          <t>клинкет (задвижка)</t>
        </is>
      </c>
      <c r="E22" s="4" t="inlineStr">
        <is>
          <t>Ду80</t>
        </is>
      </c>
      <c r="F22" s="5" t="inlineStr">
        <is>
          <t>Задвижка клинкетная фланцевая Ду80 Ру6</t>
        </is>
      </c>
      <c r="G22" s="4" t="inlineStr"/>
      <c r="H22" s="16" t="inlineStr"/>
      <c r="I22" s="16" t="inlineStr">
        <is>
          <t>Комплект</t>
        </is>
      </c>
      <c r="J22" s="4" t="inlineStr">
        <is>
          <t>бронза/латунь</t>
        </is>
      </c>
      <c r="K22" s="4" t="n">
        <v>18</v>
      </c>
      <c r="L22" s="16" t="n">
        <v>18</v>
      </c>
      <c r="M22" s="16" t="n">
        <v>28</v>
      </c>
      <c r="N22" s="17">
        <f>L22*M22</f>
        <v/>
      </c>
      <c r="O22" s="18" t="n">
        <v>0.54</v>
      </c>
      <c r="P22" s="19">
        <f>IFERROR(IF('Расходы и доставка'!$B$15="по весу",N22/'Расходы и доставка'!$B$19,IF('Расходы и доставка'!$B$15="по объему",O22/'Расходы и доставка'!$B$20,IF('Расходы и доставка'!$B$15="поровну на штуку",L22/'Расходы и доставка'!$B$21,T22/'Расходы и доставка'!$B$22))),0)</f>
        <v/>
      </c>
      <c r="Q22" s="17">
        <f>P22*'Расходы и доставка'!$B$13</f>
        <v/>
      </c>
      <c r="R22" s="20">
        <f>IFERROR(Q22/L22,0)</f>
        <v/>
      </c>
      <c r="S22" s="21" t="n">
        <v>32000</v>
      </c>
      <c r="T22" s="17">
        <f>L22*S22</f>
        <v/>
      </c>
      <c r="U22" s="17">
        <f>S22+R22</f>
        <v/>
      </c>
      <c r="V22" s="22">
        <f>IFERROR(R22/S22,"")</f>
        <v/>
      </c>
      <c r="W22" s="16" t="inlineStr"/>
      <c r="X22" s="4" t="inlineStr">
        <is>
          <t>Склад 3</t>
        </is>
      </c>
      <c r="Y22" s="23" t="inlineStr"/>
    </row>
    <row r="23">
      <c r="A23" s="4" t="n">
        <v>19</v>
      </c>
      <c r="B23" s="5" t="inlineStr">
        <is>
          <t>3. Остальная бронза и латунь</t>
        </is>
      </c>
      <c r="C23" s="4" t="inlineStr">
        <is>
          <t>Ярус 3, ящики</t>
        </is>
      </c>
      <c r="D23" s="4" t="inlineStr">
        <is>
          <t>клинкет (задвижка)</t>
        </is>
      </c>
      <c r="E23" s="4" t="inlineStr">
        <is>
          <t>Ду60</t>
        </is>
      </c>
      <c r="F23" s="5" t="inlineStr">
        <is>
          <t>Задвижка клинкетная Ду60</t>
        </is>
      </c>
      <c r="G23" s="4" t="inlineStr"/>
      <c r="H23" s="16" t="inlineStr"/>
      <c r="I23" s="16" t="inlineStr">
        <is>
          <t>Комплект</t>
        </is>
      </c>
      <c r="J23" s="4" t="inlineStr">
        <is>
          <t>бронза/латунь</t>
        </is>
      </c>
      <c r="K23" s="4" t="n">
        <v>1</v>
      </c>
      <c r="L23" s="16" t="n">
        <v>1</v>
      </c>
      <c r="M23" s="16" t="n">
        <v>16</v>
      </c>
      <c r="N23" s="17">
        <f>L23*M23</f>
        <v/>
      </c>
      <c r="O23" s="18" t="n">
        <v>0.02</v>
      </c>
      <c r="P23" s="19">
        <f>IFERROR(IF('Расходы и доставка'!$B$15="по весу",N23/'Расходы и доставка'!$B$19,IF('Расходы и доставка'!$B$15="по объему",O23/'Расходы и доставка'!$B$20,IF('Расходы и доставка'!$B$15="поровну на штуку",L23/'Расходы и доставка'!$B$21,T23/'Расходы и доставка'!$B$22))),0)</f>
        <v/>
      </c>
      <c r="Q23" s="17">
        <f>P23*'Расходы и доставка'!$B$13</f>
        <v/>
      </c>
      <c r="R23" s="20">
        <f>IFERROR(Q23/L23,0)</f>
        <v/>
      </c>
      <c r="S23" s="21" t="n">
        <v>18000</v>
      </c>
      <c r="T23" s="17">
        <f>L23*S23</f>
        <v/>
      </c>
      <c r="U23" s="17">
        <f>S23+R23</f>
        <v/>
      </c>
      <c r="V23" s="22">
        <f>IFERROR(R23/S23,"")</f>
        <v/>
      </c>
      <c r="W23" s="16" t="inlineStr"/>
      <c r="X23" s="4" t="inlineStr">
        <is>
          <t>Склад 3</t>
        </is>
      </c>
      <c r="Y23" s="23" t="inlineStr"/>
    </row>
    <row r="24">
      <c r="A24" s="4" t="n">
        <v>20</v>
      </c>
      <c r="B24" s="5" t="inlineStr">
        <is>
          <t>3. Остальная бронза и латунь</t>
        </is>
      </c>
      <c r="C24" s="4" t="inlineStr">
        <is>
          <t>Ярус 2, рядом на полу</t>
        </is>
      </c>
      <c r="D24" s="4" t="inlineStr">
        <is>
          <t>клапан фланцевый</t>
        </is>
      </c>
      <c r="E24" s="4" t="inlineStr">
        <is>
          <t>Ду150</t>
        </is>
      </c>
      <c r="F24" s="5" t="inlineStr">
        <is>
          <t>Клапан фланцевый угловой Ду150 Ру10</t>
        </is>
      </c>
      <c r="G24" s="4" t="inlineStr"/>
      <c r="H24" s="16" t="inlineStr"/>
      <c r="I24" s="16" t="inlineStr">
        <is>
          <t>Комплект</t>
        </is>
      </c>
      <c r="J24" s="4" t="inlineStr">
        <is>
          <t>бронза/латунь</t>
        </is>
      </c>
      <c r="K24" s="4" t="n">
        <v>1</v>
      </c>
      <c r="L24" s="16" t="n">
        <v>1</v>
      </c>
      <c r="M24" s="16" t="n">
        <v>75</v>
      </c>
      <c r="N24" s="17">
        <f>L24*M24</f>
        <v/>
      </c>
      <c r="O24" s="18" t="n">
        <v>0.1</v>
      </c>
      <c r="P24" s="19">
        <f>IFERROR(IF('Расходы и доставка'!$B$15="по весу",N24/'Расходы и доставка'!$B$19,IF('Расходы и доставка'!$B$15="по объему",O24/'Расходы и доставка'!$B$20,IF('Расходы и доставка'!$B$15="поровну на штуку",L24/'Расходы и доставка'!$B$21,T24/'Расходы и доставка'!$B$22))),0)</f>
        <v/>
      </c>
      <c r="Q24" s="17">
        <f>P24*'Расходы и доставка'!$B$13</f>
        <v/>
      </c>
      <c r="R24" s="20">
        <f>IFERROR(Q24/L24,0)</f>
        <v/>
      </c>
      <c r="S24" s="21" t="n">
        <v>80000</v>
      </c>
      <c r="T24" s="17">
        <f>L24*S24</f>
        <v/>
      </c>
      <c r="U24" s="17">
        <f>S24+R24</f>
        <v/>
      </c>
      <c r="V24" s="22">
        <f>IFERROR(R24/S24,"")</f>
        <v/>
      </c>
      <c r="W24" s="16" t="inlineStr"/>
      <c r="X24" s="4" t="inlineStr">
        <is>
          <t>Склад 3</t>
        </is>
      </c>
      <c r="Y24" s="23" t="inlineStr"/>
    </row>
    <row r="25">
      <c r="A25" s="4" t="n">
        <v>21</v>
      </c>
      <c r="B25" s="5" t="inlineStr">
        <is>
          <t>3. Остальная бронза и латунь</t>
        </is>
      </c>
      <c r="C25" s="4" t="inlineStr">
        <is>
          <t>Ярус 2, рядом на полу</t>
        </is>
      </c>
      <c r="D25" s="4" t="inlineStr">
        <is>
          <t>клапан фланцевый</t>
        </is>
      </c>
      <c r="E25" s="4" t="inlineStr">
        <is>
          <t>Ду150</t>
        </is>
      </c>
      <c r="F25" s="5" t="inlineStr">
        <is>
          <t>Клапан фланцевый угловой Ду150 Ру10</t>
        </is>
      </c>
      <c r="G25" s="4" t="inlineStr">
        <is>
          <t>521-01.207</t>
        </is>
      </c>
      <c r="H25" s="16" t="inlineStr"/>
      <c r="I25" s="16" t="inlineStr">
        <is>
          <t>Комплект</t>
        </is>
      </c>
      <c r="J25" s="4" t="inlineStr">
        <is>
          <t>бронза/латунь</t>
        </is>
      </c>
      <c r="K25" s="4" t="n">
        <v>1</v>
      </c>
      <c r="L25" s="16" t="n">
        <v>1</v>
      </c>
      <c r="M25" s="16" t="n">
        <v>75</v>
      </c>
      <c r="N25" s="17">
        <f>L25*M25</f>
        <v/>
      </c>
      <c r="O25" s="18" t="n">
        <v>0.1</v>
      </c>
      <c r="P25" s="19">
        <f>IFERROR(IF('Расходы и доставка'!$B$15="по весу",N25/'Расходы и доставка'!$B$19,IF('Расходы и доставка'!$B$15="по объему",O25/'Расходы и доставка'!$B$20,IF('Расходы и доставка'!$B$15="поровну на штуку",L25/'Расходы и доставка'!$B$21,T25/'Расходы и доставка'!$B$22))),0)</f>
        <v/>
      </c>
      <c r="Q25" s="17">
        <f>P25*'Расходы и доставка'!$B$13</f>
        <v/>
      </c>
      <c r="R25" s="20">
        <f>IFERROR(Q25/L25,0)</f>
        <v/>
      </c>
      <c r="S25" s="21" t="n">
        <v>80000</v>
      </c>
      <c r="T25" s="17">
        <f>L25*S25</f>
        <v/>
      </c>
      <c r="U25" s="17">
        <f>S25+R25</f>
        <v/>
      </c>
      <c r="V25" s="22">
        <f>IFERROR(R25/S25,"")</f>
        <v/>
      </c>
      <c r="W25" s="16" t="inlineStr"/>
      <c r="X25" s="4" t="inlineStr">
        <is>
          <t>Склад 3</t>
        </is>
      </c>
      <c r="Y25" s="23" t="inlineStr"/>
    </row>
    <row r="26">
      <c r="A26" s="4" t="n">
        <v>22</v>
      </c>
      <c r="B26" s="5" t="inlineStr">
        <is>
          <t>3. Остальная бронза и латунь</t>
        </is>
      </c>
      <c r="C26" s="4" t="inlineStr">
        <is>
          <t>Ярус 3, ящики</t>
        </is>
      </c>
      <c r="D26" s="4" t="inlineStr">
        <is>
          <t>клинкет (задвижка)</t>
        </is>
      </c>
      <c r="E26" s="4" t="inlineStr">
        <is>
          <t>Ду80</t>
        </is>
      </c>
      <c r="F26" s="5" t="inlineStr">
        <is>
          <t>Задвижка клинкетная Ду 80 БРОНЗА</t>
        </is>
      </c>
      <c r="G26" s="4" t="inlineStr"/>
      <c r="H26" s="16" t="inlineStr"/>
      <c r="I26" s="16" t="inlineStr">
        <is>
          <t>Комплект</t>
        </is>
      </c>
      <c r="J26" s="4" t="inlineStr">
        <is>
          <t>бронза/латунь</t>
        </is>
      </c>
      <c r="K26" s="4" t="n">
        <v>44</v>
      </c>
      <c r="L26" s="16" t="n">
        <v>44</v>
      </c>
      <c r="M26" s="16" t="n">
        <v>28</v>
      </c>
      <c r="N26" s="17">
        <f>L26*M26</f>
        <v/>
      </c>
      <c r="O26" s="18" t="n">
        <v>1.32</v>
      </c>
      <c r="P26" s="19">
        <f>IFERROR(IF('Расходы и доставка'!$B$15="по весу",N26/'Расходы и доставка'!$B$19,IF('Расходы и доставка'!$B$15="по объему",O26/'Расходы и доставка'!$B$20,IF('Расходы и доставка'!$B$15="поровну на штуку",L26/'Расходы и доставка'!$B$21,T26/'Расходы и доставка'!$B$22))),0)</f>
        <v/>
      </c>
      <c r="Q26" s="17">
        <f>P26*'Расходы и доставка'!$B$13</f>
        <v/>
      </c>
      <c r="R26" s="20">
        <f>IFERROR(Q26/L26,0)</f>
        <v/>
      </c>
      <c r="S26" s="21" t="n">
        <v>24000</v>
      </c>
      <c r="T26" s="17">
        <f>L26*S26</f>
        <v/>
      </c>
      <c r="U26" s="17">
        <f>S26+R26</f>
        <v/>
      </c>
      <c r="V26" s="22">
        <f>IFERROR(R26/S26,"")</f>
        <v/>
      </c>
      <c r="W26" s="16" t="inlineStr"/>
      <c r="X26" s="4" t="inlineStr">
        <is>
          <t>Склад 1А/1Б</t>
        </is>
      </c>
      <c r="Y26" s="23" t="inlineStr"/>
    </row>
    <row r="27">
      <c r="A27" s="4" t="n">
        <v>23</v>
      </c>
      <c r="B27" s="5" t="inlineStr">
        <is>
          <t>3. Остальная бронза и латунь</t>
        </is>
      </c>
      <c r="C27" s="4" t="inlineStr">
        <is>
          <t>Ярус 3, ящики</t>
        </is>
      </c>
      <c r="D27" s="4" t="inlineStr">
        <is>
          <t>клинкет (задвижка)</t>
        </is>
      </c>
      <c r="E27" s="4" t="inlineStr">
        <is>
          <t>Ду100</t>
        </is>
      </c>
      <c r="F27" s="5" t="inlineStr">
        <is>
          <t>Задвижка клинкетная Ду100</t>
        </is>
      </c>
      <c r="G27" s="4" t="inlineStr"/>
      <c r="H27" s="16" t="inlineStr"/>
      <c r="I27" s="16" t="inlineStr">
        <is>
          <t>Комплект</t>
        </is>
      </c>
      <c r="J27" s="4" t="inlineStr">
        <is>
          <t>бронза/латунь</t>
        </is>
      </c>
      <c r="K27" s="4" t="n">
        <v>6</v>
      </c>
      <c r="L27" s="16" t="n">
        <v>6</v>
      </c>
      <c r="M27" s="16" t="n">
        <v>45</v>
      </c>
      <c r="N27" s="17">
        <f>L27*M27</f>
        <v/>
      </c>
      <c r="O27" s="18" t="n">
        <v>0.27</v>
      </c>
      <c r="P27" s="19">
        <f>IFERROR(IF('Расходы и доставка'!$B$15="по весу",N27/'Расходы и доставка'!$B$19,IF('Расходы и доставка'!$B$15="по объему",O27/'Расходы и доставка'!$B$20,IF('Расходы и доставка'!$B$15="поровну на штуку",L27/'Расходы и доставка'!$B$21,T27/'Расходы и доставка'!$B$22))),0)</f>
        <v/>
      </c>
      <c r="Q27" s="17">
        <f>P27*'Расходы и доставка'!$B$13</f>
        <v/>
      </c>
      <c r="R27" s="20">
        <f>IFERROR(Q27/L27,0)</f>
        <v/>
      </c>
      <c r="S27" s="21" t="n">
        <v>38000</v>
      </c>
      <c r="T27" s="17">
        <f>L27*S27</f>
        <v/>
      </c>
      <c r="U27" s="17">
        <f>S27+R27</f>
        <v/>
      </c>
      <c r="V27" s="22">
        <f>IFERROR(R27/S27,"")</f>
        <v/>
      </c>
      <c r="W27" s="16" t="inlineStr"/>
      <c r="X27" s="4" t="inlineStr">
        <is>
          <t>Склад 3</t>
        </is>
      </c>
      <c r="Y27" s="23" t="inlineStr"/>
    </row>
    <row r="28">
      <c r="A28" s="4" t="n">
        <v>24</v>
      </c>
      <c r="B28" s="5" t="inlineStr">
        <is>
          <t>3. Остальная бронза и латунь</t>
        </is>
      </c>
      <c r="C28" s="4" t="inlineStr">
        <is>
          <t>Ярус 3, ящики</t>
        </is>
      </c>
      <c r="D28" s="4" t="inlineStr">
        <is>
          <t>клинкет (задвижка)</t>
        </is>
      </c>
      <c r="E28" s="4" t="inlineStr">
        <is>
          <t>Ду100</t>
        </is>
      </c>
      <c r="F28" s="5" t="inlineStr">
        <is>
          <t>Задвижка клинкетная Ду100</t>
        </is>
      </c>
      <c r="G28" s="4" t="inlineStr"/>
      <c r="H28" s="16" t="inlineStr"/>
      <c r="I28" s="16" t="inlineStr">
        <is>
          <t>Комплект</t>
        </is>
      </c>
      <c r="J28" s="4" t="inlineStr">
        <is>
          <t>бронза/латунь</t>
        </is>
      </c>
      <c r="K28" s="4" t="n">
        <v>43</v>
      </c>
      <c r="L28" s="16" t="n">
        <v>43</v>
      </c>
      <c r="M28" s="16" t="n">
        <v>45</v>
      </c>
      <c r="N28" s="17">
        <f>L28*M28</f>
        <v/>
      </c>
      <c r="O28" s="18" t="n">
        <v>1.935</v>
      </c>
      <c r="P28" s="19">
        <f>IFERROR(IF('Расходы и доставка'!$B$15="по весу",N28/'Расходы и доставка'!$B$19,IF('Расходы и доставка'!$B$15="по объему",O28/'Расходы и доставка'!$B$20,IF('Расходы и доставка'!$B$15="поровну на штуку",L28/'Расходы и доставка'!$B$21,T28/'Расходы и доставка'!$B$22))),0)</f>
        <v/>
      </c>
      <c r="Q28" s="17">
        <f>P28*'Расходы и доставка'!$B$13</f>
        <v/>
      </c>
      <c r="R28" s="20">
        <f>IFERROR(Q28/L28,0)</f>
        <v/>
      </c>
      <c r="S28" s="21" t="n">
        <v>38000</v>
      </c>
      <c r="T28" s="17">
        <f>L28*S28</f>
        <v/>
      </c>
      <c r="U28" s="17">
        <f>S28+R28</f>
        <v/>
      </c>
      <c r="V28" s="22">
        <f>IFERROR(R28/S28,"")</f>
        <v/>
      </c>
      <c r="W28" s="16" t="inlineStr"/>
      <c r="X28" s="4" t="inlineStr">
        <is>
          <t>Склад 3</t>
        </is>
      </c>
      <c r="Y28" s="23" t="inlineStr"/>
    </row>
    <row r="29">
      <c r="A29" s="4" t="n">
        <v>25</v>
      </c>
      <c r="B29" s="5" t="inlineStr">
        <is>
          <t>3. Остальная бронза и латунь</t>
        </is>
      </c>
      <c r="C29" s="4" t="inlineStr">
        <is>
          <t>Ярус 3, ящики</t>
        </is>
      </c>
      <c r="D29" s="4" t="inlineStr">
        <is>
          <t>клинкет (задвижка)</t>
        </is>
      </c>
      <c r="E29" s="4" t="inlineStr">
        <is>
          <t>Ду100</t>
        </is>
      </c>
      <c r="F29" s="5" t="inlineStr">
        <is>
          <t>Задвижка клинкетная Ду 100 БРОНЗА</t>
        </is>
      </c>
      <c r="G29" s="4" t="inlineStr"/>
      <c r="H29" s="16" t="inlineStr"/>
      <c r="I29" s="16" t="inlineStr">
        <is>
          <t>Комплект</t>
        </is>
      </c>
      <c r="J29" s="4" t="inlineStr">
        <is>
          <t>бронза/латунь</t>
        </is>
      </c>
      <c r="K29" s="4" t="n">
        <v>2</v>
      </c>
      <c r="L29" s="16" t="n">
        <v>2</v>
      </c>
      <c r="M29" s="16" t="n">
        <v>45</v>
      </c>
      <c r="N29" s="17">
        <f>L29*M29</f>
        <v/>
      </c>
      <c r="O29" s="18" t="n">
        <v>0.09</v>
      </c>
      <c r="P29" s="19">
        <f>IFERROR(IF('Расходы и доставка'!$B$15="по весу",N29/'Расходы и доставка'!$B$19,IF('Расходы и доставка'!$B$15="по объему",O29/'Расходы и доставка'!$B$20,IF('Расходы и доставка'!$B$15="поровну на штуку",L29/'Расходы и доставка'!$B$21,T29/'Расходы и доставка'!$B$22))),0)</f>
        <v/>
      </c>
      <c r="Q29" s="17">
        <f>P29*'Расходы и доставка'!$B$13</f>
        <v/>
      </c>
      <c r="R29" s="20">
        <f>IFERROR(Q29/L29,0)</f>
        <v/>
      </c>
      <c r="S29" s="21" t="n">
        <v>35000</v>
      </c>
      <c r="T29" s="17">
        <f>L29*S29</f>
        <v/>
      </c>
      <c r="U29" s="17">
        <f>S29+R29</f>
        <v/>
      </c>
      <c r="V29" s="22">
        <f>IFERROR(R29/S29,"")</f>
        <v/>
      </c>
      <c r="W29" s="16" t="inlineStr"/>
      <c r="X29" s="4" t="inlineStr">
        <is>
          <t>Склад 1А/1Б</t>
        </is>
      </c>
      <c r="Y29" s="23" t="inlineStr"/>
    </row>
    <row r="30">
      <c r="A30" s="4" t="n">
        <v>26</v>
      </c>
      <c r="B30" s="5" t="inlineStr">
        <is>
          <t>4. Прочее, по цене за килограмм</t>
        </is>
      </c>
      <c r="C30" s="4" t="inlineStr">
        <is>
          <t>Ярус 2, рядом на полу</t>
        </is>
      </c>
      <c r="D30" s="4" t="inlineStr">
        <is>
          <t>клапан без описания — уточнить</t>
        </is>
      </c>
      <c r="E30" s="4" t="inlineStr">
        <is>
          <t>Ду125</t>
        </is>
      </c>
      <c r="F30" s="5" t="inlineStr">
        <is>
          <t>Клапан проходной ДУ 125 корпус</t>
        </is>
      </c>
      <c r="G30" s="4" t="inlineStr"/>
      <c r="H30" s="16" t="inlineStr"/>
      <c r="I30" s="16" t="inlineStr">
        <is>
          <t>Комплект</t>
        </is>
      </c>
      <c r="J30" s="4" t="inlineStr"/>
      <c r="K30" s="4" t="n">
        <v>1</v>
      </c>
      <c r="L30" s="16" t="n">
        <v>1</v>
      </c>
      <c r="M30" s="16" t="n">
        <v>5</v>
      </c>
      <c r="N30" s="17">
        <f>L30*M30</f>
        <v/>
      </c>
      <c r="O30" s="18" t="n">
        <v>0.07000000000000001</v>
      </c>
      <c r="P30" s="19">
        <f>IFERROR(IF('Расходы и доставка'!$B$15="по весу",N30/'Расходы и доставка'!$B$19,IF('Расходы и доставка'!$B$15="по объему",O30/'Расходы и доставка'!$B$20,IF('Расходы и доставка'!$B$15="поровну на штуку",L30/'Расходы и доставка'!$B$21,T30/'Расходы и доставка'!$B$22))),0)</f>
        <v/>
      </c>
      <c r="Q30" s="17">
        <f>P30*'Расходы и доставка'!$B$13</f>
        <v/>
      </c>
      <c r="R30" s="20">
        <f>IFERROR(Q30/L30,0)</f>
        <v/>
      </c>
      <c r="S30" s="21" t="n">
        <v>37000</v>
      </c>
      <c r="T30" s="17">
        <f>L30*S30</f>
        <v/>
      </c>
      <c r="U30" s="17">
        <f>S30+R30</f>
        <v/>
      </c>
      <c r="V30" s="22">
        <f>IFERROR(R30/S30,"")</f>
        <v/>
      </c>
      <c r="W30" s="16" t="inlineStr"/>
      <c r="X30" s="4" t="inlineStr">
        <is>
          <t>Склад 1А/1Б</t>
        </is>
      </c>
      <c r="Y30" s="23" t="inlineStr"/>
    </row>
    <row r="31">
      <c r="A31" s="4" t="n">
        <v>27</v>
      </c>
      <c r="B31" s="5" t="inlineStr">
        <is>
          <t>4. Прочее, по цене за килограмм</t>
        </is>
      </c>
      <c r="C31" s="4" t="inlineStr">
        <is>
          <t>Ярус 4, верх</t>
        </is>
      </c>
      <c r="D31" s="4" t="inlineStr">
        <is>
          <t>фильтр забортной воды</t>
        </is>
      </c>
      <c r="E31" s="4" t="inlineStr">
        <is>
          <t>Ду50</t>
        </is>
      </c>
      <c r="F31" s="5" t="inlineStr">
        <is>
          <t>Фильтр забортной воды Ду 50</t>
        </is>
      </c>
      <c r="G31" s="4" t="inlineStr"/>
      <c r="H31" s="16" t="inlineStr"/>
      <c r="I31" s="16" t="inlineStr">
        <is>
          <t>Комплект</t>
        </is>
      </c>
      <c r="J31" s="4" t="inlineStr"/>
      <c r="K31" s="4" t="n">
        <v>1</v>
      </c>
      <c r="L31" s="16" t="n">
        <v>1</v>
      </c>
      <c r="M31" s="16" t="n">
        <v>15</v>
      </c>
      <c r="N31" s="17">
        <f>L31*M31</f>
        <v/>
      </c>
      <c r="O31" s="18" t="n">
        <v>0.012</v>
      </c>
      <c r="P31" s="19">
        <f>IFERROR(IF('Расходы и доставка'!$B$15="по весу",N31/'Расходы и доставка'!$B$19,IF('Расходы и доставка'!$B$15="по объему",O31/'Расходы и доставка'!$B$20,IF('Расходы и доставка'!$B$15="поровну на штуку",L31/'Расходы и доставка'!$B$21,T31/'Расходы и доставка'!$B$22))),0)</f>
        <v/>
      </c>
      <c r="Q31" s="17">
        <f>P31*'Расходы и доставка'!$B$13</f>
        <v/>
      </c>
      <c r="R31" s="20">
        <f>IFERROR(Q31/L31,0)</f>
        <v/>
      </c>
      <c r="S31" s="21" t="n">
        <v>60000</v>
      </c>
      <c r="T31" s="17">
        <f>L31*S31</f>
        <v/>
      </c>
      <c r="U31" s="17">
        <f>S31+R31</f>
        <v/>
      </c>
      <c r="V31" s="22">
        <f>IFERROR(R31/S31,"")</f>
        <v/>
      </c>
      <c r="W31" s="16" t="inlineStr"/>
      <c r="X31" s="4" t="inlineStr">
        <is>
          <t>Фойе</t>
        </is>
      </c>
      <c r="Y31" s="23" t="inlineStr"/>
    </row>
    <row r="32">
      <c r="A32" s="4" t="n">
        <v>28</v>
      </c>
      <c r="B32" s="5" t="inlineStr">
        <is>
          <t>4. Прочее, по цене за килограмм</t>
        </is>
      </c>
      <c r="C32" s="4" t="inlineStr">
        <is>
          <t>Ярус 4, верх</t>
        </is>
      </c>
      <c r="D32" s="4" t="inlineStr">
        <is>
          <t>фильтр забортной воды</t>
        </is>
      </c>
      <c r="E32" s="4" t="inlineStr">
        <is>
          <t>Ду100</t>
        </is>
      </c>
      <c r="F32" s="5" t="inlineStr">
        <is>
          <t>Фильтр фланц.прох. забортной воды Ду100 Ру4</t>
        </is>
      </c>
      <c r="G32" s="4" t="inlineStr">
        <is>
          <t>427-03-109-2</t>
        </is>
      </c>
      <c r="H32" s="16" t="inlineStr"/>
      <c r="I32" s="16" t="inlineStr">
        <is>
          <t>Комплект</t>
        </is>
      </c>
      <c r="J32" s="4" t="inlineStr"/>
      <c r="K32" s="4" t="n">
        <v>3</v>
      </c>
      <c r="L32" s="16" t="n">
        <v>3</v>
      </c>
      <c r="M32" s="16" t="n">
        <v>40</v>
      </c>
      <c r="N32" s="17">
        <f>L32*M32</f>
        <v/>
      </c>
      <c r="O32" s="18" t="n">
        <v>0.135</v>
      </c>
      <c r="P32" s="19">
        <f>IFERROR(IF('Расходы и доставка'!$B$15="по весу",N32/'Расходы и доставка'!$B$19,IF('Расходы и доставка'!$B$15="по объему",O32/'Расходы и доставка'!$B$20,IF('Расходы и доставка'!$B$15="поровну на штуку",L32/'Расходы и доставка'!$B$21,T32/'Расходы и доставка'!$B$22))),0)</f>
        <v/>
      </c>
      <c r="Q32" s="17">
        <f>P32*'Расходы и доставка'!$B$13</f>
        <v/>
      </c>
      <c r="R32" s="20">
        <f>IFERROR(Q32/L32,0)</f>
        <v/>
      </c>
      <c r="S32" s="21" t="n">
        <v>120000</v>
      </c>
      <c r="T32" s="17">
        <f>L32*S32</f>
        <v/>
      </c>
      <c r="U32" s="17">
        <f>S32+R32</f>
        <v/>
      </c>
      <c r="V32" s="22">
        <f>IFERROR(R32/S32,"")</f>
        <v/>
      </c>
      <c r="W32" s="16" t="inlineStr"/>
      <c r="X32" s="4" t="inlineStr">
        <is>
          <t>Склад 2</t>
        </is>
      </c>
      <c r="Y32" s="23" t="inlineStr"/>
    </row>
    <row r="33">
      <c r="A33" s="4" t="n">
        <v>29</v>
      </c>
      <c r="B33" s="5" t="inlineStr">
        <is>
          <t>4. Прочее, по цене за килограмм</t>
        </is>
      </c>
      <c r="C33" s="4" t="inlineStr">
        <is>
          <t>Ярус 4, верх</t>
        </is>
      </c>
      <c r="D33" s="4" t="inlineStr">
        <is>
          <t>фильтр забортной воды</t>
        </is>
      </c>
      <c r="E33" s="4" t="inlineStr">
        <is>
          <t>Ду100</t>
        </is>
      </c>
      <c r="F33" s="5" t="inlineStr">
        <is>
          <t>Фильтр забортной воды Ду 100</t>
        </is>
      </c>
      <c r="G33" s="4" t="inlineStr"/>
      <c r="H33" s="16" t="inlineStr"/>
      <c r="I33" s="16" t="inlineStr">
        <is>
          <t>Комплект</t>
        </is>
      </c>
      <c r="J33" s="4" t="inlineStr"/>
      <c r="K33" s="4" t="n">
        <v>1</v>
      </c>
      <c r="L33" s="16" t="n">
        <v>1</v>
      </c>
      <c r="M33" s="16" t="n">
        <v>40</v>
      </c>
      <c r="N33" s="17">
        <f>L33*M33</f>
        <v/>
      </c>
      <c r="O33" s="18" t="n">
        <v>0.045</v>
      </c>
      <c r="P33" s="19">
        <f>IFERROR(IF('Расходы и доставка'!$B$15="по весу",N33/'Расходы и доставка'!$B$19,IF('Расходы и доставка'!$B$15="по объему",O33/'Расходы и доставка'!$B$20,IF('Расходы и доставка'!$B$15="поровну на штуку",L33/'Расходы и доставка'!$B$21,T33/'Расходы и доставка'!$B$22))),0)</f>
        <v/>
      </c>
      <c r="Q33" s="17">
        <f>P33*'Расходы и доставка'!$B$13</f>
        <v/>
      </c>
      <c r="R33" s="20">
        <f>IFERROR(Q33/L33,0)</f>
        <v/>
      </c>
      <c r="S33" s="21" t="n">
        <v>120000</v>
      </c>
      <c r="T33" s="17">
        <f>L33*S33</f>
        <v/>
      </c>
      <c r="U33" s="17">
        <f>S33+R33</f>
        <v/>
      </c>
      <c r="V33" s="22">
        <f>IFERROR(R33/S33,"")</f>
        <v/>
      </c>
      <c r="W33" s="16" t="inlineStr"/>
      <c r="X33" s="4" t="inlineStr">
        <is>
          <t>Фойе</t>
        </is>
      </c>
      <c r="Y33" s="23" t="inlineStr"/>
    </row>
    <row r="34">
      <c r="A34" s="4" t="n">
        <v>30</v>
      </c>
      <c r="B34" s="5" t="inlineStr">
        <is>
          <t>4. Прочее, по цене за килограмм</t>
        </is>
      </c>
      <c r="C34" s="4" t="inlineStr">
        <is>
          <t>Ярус 3, ящики</t>
        </is>
      </c>
      <c r="D34" s="4" t="inlineStr">
        <is>
          <t>клинкет (задвижка)</t>
        </is>
      </c>
      <c r="E34" s="4" t="inlineStr">
        <is>
          <t>Ду50</t>
        </is>
      </c>
      <c r="F34" s="5" t="inlineStr">
        <is>
          <t>Задвижка клинкетная Ду 50, без клиньев</t>
        </is>
      </c>
      <c r="G34" s="4" t="inlineStr"/>
      <c r="H34" s="16" t="inlineStr"/>
      <c r="I34" s="16" t="inlineStr">
        <is>
          <t>Не комплект</t>
        </is>
      </c>
      <c r="J34" s="4" t="inlineStr"/>
      <c r="K34" s="4" t="n">
        <v>1</v>
      </c>
      <c r="L34" s="16" t="n">
        <v>1</v>
      </c>
      <c r="M34" s="16" t="n">
        <v>12</v>
      </c>
      <c r="N34" s="17">
        <f>L34*M34</f>
        <v/>
      </c>
      <c r="O34" s="18" t="n">
        <v>0.012</v>
      </c>
      <c r="P34" s="19">
        <f>IFERROR(IF('Расходы и доставка'!$B$15="по весу",N34/'Расходы и доставка'!$B$19,IF('Расходы и доставка'!$B$15="по объему",O34/'Расходы и доставка'!$B$20,IF('Расходы и доставка'!$B$15="поровну на штуку",L34/'Расходы и доставка'!$B$21,T34/'Расходы и доставка'!$B$22))),0)</f>
        <v/>
      </c>
      <c r="Q34" s="17">
        <f>P34*'Расходы и доставка'!$B$13</f>
        <v/>
      </c>
      <c r="R34" s="20">
        <f>IFERROR(Q34/L34,0)</f>
        <v/>
      </c>
      <c r="S34" s="21" t="n">
        <v>25000</v>
      </c>
      <c r="T34" s="17">
        <f>L34*S34</f>
        <v/>
      </c>
      <c r="U34" s="17">
        <f>S34+R34</f>
        <v/>
      </c>
      <c r="V34" s="22">
        <f>IFERROR(R34/S34,"")</f>
        <v/>
      </c>
      <c r="W34" s="16" t="inlineStr"/>
      <c r="X34" s="4" t="inlineStr">
        <is>
          <t>Склад 1А/1Б</t>
        </is>
      </c>
      <c r="Y34" s="23" t="inlineStr"/>
    </row>
    <row r="35">
      <c r="A35" s="4" t="n">
        <v>31</v>
      </c>
      <c r="B35" s="5" t="inlineStr">
        <is>
          <t>4. Прочее, по цене за килограмм</t>
        </is>
      </c>
      <c r="C35" s="4" t="inlineStr">
        <is>
          <t>Ярус 3, ящики</t>
        </is>
      </c>
      <c r="D35" s="4" t="inlineStr">
        <is>
          <t>захлопка</t>
        </is>
      </c>
      <c r="E35" s="4" t="inlineStr">
        <is>
          <t>Ду50</t>
        </is>
      </c>
      <c r="F35" s="5" t="inlineStr">
        <is>
          <t>Захлопка фланцевая вертикальная Ду50Ру63</t>
        </is>
      </c>
      <c r="G35" s="4" t="inlineStr">
        <is>
          <t>529-35.1400-01</t>
        </is>
      </c>
      <c r="H35" s="16" t="inlineStr"/>
      <c r="I35" s="16" t="inlineStr">
        <is>
          <t>Комплект</t>
        </is>
      </c>
      <c r="J35" s="4" t="inlineStr"/>
      <c r="K35" s="4" t="n">
        <v>1</v>
      </c>
      <c r="L35" s="16" t="n">
        <v>1</v>
      </c>
      <c r="M35" s="16" t="n">
        <v>12</v>
      </c>
      <c r="N35" s="17">
        <f>L35*M35</f>
        <v/>
      </c>
      <c r="O35" s="18" t="n">
        <v>0.012</v>
      </c>
      <c r="P35" s="19">
        <f>IFERROR(IF('Расходы и доставка'!$B$15="по весу",N35/'Расходы и доставка'!$B$19,IF('Расходы и доставка'!$B$15="по объему",O35/'Расходы и доставка'!$B$20,IF('Расходы и доставка'!$B$15="поровну на штуку",L35/'Расходы и доставка'!$B$21,T35/'Расходы и доставка'!$B$22))),0)</f>
        <v/>
      </c>
      <c r="Q35" s="17">
        <f>P35*'Расходы и доставка'!$B$13</f>
        <v/>
      </c>
      <c r="R35" s="20">
        <f>IFERROR(Q35/L35,0)</f>
        <v/>
      </c>
      <c r="S35" s="21" t="n">
        <v>25000</v>
      </c>
      <c r="T35" s="17">
        <f>L35*S35</f>
        <v/>
      </c>
      <c r="U35" s="17">
        <f>S35+R35</f>
        <v/>
      </c>
      <c r="V35" s="22">
        <f>IFERROR(R35/S35,"")</f>
        <v/>
      </c>
      <c r="W35" s="16" t="inlineStr"/>
      <c r="X35" s="4" t="inlineStr">
        <is>
          <t>Склад 2</t>
        </is>
      </c>
      <c r="Y35" s="23" t="inlineStr"/>
    </row>
    <row r="36">
      <c r="A36" s="4" t="n">
        <v>32</v>
      </c>
      <c r="B36" s="5" t="inlineStr">
        <is>
          <t>4. Прочее, по цене за килограмм</t>
        </is>
      </c>
      <c r="C36" s="4" t="inlineStr">
        <is>
          <t>Ярус 3, ящики</t>
        </is>
      </c>
      <c r="D36" s="4" t="inlineStr">
        <is>
          <t>захлопка</t>
        </is>
      </c>
      <c r="E36" s="4" t="inlineStr">
        <is>
          <t>Ду50</t>
        </is>
      </c>
      <c r="F36" s="5" t="inlineStr">
        <is>
          <t>Захлопка фланцевая горизонтальная Ду50</t>
        </is>
      </c>
      <c r="G36" s="4" t="inlineStr">
        <is>
          <t>529-03.011</t>
        </is>
      </c>
      <c r="H36" s="16" t="inlineStr"/>
      <c r="I36" s="16" t="inlineStr">
        <is>
          <t>Комплект</t>
        </is>
      </c>
      <c r="J36" s="4" t="inlineStr"/>
      <c r="K36" s="4" t="n">
        <v>1</v>
      </c>
      <c r="L36" s="16" t="n">
        <v>1</v>
      </c>
      <c r="M36" s="16" t="n">
        <v>12</v>
      </c>
      <c r="N36" s="17">
        <f>L36*M36</f>
        <v/>
      </c>
      <c r="O36" s="18" t="n">
        <v>0.012</v>
      </c>
      <c r="P36" s="19">
        <f>IFERROR(IF('Расходы и доставка'!$B$15="по весу",N36/'Расходы и доставка'!$B$19,IF('Расходы и доставка'!$B$15="по объему",O36/'Расходы и доставка'!$B$20,IF('Расходы и доставка'!$B$15="поровну на штуку",L36/'Расходы и доставка'!$B$21,T36/'Расходы и доставка'!$B$22))),0)</f>
        <v/>
      </c>
      <c r="Q36" s="17">
        <f>P36*'Расходы и доставка'!$B$13</f>
        <v/>
      </c>
      <c r="R36" s="20">
        <f>IFERROR(Q36/L36,0)</f>
        <v/>
      </c>
      <c r="S36" s="21" t="n">
        <v>25000</v>
      </c>
      <c r="T36" s="17">
        <f>L36*S36</f>
        <v/>
      </c>
      <c r="U36" s="17">
        <f>S36+R36</f>
        <v/>
      </c>
      <c r="V36" s="22">
        <f>IFERROR(R36/S36,"")</f>
        <v/>
      </c>
      <c r="W36" s="16" t="inlineStr"/>
      <c r="X36" s="4" t="inlineStr">
        <is>
          <t>Склад 2</t>
        </is>
      </c>
      <c r="Y36" s="23" t="inlineStr"/>
    </row>
    <row r="37">
      <c r="A37" s="4" t="n">
        <v>33</v>
      </c>
      <c r="B37" s="5" t="inlineStr">
        <is>
          <t>4. Прочее, по цене за килограмм</t>
        </is>
      </c>
      <c r="C37" s="4" t="inlineStr">
        <is>
          <t>Ярус 4, верх</t>
        </is>
      </c>
      <c r="D37" s="4" t="inlineStr">
        <is>
          <t>фильтр забортной воды</t>
        </is>
      </c>
      <c r="E37" s="4" t="inlineStr">
        <is>
          <t>Ду200</t>
        </is>
      </c>
      <c r="F37" s="5" t="inlineStr">
        <is>
          <t>Фильтр забортной воды Ду200 Большой</t>
        </is>
      </c>
      <c r="G37" s="4" t="inlineStr"/>
      <c r="H37" s="16" t="inlineStr"/>
      <c r="I37" s="16" t="inlineStr">
        <is>
          <t>Комплект</t>
        </is>
      </c>
      <c r="J37" s="4" t="inlineStr"/>
      <c r="K37" s="4" t="n">
        <v>8</v>
      </c>
      <c r="L37" s="16" t="n">
        <v>8</v>
      </c>
      <c r="M37" s="16" t="n">
        <v>120</v>
      </c>
      <c r="N37" s="17">
        <f>L37*M37</f>
        <v/>
      </c>
      <c r="O37" s="18" t="n">
        <v>1.28</v>
      </c>
      <c r="P37" s="19">
        <f>IFERROR(IF('Расходы и доставка'!$B$15="по весу",N37/'Расходы и доставка'!$B$19,IF('Расходы и доставка'!$B$15="по объему",O37/'Расходы и доставка'!$B$20,IF('Расходы и доставка'!$B$15="поровну на штуку",L37/'Расходы и доставка'!$B$21,T37/'Расходы и доставка'!$B$22))),0)</f>
        <v/>
      </c>
      <c r="Q37" s="17">
        <f>P37*'Расходы и доставка'!$B$13</f>
        <v/>
      </c>
      <c r="R37" s="20">
        <f>IFERROR(Q37/L37,0)</f>
        <v/>
      </c>
      <c r="S37" s="21" t="n">
        <v>250000</v>
      </c>
      <c r="T37" s="17">
        <f>L37*S37</f>
        <v/>
      </c>
      <c r="U37" s="17">
        <f>S37+R37</f>
        <v/>
      </c>
      <c r="V37" s="22">
        <f>IFERROR(R37/S37,"")</f>
        <v/>
      </c>
      <c r="W37" s="16" t="inlineStr"/>
      <c r="X37" s="4" t="inlineStr">
        <is>
          <t>Фойе</t>
        </is>
      </c>
      <c r="Y37" s="23" t="inlineStr"/>
    </row>
    <row r="38">
      <c r="A38" s="4" t="n">
        <v>34</v>
      </c>
      <c r="B38" s="5" t="inlineStr">
        <is>
          <t>4. Прочее, по цене за килограмм</t>
        </is>
      </c>
      <c r="C38" s="4" t="inlineStr">
        <is>
          <t>Ярус 3, ящики</t>
        </is>
      </c>
      <c r="D38" s="4" t="inlineStr">
        <is>
          <t>клапан без описания — уточнить</t>
        </is>
      </c>
      <c r="E38" s="4" t="inlineStr"/>
      <c r="F38" s="5" t="inlineStr">
        <is>
          <t>Судовая запорная арматура</t>
        </is>
      </c>
      <c r="G38" s="4" t="inlineStr"/>
      <c r="H38" s="16" t="inlineStr"/>
      <c r="I38" s="16" t="inlineStr">
        <is>
          <t>Комплект</t>
        </is>
      </c>
      <c r="J38" s="4" t="inlineStr"/>
      <c r="K38" s="4" t="n">
        <v>2</v>
      </c>
      <c r="L38" s="16" t="n">
        <v>2</v>
      </c>
      <c r="M38" s="16" t="n">
        <v>5</v>
      </c>
      <c r="N38" s="17">
        <f>L38*M38</f>
        <v/>
      </c>
      <c r="O38" s="18" t="n">
        <v>0.02</v>
      </c>
      <c r="P38" s="19">
        <f>IFERROR(IF('Расходы и доставка'!$B$15="по весу",N38/'Расходы и доставка'!$B$19,IF('Расходы и доставка'!$B$15="по объему",O38/'Расходы и доставка'!$B$20,IF('Расходы и доставка'!$B$15="поровну на штуку",L38/'Расходы и доставка'!$B$21,T38/'Расходы и доставка'!$B$22))),0)</f>
        <v/>
      </c>
      <c r="Q38" s="17">
        <f>P38*'Расходы и доставка'!$B$13</f>
        <v/>
      </c>
      <c r="R38" s="20">
        <f>IFERROR(Q38/L38,0)</f>
        <v/>
      </c>
      <c r="S38" s="21" t="n">
        <v>10000</v>
      </c>
      <c r="T38" s="17">
        <f>L38*S38</f>
        <v/>
      </c>
      <c r="U38" s="17">
        <f>S38+R38</f>
        <v/>
      </c>
      <c r="V38" s="22">
        <f>IFERROR(R38/S38,"")</f>
        <v/>
      </c>
      <c r="W38" s="16" t="inlineStr"/>
      <c r="X38" s="4" t="inlineStr">
        <is>
          <t>Менеджерская</t>
        </is>
      </c>
      <c r="Y38" s="23" t="inlineStr"/>
    </row>
    <row r="39">
      <c r="A39" s="4" t="n">
        <v>35</v>
      </c>
      <c r="B39" s="5" t="inlineStr">
        <is>
          <t>4. Прочее, по цене за килограмм</t>
        </is>
      </c>
      <c r="C39" s="4" t="inlineStr">
        <is>
          <t>Ярус 4, верх</t>
        </is>
      </c>
      <c r="D39" s="4" t="inlineStr">
        <is>
          <t>фильтр забортной воды</t>
        </is>
      </c>
      <c r="E39" s="4" t="inlineStr">
        <is>
          <t>Ду150</t>
        </is>
      </c>
      <c r="F39" s="5" t="inlineStr">
        <is>
          <t>Фильтр заборной воды ДУ 150</t>
        </is>
      </c>
      <c r="G39" s="4" t="inlineStr"/>
      <c r="H39" s="16" t="inlineStr"/>
      <c r="I39" s="16" t="inlineStr">
        <is>
          <t>Комплект</t>
        </is>
      </c>
      <c r="J39" s="4" t="inlineStr"/>
      <c r="K39" s="4" t="n">
        <v>5</v>
      </c>
      <c r="L39" s="16" t="n">
        <v>5</v>
      </c>
      <c r="M39" s="16" t="n">
        <v>75</v>
      </c>
      <c r="N39" s="17">
        <f>L39*M39</f>
        <v/>
      </c>
      <c r="O39" s="18" t="n">
        <v>0.5</v>
      </c>
      <c r="P39" s="19">
        <f>IFERROR(IF('Расходы и доставка'!$B$15="по весу",N39/'Расходы и доставка'!$B$19,IF('Расходы и доставка'!$B$15="по объему",O39/'Расходы и доставка'!$B$20,IF('Расходы и доставка'!$B$15="поровну на штуку",L39/'Расходы и доставка'!$B$21,T39/'Расходы и доставка'!$B$22))),0)</f>
        <v/>
      </c>
      <c r="Q39" s="17">
        <f>P39*'Расходы и доставка'!$B$13</f>
        <v/>
      </c>
      <c r="R39" s="20">
        <f>IFERROR(Q39/L39,0)</f>
        <v/>
      </c>
      <c r="S39" s="21" t="n">
        <v>150000</v>
      </c>
      <c r="T39" s="17">
        <f>L39*S39</f>
        <v/>
      </c>
      <c r="U39" s="17">
        <f>S39+R39</f>
        <v/>
      </c>
      <c r="V39" s="22">
        <f>IFERROR(R39/S39,"")</f>
        <v/>
      </c>
      <c r="W39" s="16" t="inlineStr"/>
      <c r="X39" s="4" t="inlineStr">
        <is>
          <t>Фойе</t>
        </is>
      </c>
      <c r="Y39" s="23" t="inlineStr"/>
    </row>
    <row r="40">
      <c r="A40" s="4" t="n">
        <v>36</v>
      </c>
      <c r="B40" s="5" t="inlineStr">
        <is>
          <t>4. Прочее, по цене за килограмм</t>
        </is>
      </c>
      <c r="C40" s="4" t="inlineStr">
        <is>
          <t>Ярус 3, ящики</t>
        </is>
      </c>
      <c r="D40" s="4" t="inlineStr">
        <is>
          <t>клапан фланцевый</t>
        </is>
      </c>
      <c r="E40" s="4" t="inlineStr">
        <is>
          <t>Ду50</t>
        </is>
      </c>
      <c r="F40" s="5" t="inlineStr">
        <is>
          <t>Клапан фланцевый проходной невозвратный Ду 50 РУ 25 (522-01.164)</t>
        </is>
      </c>
      <c r="G40" s="4" t="inlineStr"/>
      <c r="H40" s="16" t="inlineStr"/>
      <c r="I40" s="16" t="inlineStr">
        <is>
          <t>Комплект</t>
        </is>
      </c>
      <c r="J40" s="4" t="inlineStr"/>
      <c r="K40" s="4" t="n">
        <v>1</v>
      </c>
      <c r="L40" s="16" t="n">
        <v>1</v>
      </c>
      <c r="M40" s="16" t="n">
        <v>14</v>
      </c>
      <c r="N40" s="17">
        <f>L40*M40</f>
        <v/>
      </c>
      <c r="O40" s="18" t="n">
        <v>0.012</v>
      </c>
      <c r="P40" s="19">
        <f>IFERROR(IF('Расходы и доставка'!$B$15="по весу",N40/'Расходы и доставка'!$B$19,IF('Расходы и доставка'!$B$15="по объему",O40/'Расходы и доставка'!$B$20,IF('Расходы и доставка'!$B$15="поровну на штуку",L40/'Расходы и доставка'!$B$21,T40/'Расходы и доставка'!$B$22))),0)</f>
        <v/>
      </c>
      <c r="Q40" s="17">
        <f>P40*'Расходы и доставка'!$B$13</f>
        <v/>
      </c>
      <c r="R40" s="20">
        <f>IFERROR(Q40/L40,0)</f>
        <v/>
      </c>
      <c r="S40" s="21" t="n">
        <v>25000</v>
      </c>
      <c r="T40" s="17">
        <f>L40*S40</f>
        <v/>
      </c>
      <c r="U40" s="17">
        <f>S40+R40</f>
        <v/>
      </c>
      <c r="V40" s="22">
        <f>IFERROR(R40/S40,"")</f>
        <v/>
      </c>
      <c r="W40" s="16" t="inlineStr"/>
      <c r="X40" s="4" t="inlineStr">
        <is>
          <t>Склад 1А/1Б</t>
        </is>
      </c>
      <c r="Y40" s="23" t="inlineStr"/>
    </row>
    <row r="41">
      <c r="A41" s="4" t="n">
        <v>37</v>
      </c>
      <c r="B41" s="5" t="inlineStr">
        <is>
          <t>4. Прочее, по цене за килограмм</t>
        </is>
      </c>
      <c r="C41" s="4" t="inlineStr">
        <is>
          <t>Ярус 3, ящики</t>
        </is>
      </c>
      <c r="D41" s="4" t="inlineStr">
        <is>
          <t>клапан пожарный</t>
        </is>
      </c>
      <c r="E41" s="4" t="inlineStr">
        <is>
          <t>Ду50</t>
        </is>
      </c>
      <c r="F41" s="5" t="inlineStr">
        <is>
          <t>Клапан Пожарный фланцевый угловой Ду50 Ру16</t>
        </is>
      </c>
      <c r="G41" s="4" t="inlineStr">
        <is>
          <t>595-03.011</t>
        </is>
      </c>
      <c r="H41" s="16" t="inlineStr"/>
      <c r="I41" s="16" t="inlineStr">
        <is>
          <t>Комплект</t>
        </is>
      </c>
      <c r="J41" s="4" t="inlineStr"/>
      <c r="K41" s="4" t="n">
        <v>3</v>
      </c>
      <c r="L41" s="16" t="n">
        <v>3</v>
      </c>
      <c r="M41" s="16" t="n">
        <v>14</v>
      </c>
      <c r="N41" s="17">
        <f>L41*M41</f>
        <v/>
      </c>
      <c r="O41" s="18" t="n">
        <v>0.036</v>
      </c>
      <c r="P41" s="19">
        <f>IFERROR(IF('Расходы и доставка'!$B$15="по весу",N41/'Расходы и доставка'!$B$19,IF('Расходы и доставка'!$B$15="по объему",O41/'Расходы и доставка'!$B$20,IF('Расходы и доставка'!$B$15="поровну на штуку",L41/'Расходы и доставка'!$B$21,T41/'Расходы и доставка'!$B$22))),0)</f>
        <v/>
      </c>
      <c r="Q41" s="17">
        <f>P41*'Расходы и доставка'!$B$13</f>
        <v/>
      </c>
      <c r="R41" s="20">
        <f>IFERROR(Q41/L41,0)</f>
        <v/>
      </c>
      <c r="S41" s="21" t="n">
        <v>25000</v>
      </c>
      <c r="T41" s="17">
        <f>L41*S41</f>
        <v/>
      </c>
      <c r="U41" s="17">
        <f>S41+R41</f>
        <v/>
      </c>
      <c r="V41" s="22">
        <f>IFERROR(R41/S41,"")</f>
        <v/>
      </c>
      <c r="W41" s="16" t="inlineStr"/>
      <c r="X41" s="4" t="inlineStr">
        <is>
          <t>Менеджерская</t>
        </is>
      </c>
      <c r="Y41" s="23" t="inlineStr"/>
    </row>
    <row r="42">
      <c r="A42" s="4" t="n">
        <v>38</v>
      </c>
      <c r="B42" s="5" t="inlineStr">
        <is>
          <t>4. Прочее, по цене за килограмм</t>
        </is>
      </c>
      <c r="C42" s="4" t="inlineStr">
        <is>
          <t>Ярус 3, ящики</t>
        </is>
      </c>
      <c r="D42" s="4" t="inlineStr">
        <is>
          <t>клапан пожарный</t>
        </is>
      </c>
      <c r="E42" s="4" t="inlineStr">
        <is>
          <t>Ду50</t>
        </is>
      </c>
      <c r="F42" s="5" t="inlineStr">
        <is>
          <t>Клапан Пожарный фланцевый угловой Ду50 Ру16</t>
        </is>
      </c>
      <c r="G42" s="4" t="inlineStr">
        <is>
          <t>595-03.008</t>
        </is>
      </c>
      <c r="H42" s="16" t="inlineStr"/>
      <c r="I42" s="16" t="inlineStr">
        <is>
          <t>Комплект</t>
        </is>
      </c>
      <c r="J42" s="4" t="inlineStr"/>
      <c r="K42" s="4" t="n">
        <v>1</v>
      </c>
      <c r="L42" s="16" t="n">
        <v>1</v>
      </c>
      <c r="M42" s="16" t="n">
        <v>14</v>
      </c>
      <c r="N42" s="17">
        <f>L42*M42</f>
        <v/>
      </c>
      <c r="O42" s="18" t="n">
        <v>0.012</v>
      </c>
      <c r="P42" s="19">
        <f>IFERROR(IF('Расходы и доставка'!$B$15="по весу",N42/'Расходы и доставка'!$B$19,IF('Расходы и доставка'!$B$15="по объему",O42/'Расходы и доставка'!$B$20,IF('Расходы и доставка'!$B$15="поровну на штуку",L42/'Расходы и доставка'!$B$21,T42/'Расходы и доставка'!$B$22))),0)</f>
        <v/>
      </c>
      <c r="Q42" s="17">
        <f>P42*'Расходы и доставка'!$B$13</f>
        <v/>
      </c>
      <c r="R42" s="20">
        <f>IFERROR(Q42/L42,0)</f>
        <v/>
      </c>
      <c r="S42" s="21" t="n">
        <v>25000</v>
      </c>
      <c r="T42" s="17">
        <f>L42*S42</f>
        <v/>
      </c>
      <c r="U42" s="17">
        <f>S42+R42</f>
        <v/>
      </c>
      <c r="V42" s="22">
        <f>IFERROR(R42/S42,"")</f>
        <v/>
      </c>
      <c r="W42" s="16" t="inlineStr"/>
      <c r="X42" s="4" t="inlineStr">
        <is>
          <t>Менеджерская</t>
        </is>
      </c>
      <c r="Y42" s="23" t="inlineStr"/>
    </row>
    <row r="43">
      <c r="A43" s="4" t="n">
        <v>39</v>
      </c>
      <c r="B43" s="5" t="inlineStr">
        <is>
          <t>4. Прочее, по цене за килограмм</t>
        </is>
      </c>
      <c r="C43" s="4" t="inlineStr">
        <is>
          <t>Ярус 3, ящики</t>
        </is>
      </c>
      <c r="D43" s="4" t="inlineStr">
        <is>
          <t>клапан пожарный</t>
        </is>
      </c>
      <c r="E43" s="4" t="inlineStr">
        <is>
          <t>Ду50</t>
        </is>
      </c>
      <c r="F43" s="5" t="inlineStr">
        <is>
          <t>Клапан Пожарный фланцевый угловой Ду50 Ру16</t>
        </is>
      </c>
      <c r="G43" s="4" t="inlineStr">
        <is>
          <t>без чертежа</t>
        </is>
      </c>
      <c r="H43" s="16" t="inlineStr"/>
      <c r="I43" s="16" t="inlineStr">
        <is>
          <t>Комплект</t>
        </is>
      </c>
      <c r="J43" s="4" t="inlineStr"/>
      <c r="K43" s="4" t="n">
        <v>2</v>
      </c>
      <c r="L43" s="16" t="n">
        <v>2</v>
      </c>
      <c r="M43" s="16" t="n">
        <v>14</v>
      </c>
      <c r="N43" s="17">
        <f>L43*M43</f>
        <v/>
      </c>
      <c r="O43" s="18" t="n">
        <v>0.024</v>
      </c>
      <c r="P43" s="19">
        <f>IFERROR(IF('Расходы и доставка'!$B$15="по весу",N43/'Расходы и доставка'!$B$19,IF('Расходы и доставка'!$B$15="по объему",O43/'Расходы и доставка'!$B$20,IF('Расходы и доставка'!$B$15="поровну на штуку",L43/'Расходы и доставка'!$B$21,T43/'Расходы и доставка'!$B$22))),0)</f>
        <v/>
      </c>
      <c r="Q43" s="17">
        <f>P43*'Расходы и доставка'!$B$13</f>
        <v/>
      </c>
      <c r="R43" s="20">
        <f>IFERROR(Q43/L43,0)</f>
        <v/>
      </c>
      <c r="S43" s="21" t="n">
        <v>25000</v>
      </c>
      <c r="T43" s="17">
        <f>L43*S43</f>
        <v/>
      </c>
      <c r="U43" s="17">
        <f>S43+R43</f>
        <v/>
      </c>
      <c r="V43" s="22">
        <f>IFERROR(R43/S43,"")</f>
        <v/>
      </c>
      <c r="W43" s="16" t="inlineStr"/>
      <c r="X43" s="4" t="inlineStr">
        <is>
          <t>Менеджерская</t>
        </is>
      </c>
      <c r="Y43" s="23" t="inlineStr"/>
    </row>
    <row r="44">
      <c r="A44" s="4" t="n">
        <v>40</v>
      </c>
      <c r="B44" s="5" t="inlineStr">
        <is>
          <t>4. Прочее, по цене за килограмм</t>
        </is>
      </c>
      <c r="C44" s="4" t="inlineStr">
        <is>
          <t>Ярус 3, ящики</t>
        </is>
      </c>
      <c r="D44" s="4" t="inlineStr">
        <is>
          <t>клапан быстрозапорный</t>
        </is>
      </c>
      <c r="E44" s="4" t="inlineStr">
        <is>
          <t>Ду65</t>
        </is>
      </c>
      <c r="F44" s="5" t="inlineStr">
        <is>
          <t>Клапан быстрозапор. фланц.проход.с тросиков.приводом Ду65 Ру6,3</t>
        </is>
      </c>
      <c r="G44" s="4" t="inlineStr">
        <is>
          <t>521-03-022</t>
        </is>
      </c>
      <c r="H44" s="16" t="inlineStr"/>
      <c r="I44" s="16" t="inlineStr">
        <is>
          <t>Комплект</t>
        </is>
      </c>
      <c r="J44" s="4" t="inlineStr"/>
      <c r="K44" s="4" t="n">
        <v>1</v>
      </c>
      <c r="L44" s="16" t="n">
        <v>1</v>
      </c>
      <c r="M44" s="16" t="n">
        <v>20</v>
      </c>
      <c r="N44" s="17">
        <f>L44*M44</f>
        <v/>
      </c>
      <c r="O44" s="18" t="n">
        <v>0.02</v>
      </c>
      <c r="P44" s="19">
        <f>IFERROR(IF('Расходы и доставка'!$B$15="по весу",N44/'Расходы и доставка'!$B$19,IF('Расходы и доставка'!$B$15="по объему",O44/'Расходы и доставка'!$B$20,IF('Расходы и доставка'!$B$15="поровну на штуку",L44/'Расходы и доставка'!$B$21,T44/'Расходы и доставка'!$B$22))),0)</f>
        <v/>
      </c>
      <c r="Q44" s="17">
        <f>P44*'Расходы и доставка'!$B$13</f>
        <v/>
      </c>
      <c r="R44" s="20">
        <f>IFERROR(Q44/L44,0)</f>
        <v/>
      </c>
      <c r="S44" s="21" t="n">
        <v>35000</v>
      </c>
      <c r="T44" s="17">
        <f>L44*S44</f>
        <v/>
      </c>
      <c r="U44" s="17">
        <f>S44+R44</f>
        <v/>
      </c>
      <c r="V44" s="22">
        <f>IFERROR(R44/S44,"")</f>
        <v/>
      </c>
      <c r="W44" s="16" t="inlineStr"/>
      <c r="X44" s="4" t="inlineStr">
        <is>
          <t>Склад 2</t>
        </is>
      </c>
      <c r="Y44" s="23" t="inlineStr"/>
    </row>
    <row r="45">
      <c r="A45" s="4" t="n">
        <v>41</v>
      </c>
      <c r="B45" s="5" t="inlineStr">
        <is>
          <t>4. Прочее, по цене за килограмм</t>
        </is>
      </c>
      <c r="C45" s="4" t="inlineStr">
        <is>
          <t>Ярус 3, ящики</t>
        </is>
      </c>
      <c r="D45" s="4" t="inlineStr">
        <is>
          <t>клапан быстрозапорный</t>
        </is>
      </c>
      <c r="E45" s="4" t="inlineStr">
        <is>
          <t>Ду65</t>
        </is>
      </c>
      <c r="F45" s="5" t="inlineStr">
        <is>
          <t>Клапан быстрозапор. фланц. проход. с тросиков. приводом Ду65Ру6,3</t>
        </is>
      </c>
      <c r="G45" s="4" t="inlineStr">
        <is>
          <t>521-03.022</t>
        </is>
      </c>
      <c r="H45" s="16" t="inlineStr"/>
      <c r="I45" s="16" t="inlineStr">
        <is>
          <t>Комплект</t>
        </is>
      </c>
      <c r="J45" s="4" t="inlineStr"/>
      <c r="K45" s="4" t="n">
        <v>5</v>
      </c>
      <c r="L45" s="16" t="n">
        <v>5</v>
      </c>
      <c r="M45" s="16" t="n">
        <v>20</v>
      </c>
      <c r="N45" s="17">
        <f>L45*M45</f>
        <v/>
      </c>
      <c r="O45" s="18" t="n">
        <v>0.1</v>
      </c>
      <c r="P45" s="19">
        <f>IFERROR(IF('Расходы и доставка'!$B$15="по весу",N45/'Расходы и доставка'!$B$19,IF('Расходы и доставка'!$B$15="по объему",O45/'Расходы и доставка'!$B$20,IF('Расходы и доставка'!$B$15="поровну на штуку",L45/'Расходы и доставка'!$B$21,T45/'Расходы и доставка'!$B$22))),0)</f>
        <v/>
      </c>
      <c r="Q45" s="17">
        <f>P45*'Расходы и доставка'!$B$13</f>
        <v/>
      </c>
      <c r="R45" s="20">
        <f>IFERROR(Q45/L45,0)</f>
        <v/>
      </c>
      <c r="S45" s="21" t="n">
        <v>35000</v>
      </c>
      <c r="T45" s="17">
        <f>L45*S45</f>
        <v/>
      </c>
      <c r="U45" s="17">
        <f>S45+R45</f>
        <v/>
      </c>
      <c r="V45" s="22">
        <f>IFERROR(R45/S45,"")</f>
        <v/>
      </c>
      <c r="W45" s="16" t="inlineStr"/>
      <c r="X45" s="4" t="inlineStr">
        <is>
          <t>Склад 3</t>
        </is>
      </c>
      <c r="Y45" s="23" t="inlineStr"/>
    </row>
    <row r="46">
      <c r="A46" s="4" t="n">
        <v>42</v>
      </c>
      <c r="B46" s="5" t="inlineStr">
        <is>
          <t>4. Прочее, по цене за килограмм</t>
        </is>
      </c>
      <c r="C46" s="4" t="inlineStr">
        <is>
          <t>Ярус 3, ящики</t>
        </is>
      </c>
      <c r="D46" s="4" t="inlineStr">
        <is>
          <t>клапан быстрозапорный</t>
        </is>
      </c>
      <c r="E46" s="4" t="inlineStr">
        <is>
          <t>Ду70</t>
        </is>
      </c>
      <c r="F46" s="5" t="inlineStr">
        <is>
          <t>Клапан быстрозапор. фланц.проход.с тросиков.приводом Ду70 Ру6,3</t>
        </is>
      </c>
      <c r="G46" s="4" t="inlineStr">
        <is>
          <t>БЕЗ ЧЕРТЕЖА</t>
        </is>
      </c>
      <c r="H46" s="16" t="inlineStr"/>
      <c r="I46" s="16" t="inlineStr">
        <is>
          <t>Комплект</t>
        </is>
      </c>
      <c r="J46" s="4" t="inlineStr"/>
      <c r="K46" s="4" t="n">
        <v>3</v>
      </c>
      <c r="L46" s="16" t="n">
        <v>3</v>
      </c>
      <c r="M46" s="16" t="n">
        <v>23</v>
      </c>
      <c r="N46" s="17">
        <f>L46*M46</f>
        <v/>
      </c>
      <c r="O46" s="18" t="n">
        <v>0.066</v>
      </c>
      <c r="P46" s="19">
        <f>IFERROR(IF('Расходы и доставка'!$B$15="по весу",N46/'Расходы и доставка'!$B$19,IF('Расходы и доставка'!$B$15="по объему",O46/'Расходы и доставка'!$B$20,IF('Расходы и доставка'!$B$15="поровну на штуку",L46/'Расходы и доставка'!$B$21,T46/'Расходы и доставка'!$B$22))),0)</f>
        <v/>
      </c>
      <c r="Q46" s="17">
        <f>P46*'Расходы и доставка'!$B$13</f>
        <v/>
      </c>
      <c r="R46" s="20">
        <f>IFERROR(Q46/L46,0)</f>
        <v/>
      </c>
      <c r="S46" s="21" t="n">
        <v>40000</v>
      </c>
      <c r="T46" s="17">
        <f>L46*S46</f>
        <v/>
      </c>
      <c r="U46" s="17">
        <f>S46+R46</f>
        <v/>
      </c>
      <c r="V46" s="22">
        <f>IFERROR(R46/S46,"")</f>
        <v/>
      </c>
      <c r="W46" s="16" t="inlineStr"/>
      <c r="X46" s="4" t="inlineStr">
        <is>
          <t>Склад 2</t>
        </is>
      </c>
      <c r="Y46" s="23" t="inlineStr"/>
    </row>
    <row r="47">
      <c r="A47" s="4" t="n">
        <v>43</v>
      </c>
      <c r="B47" s="5" t="inlineStr">
        <is>
          <t>4. Прочее, по цене за килограмм</t>
        </is>
      </c>
      <c r="C47" s="4" t="inlineStr">
        <is>
          <t>Ярус 3, ящики</t>
        </is>
      </c>
      <c r="D47" s="4" t="inlineStr">
        <is>
          <t>клапан быстрозапорный</t>
        </is>
      </c>
      <c r="E47" s="4" t="inlineStr">
        <is>
          <t>Ду80</t>
        </is>
      </c>
      <c r="F47" s="5" t="inlineStr">
        <is>
          <t>Клапан быстрозапор. фланц.проход.с тросиков.приводом Ду80 Ру6,3</t>
        </is>
      </c>
      <c r="G47" s="4" t="inlineStr">
        <is>
          <t>521-03.023</t>
        </is>
      </c>
      <c r="H47" s="16" t="inlineStr"/>
      <c r="I47" s="16" t="inlineStr">
        <is>
          <t>Комплект</t>
        </is>
      </c>
      <c r="J47" s="4" t="inlineStr"/>
      <c r="K47" s="4" t="n">
        <v>2</v>
      </c>
      <c r="L47" s="16" t="n">
        <v>2</v>
      </c>
      <c r="M47" s="16" t="n">
        <v>28</v>
      </c>
      <c r="N47" s="17">
        <f>L47*M47</f>
        <v/>
      </c>
      <c r="O47" s="18" t="n">
        <v>0.06</v>
      </c>
      <c r="P47" s="19">
        <f>IFERROR(IF('Расходы и доставка'!$B$15="по весу",N47/'Расходы и доставка'!$B$19,IF('Расходы и доставка'!$B$15="по объему",O47/'Расходы и доставка'!$B$20,IF('Расходы и доставка'!$B$15="поровну на штуку",L47/'Расходы и доставка'!$B$21,T47/'Расходы и доставка'!$B$22))),0)</f>
        <v/>
      </c>
      <c r="Q47" s="17">
        <f>P47*'Расходы и доставка'!$B$13</f>
        <v/>
      </c>
      <c r="R47" s="20">
        <f>IFERROR(Q47/L47,0)</f>
        <v/>
      </c>
      <c r="S47" s="21" t="n">
        <v>45000</v>
      </c>
      <c r="T47" s="17">
        <f>L47*S47</f>
        <v/>
      </c>
      <c r="U47" s="17">
        <f>S47+R47</f>
        <v/>
      </c>
      <c r="V47" s="22">
        <f>IFERROR(R47/S47,"")</f>
        <v/>
      </c>
      <c r="W47" s="16" t="inlineStr"/>
      <c r="X47" s="4" t="inlineStr">
        <is>
          <t>Склад 2</t>
        </is>
      </c>
      <c r="Y47" s="23" t="inlineStr"/>
    </row>
    <row r="48">
      <c r="A48" s="4" t="n">
        <v>44</v>
      </c>
      <c r="B48" s="5" t="inlineStr">
        <is>
          <t>4. Прочее, по цене за килограмм</t>
        </is>
      </c>
      <c r="C48" s="4" t="inlineStr">
        <is>
          <t>Ярус 3, ящики</t>
        </is>
      </c>
      <c r="D48" s="4" t="inlineStr">
        <is>
          <t>клапан фланцевый</t>
        </is>
      </c>
      <c r="E48" s="4" t="inlineStr">
        <is>
          <t>Ду50</t>
        </is>
      </c>
      <c r="F48" s="5" t="inlineStr">
        <is>
          <t>Клапан фланцевый проходной Ду50</t>
        </is>
      </c>
      <c r="G48" s="4" t="inlineStr"/>
      <c r="H48" s="16" t="inlineStr"/>
      <c r="I48" s="16" t="inlineStr">
        <is>
          <t>Комплект</t>
        </is>
      </c>
      <c r="J48" s="4" t="inlineStr"/>
      <c r="K48" s="4" t="n">
        <v>66</v>
      </c>
      <c r="L48" s="16" t="n">
        <v>66</v>
      </c>
      <c r="M48" s="16" t="n">
        <v>14</v>
      </c>
      <c r="N48" s="17">
        <f>L48*M48</f>
        <v/>
      </c>
      <c r="O48" s="18" t="n">
        <v>0.792</v>
      </c>
      <c r="P48" s="19">
        <f>IFERROR(IF('Расходы и доставка'!$B$15="по весу",N48/'Расходы и доставка'!$B$19,IF('Расходы и доставка'!$B$15="по объему",O48/'Расходы и доставка'!$B$20,IF('Расходы и доставка'!$B$15="поровну на штуку",L48/'Расходы и доставка'!$B$21,T48/'Расходы и доставка'!$B$22))),0)</f>
        <v/>
      </c>
      <c r="Q48" s="17">
        <f>P48*'Расходы и доставка'!$B$13</f>
        <v/>
      </c>
      <c r="R48" s="20">
        <f>IFERROR(Q48/L48,0)</f>
        <v/>
      </c>
      <c r="S48" s="21" t="n">
        <v>22500</v>
      </c>
      <c r="T48" s="17">
        <f>L48*S48</f>
        <v/>
      </c>
      <c r="U48" s="17">
        <f>S48+R48</f>
        <v/>
      </c>
      <c r="V48" s="22">
        <f>IFERROR(R48/S48,"")</f>
        <v/>
      </c>
      <c r="W48" s="16" t="inlineStr"/>
      <c r="X48" s="4" t="inlineStr">
        <is>
          <t>Склад 3</t>
        </is>
      </c>
      <c r="Y48" s="23" t="inlineStr"/>
    </row>
    <row r="49">
      <c r="A49" s="4" t="n">
        <v>45</v>
      </c>
      <c r="B49" s="5" t="inlineStr">
        <is>
          <t>4. Прочее, по цене за килограмм</t>
        </is>
      </c>
      <c r="C49" s="4" t="inlineStr">
        <is>
          <t>Ярус 3, ящики</t>
        </is>
      </c>
      <c r="D49" s="4" t="inlineStr">
        <is>
          <t>клапан фланцевый</t>
        </is>
      </c>
      <c r="E49" s="4" t="inlineStr">
        <is>
          <t>Ду50</t>
        </is>
      </c>
      <c r="F49" s="5" t="inlineStr">
        <is>
          <t>Клапан фланцевый проходной Ду50 Ру25</t>
        </is>
      </c>
      <c r="G49" s="4" t="inlineStr">
        <is>
          <t>521-01.128</t>
        </is>
      </c>
      <c r="H49" s="16" t="inlineStr"/>
      <c r="I49" s="16" t="inlineStr">
        <is>
          <t>Комплект</t>
        </is>
      </c>
      <c r="J49" s="4" t="inlineStr"/>
      <c r="K49" s="4" t="n">
        <v>5</v>
      </c>
      <c r="L49" s="16" t="n">
        <v>5</v>
      </c>
      <c r="M49" s="16" t="n">
        <v>14</v>
      </c>
      <c r="N49" s="17">
        <f>L49*M49</f>
        <v/>
      </c>
      <c r="O49" s="18" t="n">
        <v>0.06</v>
      </c>
      <c r="P49" s="19">
        <f>IFERROR(IF('Расходы и доставка'!$B$15="по весу",N49/'Расходы и доставка'!$B$19,IF('Расходы и доставка'!$B$15="по объему",O49/'Расходы и доставка'!$B$20,IF('Расходы и доставка'!$B$15="поровну на штуку",L49/'Расходы и доставка'!$B$21,T49/'Расходы и доставка'!$B$22))),0)</f>
        <v/>
      </c>
      <c r="Q49" s="17">
        <f>P49*'Расходы и доставка'!$B$13</f>
        <v/>
      </c>
      <c r="R49" s="20">
        <f>IFERROR(Q49/L49,0)</f>
        <v/>
      </c>
      <c r="S49" s="21" t="n">
        <v>22500</v>
      </c>
      <c r="T49" s="17">
        <f>L49*S49</f>
        <v/>
      </c>
      <c r="U49" s="17">
        <f>S49+R49</f>
        <v/>
      </c>
      <c r="V49" s="22">
        <f>IFERROR(R49/S49,"")</f>
        <v/>
      </c>
      <c r="W49" s="16" t="inlineStr"/>
      <c r="X49" s="4" t="inlineStr">
        <is>
          <t>Склад 3</t>
        </is>
      </c>
      <c r="Y49" s="23" t="inlineStr"/>
    </row>
    <row r="50">
      <c r="A50" s="4" t="n">
        <v>46</v>
      </c>
      <c r="B50" s="5" t="inlineStr">
        <is>
          <t>4. Прочее, по цене за килограмм</t>
        </is>
      </c>
      <c r="C50" s="4" t="inlineStr">
        <is>
          <t>Ярус 3, ящики</t>
        </is>
      </c>
      <c r="D50" s="4" t="inlineStr">
        <is>
          <t>клапан пожарный</t>
        </is>
      </c>
      <c r="E50" s="4" t="inlineStr">
        <is>
          <t>Ду50</t>
        </is>
      </c>
      <c r="F50" s="5" t="inlineStr">
        <is>
          <t>Клапан Пожарный фланцевый проходной Ду50 Ру16</t>
        </is>
      </c>
      <c r="G50" s="4" t="inlineStr">
        <is>
          <t>595-01.002</t>
        </is>
      </c>
      <c r="H50" s="16" t="inlineStr"/>
      <c r="I50" s="16" t="inlineStr">
        <is>
          <t>Комплект</t>
        </is>
      </c>
      <c r="J50" s="4" t="inlineStr"/>
      <c r="K50" s="4" t="n">
        <v>2</v>
      </c>
      <c r="L50" s="16" t="n">
        <v>2</v>
      </c>
      <c r="M50" s="16" t="n">
        <v>14</v>
      </c>
      <c r="N50" s="17">
        <f>L50*M50</f>
        <v/>
      </c>
      <c r="O50" s="18" t="n">
        <v>0.024</v>
      </c>
      <c r="P50" s="19">
        <f>IFERROR(IF('Расходы и доставка'!$B$15="по весу",N50/'Расходы и доставка'!$B$19,IF('Расходы и доставка'!$B$15="по объему",O50/'Расходы и доставка'!$B$20,IF('Расходы и доставка'!$B$15="поровну на штуку",L50/'Расходы и доставка'!$B$21,T50/'Расходы и доставка'!$B$22))),0)</f>
        <v/>
      </c>
      <c r="Q50" s="17">
        <f>P50*'Расходы и доставка'!$B$13</f>
        <v/>
      </c>
      <c r="R50" s="20">
        <f>IFERROR(Q50/L50,0)</f>
        <v/>
      </c>
      <c r="S50" s="21" t="n">
        <v>22500</v>
      </c>
      <c r="T50" s="17">
        <f>L50*S50</f>
        <v/>
      </c>
      <c r="U50" s="17">
        <f>S50+R50</f>
        <v/>
      </c>
      <c r="V50" s="22">
        <f>IFERROR(R50/S50,"")</f>
        <v/>
      </c>
      <c r="W50" s="16" t="inlineStr"/>
      <c r="X50" s="4" t="inlineStr">
        <is>
          <t>Менеджерская</t>
        </is>
      </c>
      <c r="Y50" s="23" t="inlineStr"/>
    </row>
    <row r="51">
      <c r="A51" s="4" t="n">
        <v>47</v>
      </c>
      <c r="B51" s="5" t="inlineStr">
        <is>
          <t>4. Прочее, по цене за килограмм</t>
        </is>
      </c>
      <c r="C51" s="4" t="inlineStr">
        <is>
          <t>Ярус 3, ящики</t>
        </is>
      </c>
      <c r="D51" s="4" t="inlineStr">
        <is>
          <t>захлопка</t>
        </is>
      </c>
      <c r="E51" s="4" t="inlineStr">
        <is>
          <t>Ду50</t>
        </is>
      </c>
      <c r="F51" s="5" t="inlineStr">
        <is>
          <t>Захлопка Ду50Ру6 - БРАК</t>
        </is>
      </c>
      <c r="G51" s="4" t="inlineStr"/>
      <c r="H51" s="16" t="inlineStr"/>
      <c r="I51" s="16" t="inlineStr">
        <is>
          <t>Брак</t>
        </is>
      </c>
      <c r="J51" s="4" t="inlineStr"/>
      <c r="K51" s="4" t="n">
        <v>3</v>
      </c>
      <c r="L51" s="16" t="n">
        <v>3</v>
      </c>
      <c r="M51" s="16" t="n">
        <v>12</v>
      </c>
      <c r="N51" s="17">
        <f>L51*M51</f>
        <v/>
      </c>
      <c r="O51" s="18" t="n">
        <v>0.036</v>
      </c>
      <c r="P51" s="19">
        <f>IFERROR(IF('Расходы и доставка'!$B$15="по весу",N51/'Расходы и доставка'!$B$19,IF('Расходы и доставка'!$B$15="по объему",O51/'Расходы и доставка'!$B$20,IF('Расходы и доставка'!$B$15="поровну на штуку",L51/'Расходы и доставка'!$B$21,T51/'Расходы и доставка'!$B$22))),0)</f>
        <v/>
      </c>
      <c r="Q51" s="17">
        <f>P51*'Расходы и доставка'!$B$13</f>
        <v/>
      </c>
      <c r="R51" s="20">
        <f>IFERROR(Q51/L51,0)</f>
        <v/>
      </c>
      <c r="S51" s="21" t="n">
        <v>17500</v>
      </c>
      <c r="T51" s="17">
        <f>L51*S51</f>
        <v/>
      </c>
      <c r="U51" s="17">
        <f>S51+R51</f>
        <v/>
      </c>
      <c r="V51" s="22">
        <f>IFERROR(R51/S51,"")</f>
        <v/>
      </c>
      <c r="W51" s="16" t="inlineStr"/>
      <c r="X51" s="4" t="inlineStr">
        <is>
          <t>Склад 1А/1Б</t>
        </is>
      </c>
      <c r="Y51" s="23" t="inlineStr"/>
    </row>
    <row r="52">
      <c r="A52" s="4" t="n">
        <v>48</v>
      </c>
      <c r="B52" s="5" t="inlineStr">
        <is>
          <t>4. Прочее, по цене за килограмм</t>
        </is>
      </c>
      <c r="C52" s="4" t="inlineStr">
        <is>
          <t>Ярус 3, ящики</t>
        </is>
      </c>
      <c r="D52" s="4" t="inlineStr">
        <is>
          <t>клапан фланцевый</t>
        </is>
      </c>
      <c r="E52" s="4" t="inlineStr">
        <is>
          <t>Ду50</t>
        </is>
      </c>
      <c r="F52" s="5" t="inlineStr">
        <is>
          <t>Клапан фланцевый проходной Ду50 Ру 10 + ДУ 50 Ру 25</t>
        </is>
      </c>
      <c r="G52" s="4" t="inlineStr"/>
      <c r="H52" s="16" t="inlineStr"/>
      <c r="I52" s="16" t="inlineStr">
        <is>
          <t>Комплект</t>
        </is>
      </c>
      <c r="J52" s="4" t="inlineStr"/>
      <c r="K52" s="4" t="n">
        <v>98</v>
      </c>
      <c r="L52" s="16" t="n">
        <v>98</v>
      </c>
      <c r="M52" s="16" t="n">
        <v>14</v>
      </c>
      <c r="N52" s="17">
        <f>L52*M52</f>
        <v/>
      </c>
      <c r="O52" s="18" t="n">
        <v>1.176</v>
      </c>
      <c r="P52" s="19">
        <f>IFERROR(IF('Расходы и доставка'!$B$15="по весу",N52/'Расходы и доставка'!$B$19,IF('Расходы и доставка'!$B$15="по объему",O52/'Расходы и доставка'!$B$20,IF('Расходы и доставка'!$B$15="поровну на штуку",L52/'Расходы и доставка'!$B$21,T52/'Расходы и доставка'!$B$22))),0)</f>
        <v/>
      </c>
      <c r="Q52" s="17">
        <f>P52*'Расходы и доставка'!$B$13</f>
        <v/>
      </c>
      <c r="R52" s="20">
        <f>IFERROR(Q52/L52,0)</f>
        <v/>
      </c>
      <c r="S52" s="21" t="n">
        <v>20000</v>
      </c>
      <c r="T52" s="17">
        <f>L52*S52</f>
        <v/>
      </c>
      <c r="U52" s="17">
        <f>S52+R52</f>
        <v/>
      </c>
      <c r="V52" s="22">
        <f>IFERROR(R52/S52,"")</f>
        <v/>
      </c>
      <c r="W52" s="16" t="inlineStr"/>
      <c r="X52" s="4" t="inlineStr">
        <is>
          <t>Склад 1А/1Б</t>
        </is>
      </c>
      <c r="Y52" s="23" t="inlineStr"/>
    </row>
    <row r="53">
      <c r="A53" s="4" t="n">
        <v>49</v>
      </c>
      <c r="B53" s="5" t="inlineStr">
        <is>
          <t>4. Прочее, по цене за килограмм</t>
        </is>
      </c>
      <c r="C53" s="4" t="inlineStr">
        <is>
          <t>Ярус 3, ящики</t>
        </is>
      </c>
      <c r="D53" s="4" t="inlineStr">
        <is>
          <t>клапан фланцевый</t>
        </is>
      </c>
      <c r="E53" s="4" t="inlineStr">
        <is>
          <t>Ду65</t>
        </is>
      </c>
      <c r="F53" s="5" t="inlineStr">
        <is>
          <t>Клапан фланцевый проходной Ду65</t>
        </is>
      </c>
      <c r="G53" s="4" t="inlineStr"/>
      <c r="H53" s="16" t="inlineStr"/>
      <c r="I53" s="16" t="inlineStr">
        <is>
          <t>Комплект</t>
        </is>
      </c>
      <c r="J53" s="4" t="inlineStr"/>
      <c r="K53" s="4" t="n">
        <v>25</v>
      </c>
      <c r="L53" s="16" t="n">
        <v>25</v>
      </c>
      <c r="M53" s="16" t="n">
        <v>20</v>
      </c>
      <c r="N53" s="17">
        <f>L53*M53</f>
        <v/>
      </c>
      <c r="O53" s="18" t="n">
        <v>0.5</v>
      </c>
      <c r="P53" s="19">
        <f>IFERROR(IF('Расходы и доставка'!$B$15="по весу",N53/'Расходы и доставка'!$B$19,IF('Расходы и доставка'!$B$15="по объему",O53/'Расходы и доставка'!$B$20,IF('Расходы и доставка'!$B$15="поровну на штуку",L53/'Расходы и доставка'!$B$21,T53/'Расходы и доставка'!$B$22))),0)</f>
        <v/>
      </c>
      <c r="Q53" s="17">
        <f>P53*'Расходы и доставка'!$B$13</f>
        <v/>
      </c>
      <c r="R53" s="20">
        <f>IFERROR(Q53/L53,0)</f>
        <v/>
      </c>
      <c r="S53" s="21" t="n">
        <v>27000</v>
      </c>
      <c r="T53" s="17">
        <f>L53*S53</f>
        <v/>
      </c>
      <c r="U53" s="17">
        <f>S53+R53</f>
        <v/>
      </c>
      <c r="V53" s="22">
        <f>IFERROR(R53/S53,"")</f>
        <v/>
      </c>
      <c r="W53" s="16" t="inlineStr"/>
      <c r="X53" s="4" t="inlineStr">
        <is>
          <t>Склад 3</t>
        </is>
      </c>
      <c r="Y53" s="23" t="inlineStr"/>
    </row>
    <row r="54">
      <c r="A54" s="4" t="n">
        <v>50</v>
      </c>
      <c r="B54" s="5" t="inlineStr">
        <is>
          <t>4. Прочее, по цене за килограмм</t>
        </is>
      </c>
      <c r="C54" s="4" t="inlineStr">
        <is>
          <t>Ярус 3, ящики</t>
        </is>
      </c>
      <c r="D54" s="4" t="inlineStr">
        <is>
          <t>клапан фланцевый</t>
        </is>
      </c>
      <c r="E54" s="4" t="inlineStr">
        <is>
          <t>Ду65</t>
        </is>
      </c>
      <c r="F54" s="5" t="inlineStr">
        <is>
          <t>Клапан фланцевый проходной Ду65 Ру10</t>
        </is>
      </c>
      <c r="G54" s="4" t="inlineStr">
        <is>
          <t>521-03.488</t>
        </is>
      </c>
      <c r="H54" s="16" t="inlineStr"/>
      <c r="I54" s="16" t="inlineStr">
        <is>
          <t>Комплект</t>
        </is>
      </c>
      <c r="J54" s="4" t="inlineStr"/>
      <c r="K54" s="4" t="n">
        <v>1</v>
      </c>
      <c r="L54" s="16" t="n">
        <v>1</v>
      </c>
      <c r="M54" s="16" t="n">
        <v>20</v>
      </c>
      <c r="N54" s="17">
        <f>L54*M54</f>
        <v/>
      </c>
      <c r="O54" s="18" t="n">
        <v>0.02</v>
      </c>
      <c r="P54" s="19">
        <f>IFERROR(IF('Расходы и доставка'!$B$15="по весу",N54/'Расходы и доставка'!$B$19,IF('Расходы и доставка'!$B$15="по объему",O54/'Расходы и доставка'!$B$20,IF('Расходы и доставка'!$B$15="поровну на штуку",L54/'Расходы и доставка'!$B$21,T54/'Расходы и доставка'!$B$22))),0)</f>
        <v/>
      </c>
      <c r="Q54" s="17">
        <f>P54*'Расходы и доставка'!$B$13</f>
        <v/>
      </c>
      <c r="R54" s="20">
        <f>IFERROR(Q54/L54,0)</f>
        <v/>
      </c>
      <c r="S54" s="21" t="n">
        <v>27000</v>
      </c>
      <c r="T54" s="17">
        <f>L54*S54</f>
        <v/>
      </c>
      <c r="U54" s="17">
        <f>S54+R54</f>
        <v/>
      </c>
      <c r="V54" s="22">
        <f>IFERROR(R54/S54,"")</f>
        <v/>
      </c>
      <c r="W54" s="16" t="inlineStr"/>
      <c r="X54" s="4" t="inlineStr">
        <is>
          <t>Склад 3</t>
        </is>
      </c>
      <c r="Y54" s="23" t="inlineStr"/>
    </row>
    <row r="55">
      <c r="A55" s="4" t="n">
        <v>51</v>
      </c>
      <c r="B55" s="5" t="inlineStr">
        <is>
          <t>4. Прочее, по цене за килограмм</t>
        </is>
      </c>
      <c r="C55" s="4" t="inlineStr">
        <is>
          <t>Ярус 3, ящики</t>
        </is>
      </c>
      <c r="D55" s="4" t="inlineStr">
        <is>
          <t>клапан фланцевый</t>
        </is>
      </c>
      <c r="E55" s="4" t="inlineStr">
        <is>
          <t>Ду70</t>
        </is>
      </c>
      <c r="F55" s="5" t="inlineStr">
        <is>
          <t>Клапан фланцевый проходной Ду70 Ру10</t>
        </is>
      </c>
      <c r="G55" s="4" t="inlineStr">
        <is>
          <t>521-01.184</t>
        </is>
      </c>
      <c r="H55" s="16" t="inlineStr"/>
      <c r="I55" s="16" t="inlineStr">
        <is>
          <t>Комплект</t>
        </is>
      </c>
      <c r="J55" s="4" t="inlineStr"/>
      <c r="K55" s="4" t="n">
        <v>5</v>
      </c>
      <c r="L55" s="16" t="n">
        <v>5</v>
      </c>
      <c r="M55" s="16" t="n">
        <v>23</v>
      </c>
      <c r="N55" s="17">
        <f>L55*M55</f>
        <v/>
      </c>
      <c r="O55" s="18" t="n">
        <v>0.11</v>
      </c>
      <c r="P55" s="19">
        <f>IFERROR(IF('Расходы и доставка'!$B$15="по весу",N55/'Расходы и доставка'!$B$19,IF('Расходы и доставка'!$B$15="по объему",O55/'Расходы и доставка'!$B$20,IF('Расходы и доставка'!$B$15="поровну на штуку",L55/'Расходы и доставка'!$B$21,T55/'Расходы и доставка'!$B$22))),0)</f>
        <v/>
      </c>
      <c r="Q55" s="17">
        <f>P55*'Расходы и доставка'!$B$13</f>
        <v/>
      </c>
      <c r="R55" s="20">
        <f>IFERROR(Q55/L55,0)</f>
        <v/>
      </c>
      <c r="S55" s="21" t="n">
        <v>30000</v>
      </c>
      <c r="T55" s="17">
        <f>L55*S55</f>
        <v/>
      </c>
      <c r="U55" s="17">
        <f>S55+R55</f>
        <v/>
      </c>
      <c r="V55" s="22">
        <f>IFERROR(R55/S55,"")</f>
        <v/>
      </c>
      <c r="W55" s="16" t="inlineStr"/>
      <c r="X55" s="4" t="inlineStr">
        <is>
          <t>Склад 3</t>
        </is>
      </c>
      <c r="Y55" s="23" t="inlineStr"/>
    </row>
    <row r="56">
      <c r="A56" s="4" t="n">
        <v>52</v>
      </c>
      <c r="B56" s="5" t="inlineStr">
        <is>
          <t>4. Прочее, по цене за килограмм</t>
        </is>
      </c>
      <c r="C56" s="4" t="inlineStr">
        <is>
          <t>Ярус 3, ящики</t>
        </is>
      </c>
      <c r="D56" s="4" t="inlineStr">
        <is>
          <t>клапан фланцевый</t>
        </is>
      </c>
      <c r="E56" s="4" t="inlineStr">
        <is>
          <t>Ду70</t>
        </is>
      </c>
      <c r="F56" s="5" t="inlineStr">
        <is>
          <t>Клапан фланцевый проходной Ду70 Ру10</t>
        </is>
      </c>
      <c r="G56" s="4" t="inlineStr">
        <is>
          <t>522-01.226</t>
        </is>
      </c>
      <c r="H56" s="16" t="inlineStr"/>
      <c r="I56" s="16" t="inlineStr">
        <is>
          <t>Комплект</t>
        </is>
      </c>
      <c r="J56" s="4" t="inlineStr"/>
      <c r="K56" s="4" t="n">
        <v>2</v>
      </c>
      <c r="L56" s="16" t="n">
        <v>2</v>
      </c>
      <c r="M56" s="16" t="n">
        <v>23</v>
      </c>
      <c r="N56" s="17">
        <f>L56*M56</f>
        <v/>
      </c>
      <c r="O56" s="18" t="n">
        <v>0.044</v>
      </c>
      <c r="P56" s="19">
        <f>IFERROR(IF('Расходы и доставка'!$B$15="по весу",N56/'Расходы и доставка'!$B$19,IF('Расходы и доставка'!$B$15="по объему",O56/'Расходы и доставка'!$B$20,IF('Расходы и доставка'!$B$15="поровну на штуку",L56/'Расходы и доставка'!$B$21,T56/'Расходы и доставка'!$B$22))),0)</f>
        <v/>
      </c>
      <c r="Q56" s="17">
        <f>P56*'Расходы и доставка'!$B$13</f>
        <v/>
      </c>
      <c r="R56" s="20">
        <f>IFERROR(Q56/L56,0)</f>
        <v/>
      </c>
      <c r="S56" s="21" t="n">
        <v>30000</v>
      </c>
      <c r="T56" s="17">
        <f>L56*S56</f>
        <v/>
      </c>
      <c r="U56" s="17">
        <f>S56+R56</f>
        <v/>
      </c>
      <c r="V56" s="22">
        <f>IFERROR(R56/S56,"")</f>
        <v/>
      </c>
      <c r="W56" s="16" t="inlineStr"/>
      <c r="X56" s="4" t="inlineStr">
        <is>
          <t>Склад 3</t>
        </is>
      </c>
      <c r="Y56" s="23" t="inlineStr"/>
    </row>
    <row r="57">
      <c r="A57" s="4" t="n">
        <v>53</v>
      </c>
      <c r="B57" s="5" t="inlineStr">
        <is>
          <t>4. Прочее, по цене за килограмм</t>
        </is>
      </c>
      <c r="C57" s="4" t="inlineStr">
        <is>
          <t>Ярус 3, ящики</t>
        </is>
      </c>
      <c r="D57" s="4" t="inlineStr">
        <is>
          <t>клапан фланцевый</t>
        </is>
      </c>
      <c r="E57" s="4" t="inlineStr">
        <is>
          <t>Ду50</t>
        </is>
      </c>
      <c r="F57" s="5" t="inlineStr">
        <is>
          <t>Клапан проходной фланцевый Ду50 - БРАК</t>
        </is>
      </c>
      <c r="G57" s="4" t="inlineStr"/>
      <c r="H57" s="16" t="inlineStr"/>
      <c r="I57" s="16" t="inlineStr">
        <is>
          <t>Брак</t>
        </is>
      </c>
      <c r="J57" s="4" t="inlineStr"/>
      <c r="K57" s="4" t="n">
        <v>8</v>
      </c>
      <c r="L57" s="16" t="n">
        <v>8</v>
      </c>
      <c r="M57" s="16" t="n">
        <v>14</v>
      </c>
      <c r="N57" s="17">
        <f>L57*M57</f>
        <v/>
      </c>
      <c r="O57" s="18" t="n">
        <v>0.096</v>
      </c>
      <c r="P57" s="19">
        <f>IFERROR(IF('Расходы и доставка'!$B$15="по весу",N57/'Расходы и доставка'!$B$19,IF('Расходы и доставка'!$B$15="по объему",O57/'Расходы и доставка'!$B$20,IF('Расходы и доставка'!$B$15="поровну на штуку",L57/'Расходы и доставка'!$B$21,T57/'Расходы и доставка'!$B$22))),0)</f>
        <v/>
      </c>
      <c r="Q57" s="17">
        <f>P57*'Расходы и доставка'!$B$13</f>
        <v/>
      </c>
      <c r="R57" s="20">
        <f>IFERROR(Q57/L57,0)</f>
        <v/>
      </c>
      <c r="S57" s="21" t="n">
        <v>18000</v>
      </c>
      <c r="T57" s="17">
        <f>L57*S57</f>
        <v/>
      </c>
      <c r="U57" s="17">
        <f>S57+R57</f>
        <v/>
      </c>
      <c r="V57" s="22">
        <f>IFERROR(R57/S57,"")</f>
        <v/>
      </c>
      <c r="W57" s="16" t="inlineStr"/>
      <c r="X57" s="4" t="inlineStr">
        <is>
          <t>Склад 1А/1Б</t>
        </is>
      </c>
      <c r="Y57" s="23" t="inlineStr"/>
    </row>
    <row r="58">
      <c r="A58" s="4" t="n">
        <v>54</v>
      </c>
      <c r="B58" s="5" t="inlineStr">
        <is>
          <t>4. Прочее, по цене за килограмм</t>
        </is>
      </c>
      <c r="C58" s="4" t="inlineStr">
        <is>
          <t>Ярус 3, ящики</t>
        </is>
      </c>
      <c r="D58" s="4" t="inlineStr">
        <is>
          <t>клапан фланцевый</t>
        </is>
      </c>
      <c r="E58" s="4" t="inlineStr">
        <is>
          <t>Ду80</t>
        </is>
      </c>
      <c r="F58" s="5" t="inlineStr">
        <is>
          <t>Клапан фланцевый проходной Ду80</t>
        </is>
      </c>
      <c r="G58" s="4" t="inlineStr"/>
      <c r="H58" s="16" t="inlineStr"/>
      <c r="I58" s="16" t="inlineStr">
        <is>
          <t>Комплект</t>
        </is>
      </c>
      <c r="J58" s="4" t="inlineStr"/>
      <c r="K58" s="4" t="n">
        <v>6</v>
      </c>
      <c r="L58" s="16" t="n">
        <v>6</v>
      </c>
      <c r="M58" s="16" t="n">
        <v>28</v>
      </c>
      <c r="N58" s="17">
        <f>L58*M58</f>
        <v/>
      </c>
      <c r="O58" s="18" t="n">
        <v>0.18</v>
      </c>
      <c r="P58" s="19">
        <f>IFERROR(IF('Расходы и доставка'!$B$15="по весу",N58/'Расходы и доставка'!$B$19,IF('Расходы и доставка'!$B$15="по объему",O58/'Расходы и доставка'!$B$20,IF('Расходы и доставка'!$B$15="поровну на штуку",L58/'Расходы и доставка'!$B$21,T58/'Расходы и доставка'!$B$22))),0)</f>
        <v/>
      </c>
      <c r="Q58" s="17">
        <f>P58*'Расходы и доставка'!$B$13</f>
        <v/>
      </c>
      <c r="R58" s="20">
        <f>IFERROR(Q58/L58,0)</f>
        <v/>
      </c>
      <c r="S58" s="21" t="n">
        <v>36000</v>
      </c>
      <c r="T58" s="17">
        <f>L58*S58</f>
        <v/>
      </c>
      <c r="U58" s="17">
        <f>S58+R58</f>
        <v/>
      </c>
      <c r="V58" s="22">
        <f>IFERROR(R58/S58,"")</f>
        <v/>
      </c>
      <c r="W58" s="16" t="inlineStr"/>
      <c r="X58" s="4" t="inlineStr">
        <is>
          <t>Склад 3</t>
        </is>
      </c>
      <c r="Y58" s="23" t="inlineStr"/>
    </row>
    <row r="59">
      <c r="A59" s="4" t="n">
        <v>55</v>
      </c>
      <c r="B59" s="5" t="inlineStr">
        <is>
          <t>4. Прочее, по цене за килограмм</t>
        </is>
      </c>
      <c r="C59" s="4" t="inlineStr">
        <is>
          <t>Ярус 3, ящики</t>
        </is>
      </c>
      <c r="D59" s="4" t="inlineStr">
        <is>
          <t>клинкет (задвижка)</t>
        </is>
      </c>
      <c r="E59" s="4" t="inlineStr"/>
      <c r="F59" s="5" t="inlineStr">
        <is>
          <t>Электропривод к задвижке</t>
        </is>
      </c>
      <c r="G59" s="4" t="inlineStr"/>
      <c r="H59" s="16" t="inlineStr"/>
      <c r="I59" s="16" t="inlineStr">
        <is>
          <t>Комплект</t>
        </is>
      </c>
      <c r="J59" s="4" t="inlineStr"/>
      <c r="K59" s="4" t="n">
        <v>1</v>
      </c>
      <c r="L59" s="16" t="n">
        <v>1</v>
      </c>
      <c r="M59" s="16" t="n">
        <v>40</v>
      </c>
      <c r="N59" s="17">
        <f>L59*M59</f>
        <v/>
      </c>
      <c r="O59" s="18" t="n">
        <v>0.01</v>
      </c>
      <c r="P59" s="19">
        <f>IFERROR(IF('Расходы и доставка'!$B$15="по весу",N59/'Расходы и доставка'!$B$19,IF('Расходы и доставка'!$B$15="по объему",O59/'Расходы и доставка'!$B$20,IF('Расходы и доставка'!$B$15="поровну на штуку",L59/'Расходы и доставка'!$B$21,T59/'Расходы и доставка'!$B$22))),0)</f>
        <v/>
      </c>
      <c r="Q59" s="17">
        <f>P59*'Расходы и доставка'!$B$13</f>
        <v/>
      </c>
      <c r="R59" s="20">
        <f>IFERROR(Q59/L59,0)</f>
        <v/>
      </c>
      <c r="S59" s="21" t="n">
        <v>50000</v>
      </c>
      <c r="T59" s="17">
        <f>L59*S59</f>
        <v/>
      </c>
      <c r="U59" s="17">
        <f>S59+R59</f>
        <v/>
      </c>
      <c r="V59" s="22">
        <f>IFERROR(R59/S59,"")</f>
        <v/>
      </c>
      <c r="W59" s="16" t="inlineStr"/>
      <c r="X59" s="4" t="inlineStr">
        <is>
          <t>Гараж 2</t>
        </is>
      </c>
      <c r="Y59" s="23" t="inlineStr"/>
    </row>
    <row r="60">
      <c r="A60" s="4" t="n">
        <v>56</v>
      </c>
      <c r="B60" s="5" t="inlineStr">
        <is>
          <t>4. Прочее, по цене за килограмм</t>
        </is>
      </c>
      <c r="C60" s="4" t="inlineStr">
        <is>
          <t>Ярус 4, верх</t>
        </is>
      </c>
      <c r="D60" s="4" t="inlineStr">
        <is>
          <t>фильтр забортной воды</t>
        </is>
      </c>
      <c r="E60" s="4" t="inlineStr">
        <is>
          <t>Ду100</t>
        </is>
      </c>
      <c r="F60" s="5" t="inlineStr">
        <is>
          <t>Сетка на фильтр Ду100 или Ду80</t>
        </is>
      </c>
      <c r="G60" s="4" t="inlineStr"/>
      <c r="H60" s="16" t="inlineStr"/>
      <c r="I60" s="16" t="inlineStr">
        <is>
          <t>Комплект</t>
        </is>
      </c>
      <c r="J60" s="4" t="inlineStr"/>
      <c r="K60" s="4" t="n">
        <v>2</v>
      </c>
      <c r="L60" s="16" t="n">
        <v>2</v>
      </c>
      <c r="M60" s="16" t="n">
        <v>8</v>
      </c>
      <c r="N60" s="17">
        <f>L60*M60</f>
        <v/>
      </c>
      <c r="O60" s="18" t="n">
        <v>0.09</v>
      </c>
      <c r="P60" s="19">
        <f>IFERROR(IF('Расходы и доставка'!$B$15="по весу",N60/'Расходы и доставка'!$B$19,IF('Расходы и доставка'!$B$15="по объему",O60/'Расходы и доставка'!$B$20,IF('Расходы и доставка'!$B$15="поровну на штуку",L60/'Расходы и доставка'!$B$21,T60/'Расходы и доставка'!$B$22))),0)</f>
        <v/>
      </c>
      <c r="Q60" s="17">
        <f>P60*'Расходы и доставка'!$B$13</f>
        <v/>
      </c>
      <c r="R60" s="20">
        <f>IFERROR(Q60/L60,0)</f>
        <v/>
      </c>
      <c r="S60" s="21" t="n">
        <v>10000</v>
      </c>
      <c r="T60" s="17">
        <f>L60*S60</f>
        <v/>
      </c>
      <c r="U60" s="17">
        <f>S60+R60</f>
        <v/>
      </c>
      <c r="V60" s="22">
        <f>IFERROR(R60/S60,"")</f>
        <v/>
      </c>
      <c r="W60" s="16" t="inlineStr"/>
      <c r="X60" s="4" t="inlineStr">
        <is>
          <t>Склад 2</t>
        </is>
      </c>
      <c r="Y60" s="23" t="inlineStr"/>
    </row>
    <row r="61">
      <c r="A61" s="4" t="n">
        <v>57</v>
      </c>
      <c r="B61" s="5" t="inlineStr">
        <is>
          <t>4. Прочее, по цене за килограмм</t>
        </is>
      </c>
      <c r="C61" s="4" t="inlineStr">
        <is>
          <t>Ярус 4, верх</t>
        </is>
      </c>
      <c r="D61" s="4" t="inlineStr">
        <is>
          <t>фильтр забортной воды</t>
        </is>
      </c>
      <c r="E61" s="4" t="inlineStr">
        <is>
          <t>Ду100</t>
        </is>
      </c>
      <c r="F61" s="5" t="inlineStr">
        <is>
          <t>Сетка на фильтр Ду100 (медь) на кингстон РС-300</t>
        </is>
      </c>
      <c r="G61" s="4" t="inlineStr"/>
      <c r="H61" s="16" t="inlineStr"/>
      <c r="I61" s="16" t="inlineStr">
        <is>
          <t>Комплект</t>
        </is>
      </c>
      <c r="J61" s="4" t="inlineStr"/>
      <c r="K61" s="4" t="n">
        <v>2</v>
      </c>
      <c r="L61" s="16" t="n">
        <v>2</v>
      </c>
      <c r="M61" s="16" t="n">
        <v>8</v>
      </c>
      <c r="N61" s="17">
        <f>L61*M61</f>
        <v/>
      </c>
      <c r="O61" s="18" t="n">
        <v>0.09</v>
      </c>
      <c r="P61" s="19">
        <f>IFERROR(IF('Расходы и доставка'!$B$15="по весу",N61/'Расходы и доставка'!$B$19,IF('Расходы и доставка'!$B$15="по объему",O61/'Расходы и доставка'!$B$20,IF('Расходы и доставка'!$B$15="поровну на штуку",L61/'Расходы и доставка'!$B$21,T61/'Расходы и доставка'!$B$22))),0)</f>
        <v/>
      </c>
      <c r="Q61" s="17">
        <f>P61*'Расходы и доставка'!$B$13</f>
        <v/>
      </c>
      <c r="R61" s="20">
        <f>IFERROR(Q61/L61,0)</f>
        <v/>
      </c>
      <c r="S61" s="21" t="n">
        <v>10000</v>
      </c>
      <c r="T61" s="17">
        <f>L61*S61</f>
        <v/>
      </c>
      <c r="U61" s="17">
        <f>S61+R61</f>
        <v/>
      </c>
      <c r="V61" s="22">
        <f>IFERROR(R61/S61,"")</f>
        <v/>
      </c>
      <c r="W61" s="16" t="inlineStr"/>
      <c r="X61" s="4" t="inlineStr">
        <is>
          <t>Склад 2</t>
        </is>
      </c>
      <c r="Y61" s="23" t="inlineStr"/>
    </row>
    <row r="62">
      <c r="A62" s="4" t="n">
        <v>58</v>
      </c>
      <c r="B62" s="5" t="inlineStr">
        <is>
          <t>4. Прочее, по цене за килограмм</t>
        </is>
      </c>
      <c r="C62" s="4" t="inlineStr">
        <is>
          <t>Ярус 2, рядом на полу</t>
        </is>
      </c>
      <c r="D62" s="4" t="inlineStr">
        <is>
          <t>клапан фланцевый</t>
        </is>
      </c>
      <c r="E62" s="4" t="inlineStr">
        <is>
          <t>Ду200</t>
        </is>
      </c>
      <c r="F62" s="5" t="inlineStr">
        <is>
          <t>Клапан фланцевый проходной Ду200</t>
        </is>
      </c>
      <c r="G62" s="4" t="inlineStr"/>
      <c r="H62" s="16" t="inlineStr"/>
      <c r="I62" s="16" t="inlineStr">
        <is>
          <t>Комплект</t>
        </is>
      </c>
      <c r="J62" s="4" t="inlineStr"/>
      <c r="K62" s="4" t="n">
        <v>3</v>
      </c>
      <c r="L62" s="16" t="n">
        <v>3</v>
      </c>
      <c r="M62" s="16" t="n">
        <v>130</v>
      </c>
      <c r="N62" s="17">
        <f>L62*M62</f>
        <v/>
      </c>
      <c r="O62" s="18" t="n">
        <v>0.48</v>
      </c>
      <c r="P62" s="19">
        <f>IFERROR(IF('Расходы и доставка'!$B$15="по весу",N62/'Расходы и доставка'!$B$19,IF('Расходы и доставка'!$B$15="по объему",O62/'Расходы и доставка'!$B$20,IF('Расходы и доставка'!$B$15="поровну на штуку",L62/'Расходы и доставка'!$B$21,T62/'Расходы и доставка'!$B$22))),0)</f>
        <v/>
      </c>
      <c r="Q62" s="17">
        <f>P62*'Расходы и доставка'!$B$13</f>
        <v/>
      </c>
      <c r="R62" s="20">
        <f>IFERROR(Q62/L62,0)</f>
        <v/>
      </c>
      <c r="S62" s="21" t="n">
        <v>150000</v>
      </c>
      <c r="T62" s="17">
        <f>L62*S62</f>
        <v/>
      </c>
      <c r="U62" s="17">
        <f>S62+R62</f>
        <v/>
      </c>
      <c r="V62" s="22">
        <f>IFERROR(R62/S62,"")</f>
        <v/>
      </c>
      <c r="W62" s="16" t="inlineStr"/>
      <c r="X62" s="4" t="inlineStr">
        <is>
          <t>Склад 1А/1Б</t>
        </is>
      </c>
      <c r="Y62" s="23" t="inlineStr"/>
    </row>
    <row r="63">
      <c r="A63" s="4" t="n">
        <v>59</v>
      </c>
      <c r="B63" s="5" t="inlineStr">
        <is>
          <t>4. Прочее, по цене за килограмм</t>
        </is>
      </c>
      <c r="C63" s="4" t="inlineStr">
        <is>
          <t>Ярус 3, ящики</t>
        </is>
      </c>
      <c r="D63" s="4" t="inlineStr">
        <is>
          <t>клапан фланцевый</t>
        </is>
      </c>
      <c r="E63" s="4" t="inlineStr">
        <is>
          <t>Ду80</t>
        </is>
      </c>
      <c r="F63" s="5" t="inlineStr">
        <is>
          <t>Клапан фланцевый проходной Ду 80 Ру 10, 521 -35.3451</t>
        </is>
      </c>
      <c r="G63" s="4" t="inlineStr"/>
      <c r="H63" s="16" t="inlineStr"/>
      <c r="I63" s="16" t="inlineStr">
        <is>
          <t>Комплект</t>
        </is>
      </c>
      <c r="J63" s="4" t="inlineStr"/>
      <c r="K63" s="4" t="n">
        <v>1</v>
      </c>
      <c r="L63" s="16" t="n">
        <v>1</v>
      </c>
      <c r="M63" s="16" t="n">
        <v>28</v>
      </c>
      <c r="N63" s="17">
        <f>L63*M63</f>
        <v/>
      </c>
      <c r="O63" s="18" t="n">
        <v>0.03</v>
      </c>
      <c r="P63" s="19">
        <f>IFERROR(IF('Расходы и доставка'!$B$15="по весу",N63/'Расходы и доставка'!$B$19,IF('Расходы и доставка'!$B$15="по объему",O63/'Расходы и доставка'!$B$20,IF('Расходы и доставка'!$B$15="поровну на штуку",L63/'Расходы и доставка'!$B$21,T63/'Расходы и доставка'!$B$22))),0)</f>
        <v/>
      </c>
      <c r="Q63" s="17">
        <f>P63*'Расходы и доставка'!$B$13</f>
        <v/>
      </c>
      <c r="R63" s="20">
        <f>IFERROR(Q63/L63,0)</f>
        <v/>
      </c>
      <c r="S63" s="21" t="n">
        <v>32000</v>
      </c>
      <c r="T63" s="17">
        <f>L63*S63</f>
        <v/>
      </c>
      <c r="U63" s="17">
        <f>S63+R63</f>
        <v/>
      </c>
      <c r="V63" s="22">
        <f>IFERROR(R63/S63,"")</f>
        <v/>
      </c>
      <c r="W63" s="16" t="inlineStr"/>
      <c r="X63" s="4" t="inlineStr">
        <is>
          <t>Склад 1А/1Б</t>
        </is>
      </c>
      <c r="Y63" s="23" t="inlineStr"/>
    </row>
    <row r="64">
      <c r="A64" s="4" t="n">
        <v>60</v>
      </c>
      <c r="B64" s="5" t="inlineStr">
        <is>
          <t>4. Прочее, по цене за килограмм</t>
        </is>
      </c>
      <c r="C64" s="4" t="inlineStr">
        <is>
          <t>Ярус 2, рядом на полу</t>
        </is>
      </c>
      <c r="D64" s="4" t="inlineStr">
        <is>
          <t>захлопка</t>
        </is>
      </c>
      <c r="E64" s="4" t="inlineStr">
        <is>
          <t>Ду100</t>
        </is>
      </c>
      <c r="F64" s="5" t="inlineStr">
        <is>
          <t>Захлопка фланцевая проходная Ду100Ру6,3</t>
        </is>
      </c>
      <c r="G64" s="4" t="inlineStr">
        <is>
          <t>529-35.1406-01</t>
        </is>
      </c>
      <c r="H64" s="16" t="inlineStr"/>
      <c r="I64" s="16" t="inlineStr">
        <is>
          <t>Комплект</t>
        </is>
      </c>
      <c r="J64" s="4" t="inlineStr"/>
      <c r="K64" s="4" t="n">
        <v>1</v>
      </c>
      <c r="L64" s="16" t="n">
        <v>1</v>
      </c>
      <c r="M64" s="16" t="n">
        <v>35</v>
      </c>
      <c r="N64" s="17">
        <f>L64*M64</f>
        <v/>
      </c>
      <c r="O64" s="18" t="n">
        <v>0.045</v>
      </c>
      <c r="P64" s="19">
        <f>IFERROR(IF('Расходы и доставка'!$B$15="по весу",N64/'Расходы и доставка'!$B$19,IF('Расходы и доставка'!$B$15="по объему",O64/'Расходы и доставка'!$B$20,IF('Расходы и доставка'!$B$15="поровну на штуку",L64/'Расходы и доставка'!$B$21,T64/'Расходы и доставка'!$B$22))),0)</f>
        <v/>
      </c>
      <c r="Q64" s="17">
        <f>P64*'Расходы и доставка'!$B$13</f>
        <v/>
      </c>
      <c r="R64" s="20">
        <f>IFERROR(Q64/L64,0)</f>
        <v/>
      </c>
      <c r="S64" s="21" t="n">
        <v>40000</v>
      </c>
      <c r="T64" s="17">
        <f>L64*S64</f>
        <v/>
      </c>
      <c r="U64" s="17">
        <f>S64+R64</f>
        <v/>
      </c>
      <c r="V64" s="22">
        <f>IFERROR(R64/S64,"")</f>
        <v/>
      </c>
      <c r="W64" s="16" t="inlineStr"/>
      <c r="X64" s="4" t="inlineStr">
        <is>
          <t>Склад 2</t>
        </is>
      </c>
      <c r="Y64" s="23" t="inlineStr"/>
    </row>
    <row r="65">
      <c r="A65" s="4" t="n">
        <v>61</v>
      </c>
      <c r="B65" s="5" t="inlineStr">
        <is>
          <t>4. Прочее, по цене за килограмм</t>
        </is>
      </c>
      <c r="C65" s="4" t="inlineStr">
        <is>
          <t>Ярус 2, рядом на полу</t>
        </is>
      </c>
      <c r="D65" s="4" t="inlineStr">
        <is>
          <t>захлопка</t>
        </is>
      </c>
      <c r="E65" s="4" t="inlineStr">
        <is>
          <t>Ду100</t>
        </is>
      </c>
      <c r="F65" s="5" t="inlineStr">
        <is>
          <t>Захлопка фланцевая горизон. Ду100 Ру10</t>
        </is>
      </c>
      <c r="G65" s="4" t="inlineStr">
        <is>
          <t>529-03.074</t>
        </is>
      </c>
      <c r="H65" s="16" t="inlineStr"/>
      <c r="I65" s="16" t="inlineStr">
        <is>
          <t>Комплект</t>
        </is>
      </c>
      <c r="J65" s="4" t="inlineStr"/>
      <c r="K65" s="4" t="n">
        <v>3</v>
      </c>
      <c r="L65" s="16" t="n">
        <v>3</v>
      </c>
      <c r="M65" s="16" t="n">
        <v>35</v>
      </c>
      <c r="N65" s="17">
        <f>L65*M65</f>
        <v/>
      </c>
      <c r="O65" s="18" t="n">
        <v>0.135</v>
      </c>
      <c r="P65" s="19">
        <f>IFERROR(IF('Расходы и доставка'!$B$15="по весу",N65/'Расходы и доставка'!$B$19,IF('Расходы и доставка'!$B$15="по объему",O65/'Расходы и доставка'!$B$20,IF('Расходы и доставка'!$B$15="поровну на штуку",L65/'Расходы и доставка'!$B$21,T65/'Расходы и доставка'!$B$22))),0)</f>
        <v/>
      </c>
      <c r="Q65" s="17">
        <f>P65*'Расходы и доставка'!$B$13</f>
        <v/>
      </c>
      <c r="R65" s="20">
        <f>IFERROR(Q65/L65,0)</f>
        <v/>
      </c>
      <c r="S65" s="21" t="n">
        <v>40000</v>
      </c>
      <c r="T65" s="17">
        <f>L65*S65</f>
        <v/>
      </c>
      <c r="U65" s="17">
        <f>S65+R65</f>
        <v/>
      </c>
      <c r="V65" s="22">
        <f>IFERROR(R65/S65,"")</f>
        <v/>
      </c>
      <c r="W65" s="16" t="inlineStr"/>
      <c r="X65" s="4" t="inlineStr">
        <is>
          <t>Склад 2</t>
        </is>
      </c>
      <c r="Y65" s="23" t="inlineStr"/>
    </row>
    <row r="66">
      <c r="A66" s="4" t="n">
        <v>62</v>
      </c>
      <c r="B66" s="5" t="inlineStr">
        <is>
          <t>4. Прочее, по цене за килограмм</t>
        </is>
      </c>
      <c r="C66" s="4" t="inlineStr">
        <is>
          <t>Ярус 2, рядом на полу</t>
        </is>
      </c>
      <c r="D66" s="4" t="inlineStr">
        <is>
          <t>захлопка</t>
        </is>
      </c>
      <c r="E66" s="4" t="inlineStr">
        <is>
          <t>Ду100</t>
        </is>
      </c>
      <c r="F66" s="5" t="inlineStr">
        <is>
          <t>Захлопка фланцевая вертикальная Ду100</t>
        </is>
      </c>
      <c r="G66" s="4" t="inlineStr">
        <is>
          <t>529-03.003</t>
        </is>
      </c>
      <c r="H66" s="16" t="inlineStr"/>
      <c r="I66" s="16" t="inlineStr">
        <is>
          <t>Комплект</t>
        </is>
      </c>
      <c r="J66" s="4" t="inlineStr"/>
      <c r="K66" s="4" t="n">
        <v>1</v>
      </c>
      <c r="L66" s="16" t="n">
        <v>1</v>
      </c>
      <c r="M66" s="16" t="n">
        <v>35</v>
      </c>
      <c r="N66" s="17">
        <f>L66*M66</f>
        <v/>
      </c>
      <c r="O66" s="18" t="n">
        <v>0.045</v>
      </c>
      <c r="P66" s="19">
        <f>IFERROR(IF('Расходы и доставка'!$B$15="по весу",N66/'Расходы и доставка'!$B$19,IF('Расходы и доставка'!$B$15="по объему",O66/'Расходы и доставка'!$B$20,IF('Расходы и доставка'!$B$15="поровну на штуку",L66/'Расходы и доставка'!$B$21,T66/'Расходы и доставка'!$B$22))),0)</f>
        <v/>
      </c>
      <c r="Q66" s="17">
        <f>P66*'Расходы и доставка'!$B$13</f>
        <v/>
      </c>
      <c r="R66" s="20">
        <f>IFERROR(Q66/L66,0)</f>
        <v/>
      </c>
      <c r="S66" s="21" t="n">
        <v>40000</v>
      </c>
      <c r="T66" s="17">
        <f>L66*S66</f>
        <v/>
      </c>
      <c r="U66" s="17">
        <f>S66+R66</f>
        <v/>
      </c>
      <c r="V66" s="22">
        <f>IFERROR(R66/S66,"")</f>
        <v/>
      </c>
      <c r="W66" s="16" t="inlineStr"/>
      <c r="X66" s="4" t="inlineStr">
        <is>
          <t>Склад 2</t>
        </is>
      </c>
      <c r="Y66" s="23" t="inlineStr"/>
    </row>
    <row r="67">
      <c r="A67" s="4" t="n">
        <v>63</v>
      </c>
      <c r="B67" s="5" t="inlineStr">
        <is>
          <t>4. Прочее, по цене за килограмм</t>
        </is>
      </c>
      <c r="C67" s="4" t="inlineStr">
        <is>
          <t>Ярус 2, рядом на полу</t>
        </is>
      </c>
      <c r="D67" s="4" t="inlineStr">
        <is>
          <t>захлопка</t>
        </is>
      </c>
      <c r="E67" s="4" t="inlineStr">
        <is>
          <t>Ду100</t>
        </is>
      </c>
      <c r="F67" s="5" t="inlineStr">
        <is>
          <t>Захлопка фланцевая угловая Ду100Ру10</t>
        </is>
      </c>
      <c r="G67" s="4" t="inlineStr">
        <is>
          <t>529-35-1405-01</t>
        </is>
      </c>
      <c r="H67" s="16" t="inlineStr"/>
      <c r="I67" s="16" t="inlineStr">
        <is>
          <t>Комплект</t>
        </is>
      </c>
      <c r="J67" s="4" t="inlineStr"/>
      <c r="K67" s="4" t="n">
        <v>1</v>
      </c>
      <c r="L67" s="16" t="n">
        <v>1</v>
      </c>
      <c r="M67" s="16" t="n">
        <v>35</v>
      </c>
      <c r="N67" s="17">
        <f>L67*M67</f>
        <v/>
      </c>
      <c r="O67" s="18" t="n">
        <v>0.045</v>
      </c>
      <c r="P67" s="19">
        <f>IFERROR(IF('Расходы и доставка'!$B$15="по весу",N67/'Расходы и доставка'!$B$19,IF('Расходы и доставка'!$B$15="по объему",O67/'Расходы и доставка'!$B$20,IF('Расходы и доставка'!$B$15="поровну на штуку",L67/'Расходы и доставка'!$B$21,T67/'Расходы и доставка'!$B$22))),0)</f>
        <v/>
      </c>
      <c r="Q67" s="17">
        <f>P67*'Расходы и доставка'!$B$13</f>
        <v/>
      </c>
      <c r="R67" s="20">
        <f>IFERROR(Q67/L67,0)</f>
        <v/>
      </c>
      <c r="S67" s="21" t="n">
        <v>40000</v>
      </c>
      <c r="T67" s="17">
        <f>L67*S67</f>
        <v/>
      </c>
      <c r="U67" s="17">
        <f>S67+R67</f>
        <v/>
      </c>
      <c r="V67" s="22">
        <f>IFERROR(R67/S67,"")</f>
        <v/>
      </c>
      <c r="W67" s="16" t="inlineStr"/>
      <c r="X67" s="4" t="inlineStr">
        <is>
          <t>Склад 2</t>
        </is>
      </c>
      <c r="Y67" s="23" t="inlineStr"/>
    </row>
    <row r="68">
      <c r="A68" s="4" t="n">
        <v>64</v>
      </c>
      <c r="B68" s="5" t="inlineStr">
        <is>
          <t>4. Прочее, по цене за килограмм</t>
        </is>
      </c>
      <c r="C68" s="4" t="inlineStr">
        <is>
          <t>Ярус 3, ящики</t>
        </is>
      </c>
      <c r="D68" s="4" t="inlineStr">
        <is>
          <t>клинкет (задвижка)</t>
        </is>
      </c>
      <c r="E68" s="4" t="inlineStr">
        <is>
          <t>Ду60</t>
        </is>
      </c>
      <c r="F68" s="5" t="inlineStr">
        <is>
          <t>Задвижка клинкетная Ду60</t>
        </is>
      </c>
      <c r="G68" s="4" t="inlineStr"/>
      <c r="H68" s="16" t="inlineStr"/>
      <c r="I68" s="16" t="inlineStr">
        <is>
          <t>Комплект</t>
        </is>
      </c>
      <c r="J68" s="4" t="inlineStr"/>
      <c r="K68" s="4" t="n">
        <v>1</v>
      </c>
      <c r="L68" s="16" t="n">
        <v>1</v>
      </c>
      <c r="M68" s="16" t="n">
        <v>16</v>
      </c>
      <c r="N68" s="17">
        <f>L68*M68</f>
        <v/>
      </c>
      <c r="O68" s="18" t="n">
        <v>0.02</v>
      </c>
      <c r="P68" s="19">
        <f>IFERROR(IF('Расходы и доставка'!$B$15="по весу",N68/'Расходы и доставка'!$B$19,IF('Расходы и доставка'!$B$15="по объему",O68/'Расходы и доставка'!$B$20,IF('Расходы и доставка'!$B$15="поровну на штуку",L68/'Расходы и доставка'!$B$21,T68/'Расходы и доставка'!$B$22))),0)</f>
        <v/>
      </c>
      <c r="Q68" s="17">
        <f>P68*'Расходы и доставка'!$B$13</f>
        <v/>
      </c>
      <c r="R68" s="20">
        <f>IFERROR(Q68/L68,0)</f>
        <v/>
      </c>
      <c r="S68" s="21" t="n">
        <v>18000</v>
      </c>
      <c r="T68" s="17">
        <f>L68*S68</f>
        <v/>
      </c>
      <c r="U68" s="17">
        <f>S68+R68</f>
        <v/>
      </c>
      <c r="V68" s="22">
        <f>IFERROR(R68/S68,"")</f>
        <v/>
      </c>
      <c r="W68" s="16" t="inlineStr"/>
      <c r="X68" s="4" t="inlineStr">
        <is>
          <t>Склад 1А/1Б</t>
        </is>
      </c>
      <c r="Y68" s="23" t="inlineStr"/>
    </row>
    <row r="69">
      <c r="A69" s="4" t="n">
        <v>65</v>
      </c>
      <c r="B69" s="5" t="inlineStr">
        <is>
          <t>4. Прочее, по цене за килограмм</t>
        </is>
      </c>
      <c r="C69" s="4" t="inlineStr">
        <is>
          <t>Ярус 1, на настил</t>
        </is>
      </c>
      <c r="D69" s="4" t="inlineStr">
        <is>
          <t>клинкет (задвижка)</t>
        </is>
      </c>
      <c r="E69" s="4" t="inlineStr">
        <is>
          <t>Ду200</t>
        </is>
      </c>
      <c r="F69" s="5" t="inlineStr">
        <is>
          <t>Клинкет Ду 200</t>
        </is>
      </c>
      <c r="G69" s="4" t="inlineStr"/>
      <c r="H69" s="16" t="inlineStr"/>
      <c r="I69" s="16" t="inlineStr">
        <is>
          <t>Комплект</t>
        </is>
      </c>
      <c r="J69" s="4" t="inlineStr"/>
      <c r="K69" s="4" t="n">
        <v>11</v>
      </c>
      <c r="L69" s="16" t="n">
        <v>11</v>
      </c>
      <c r="M69" s="16" t="n">
        <v>140</v>
      </c>
      <c r="N69" s="17">
        <f>L69*M69</f>
        <v/>
      </c>
      <c r="O69" s="18" t="n">
        <v>1.76</v>
      </c>
      <c r="P69" s="19">
        <f>IFERROR(IF('Расходы и доставка'!$B$15="по весу",N69/'Расходы и доставка'!$B$19,IF('Расходы и доставка'!$B$15="по объему",O69/'Расходы и доставка'!$B$20,IF('Расходы и доставка'!$B$15="поровну на штуку",L69/'Расходы и доставка'!$B$21,T69/'Расходы и доставка'!$B$22))),0)</f>
        <v/>
      </c>
      <c r="Q69" s="17">
        <f>P69*'Расходы и доставка'!$B$13</f>
        <v/>
      </c>
      <c r="R69" s="20">
        <f>IFERROR(Q69/L69,0)</f>
        <v/>
      </c>
      <c r="S69" s="21" t="n">
        <v>150000</v>
      </c>
      <c r="T69" s="17">
        <f>L69*S69</f>
        <v/>
      </c>
      <c r="U69" s="17">
        <f>S69+R69</f>
        <v/>
      </c>
      <c r="V69" s="22">
        <f>IFERROR(R69/S69,"")</f>
        <v/>
      </c>
      <c r="W69" s="16" t="inlineStr"/>
      <c r="X69" s="4" t="inlineStr">
        <is>
          <t>Фойе</t>
        </is>
      </c>
      <c r="Y69" s="23" t="inlineStr"/>
    </row>
    <row r="70">
      <c r="A70" s="4" t="n">
        <v>66</v>
      </c>
      <c r="B70" s="5" t="inlineStr">
        <is>
          <t>4. Прочее, по цене за килограмм</t>
        </is>
      </c>
      <c r="C70" s="4" t="inlineStr">
        <is>
          <t>Ярус 2, рядом на полу</t>
        </is>
      </c>
      <c r="D70" s="4" t="inlineStr">
        <is>
          <t>клапан фланцевый</t>
        </is>
      </c>
      <c r="E70" s="4" t="inlineStr">
        <is>
          <t>Ду150</t>
        </is>
      </c>
      <c r="F70" s="5" t="inlineStr">
        <is>
          <t>Клапан фланцевый проходной Ду150</t>
        </is>
      </c>
      <c r="G70" s="4" t="inlineStr"/>
      <c r="H70" s="16" t="inlineStr"/>
      <c r="I70" s="16" t="inlineStr">
        <is>
          <t>Комплект</t>
        </is>
      </c>
      <c r="J70" s="4" t="inlineStr"/>
      <c r="K70" s="4" t="n">
        <v>2</v>
      </c>
      <c r="L70" s="16" t="n">
        <v>2</v>
      </c>
      <c r="M70" s="16" t="n">
        <v>75</v>
      </c>
      <c r="N70" s="17">
        <f>L70*M70</f>
        <v/>
      </c>
      <c r="O70" s="18" t="n">
        <v>0.2</v>
      </c>
      <c r="P70" s="19">
        <f>IFERROR(IF('Расходы и доставка'!$B$15="по весу",N70/'Расходы и доставка'!$B$19,IF('Расходы и доставка'!$B$15="по объему",O70/'Расходы и доставка'!$B$20,IF('Расходы и доставка'!$B$15="поровну на штуку",L70/'Расходы и доставка'!$B$21,T70/'Расходы и доставка'!$B$22))),0)</f>
        <v/>
      </c>
      <c r="Q70" s="17">
        <f>P70*'Расходы и доставка'!$B$13</f>
        <v/>
      </c>
      <c r="R70" s="20">
        <f>IFERROR(Q70/L70,0)</f>
        <v/>
      </c>
      <c r="S70" s="21" t="n">
        <v>80000</v>
      </c>
      <c r="T70" s="17">
        <f>L70*S70</f>
        <v/>
      </c>
      <c r="U70" s="17">
        <f>S70+R70</f>
        <v/>
      </c>
      <c r="V70" s="22">
        <f>IFERROR(R70/S70,"")</f>
        <v/>
      </c>
      <c r="W70" s="16" t="inlineStr"/>
      <c r="X70" s="4" t="inlineStr">
        <is>
          <t>Склад 3</t>
        </is>
      </c>
      <c r="Y70" s="23" t="inlineStr"/>
    </row>
    <row r="71">
      <c r="A71" s="4" t="n">
        <v>67</v>
      </c>
      <c r="B71" s="5" t="inlineStr">
        <is>
          <t>4. Прочее, по цене за килограмм</t>
        </is>
      </c>
      <c r="C71" s="4" t="inlineStr">
        <is>
          <t>Ярус 2, рядом на полу</t>
        </is>
      </c>
      <c r="D71" s="4" t="inlineStr">
        <is>
          <t>клапан фланцевый</t>
        </is>
      </c>
      <c r="E71" s="4" t="inlineStr">
        <is>
          <t>Ду100</t>
        </is>
      </c>
      <c r="F71" s="5" t="inlineStr">
        <is>
          <t>Клапан фланцевый проходной Ду100 Ру10</t>
        </is>
      </c>
      <c r="G71" s="4" t="inlineStr"/>
      <c r="H71" s="16" t="inlineStr"/>
      <c r="I71" s="16" t="inlineStr">
        <is>
          <t>Комплект</t>
        </is>
      </c>
      <c r="J71" s="4" t="inlineStr"/>
      <c r="K71" s="4" t="n">
        <v>5</v>
      </c>
      <c r="L71" s="16" t="n">
        <v>5</v>
      </c>
      <c r="M71" s="16" t="n">
        <v>40</v>
      </c>
      <c r="N71" s="17">
        <f>L71*M71</f>
        <v/>
      </c>
      <c r="O71" s="18" t="n">
        <v>0.225</v>
      </c>
      <c r="P71" s="19">
        <f>IFERROR(IF('Расходы и доставка'!$B$15="по весу",N71/'Расходы и доставка'!$B$19,IF('Расходы и доставка'!$B$15="по объему",O71/'Расходы и доставка'!$B$20,IF('Расходы и доставка'!$B$15="поровну на штуку",L71/'Расходы и доставка'!$B$21,T71/'Расходы и доставка'!$B$22))),0)</f>
        <v/>
      </c>
      <c r="Q71" s="17">
        <f>P71*'Расходы и доставка'!$B$13</f>
        <v/>
      </c>
      <c r="R71" s="20">
        <f>IFERROR(Q71/L71,0)</f>
        <v/>
      </c>
      <c r="S71" s="21" t="n">
        <v>42000</v>
      </c>
      <c r="T71" s="17">
        <f>L71*S71</f>
        <v/>
      </c>
      <c r="U71" s="17">
        <f>S71+R71</f>
        <v/>
      </c>
      <c r="V71" s="22">
        <f>IFERROR(R71/S71,"")</f>
        <v/>
      </c>
      <c r="W71" s="16" t="inlineStr"/>
      <c r="X71" s="4" t="inlineStr">
        <is>
          <t>Склад 3</t>
        </is>
      </c>
      <c r="Y71" s="23" t="inlineStr"/>
    </row>
    <row r="72">
      <c r="A72" s="4" t="n">
        <v>68</v>
      </c>
      <c r="B72" s="5" t="inlineStr">
        <is>
          <t>4. Прочее, по цене за килограмм</t>
        </is>
      </c>
      <c r="C72" s="4" t="inlineStr">
        <is>
          <t>Ярус 2, рядом на полу</t>
        </is>
      </c>
      <c r="D72" s="4" t="inlineStr">
        <is>
          <t>клапан фланцевый</t>
        </is>
      </c>
      <c r="E72" s="4" t="inlineStr">
        <is>
          <t>Ду200</t>
        </is>
      </c>
      <c r="F72" s="5" t="inlineStr">
        <is>
          <t>Клапан фланцевый проходной Ду200 Ру6</t>
        </is>
      </c>
      <c r="G72" s="4" t="inlineStr">
        <is>
          <t>522-03.184</t>
        </is>
      </c>
      <c r="H72" s="16" t="inlineStr"/>
      <c r="I72" s="16" t="inlineStr">
        <is>
          <t>Комплект</t>
        </is>
      </c>
      <c r="J72" s="4" t="inlineStr"/>
      <c r="K72" s="4" t="n">
        <v>1</v>
      </c>
      <c r="L72" s="16" t="n">
        <v>1</v>
      </c>
      <c r="M72" s="16" t="n">
        <v>130</v>
      </c>
      <c r="N72" s="17">
        <f>L72*M72</f>
        <v/>
      </c>
      <c r="O72" s="18" t="n">
        <v>0.16</v>
      </c>
      <c r="P72" s="19">
        <f>IFERROR(IF('Расходы и доставка'!$B$15="по весу",N72/'Расходы и доставка'!$B$19,IF('Расходы и доставка'!$B$15="по объему",O72/'Расходы и доставка'!$B$20,IF('Расходы и доставка'!$B$15="поровну на штуку",L72/'Расходы и доставка'!$B$21,T72/'Расходы и доставка'!$B$22))),0)</f>
        <v/>
      </c>
      <c r="Q72" s="17">
        <f>P72*'Расходы и доставка'!$B$13</f>
        <v/>
      </c>
      <c r="R72" s="20">
        <f>IFERROR(Q72/L72,0)</f>
        <v/>
      </c>
      <c r="S72" s="21" t="n">
        <v>120000</v>
      </c>
      <c r="T72" s="17">
        <f>L72*S72</f>
        <v/>
      </c>
      <c r="U72" s="17">
        <f>S72+R72</f>
        <v/>
      </c>
      <c r="V72" s="22">
        <f>IFERROR(R72/S72,"")</f>
        <v/>
      </c>
      <c r="W72" s="16" t="inlineStr"/>
      <c r="X72" s="4" t="inlineStr">
        <is>
          <t>Склад 3</t>
        </is>
      </c>
      <c r="Y72" s="23" t="inlineStr"/>
    </row>
    <row r="73">
      <c r="A73" s="4" t="n">
        <v>69</v>
      </c>
      <c r="B73" s="5" t="inlineStr">
        <is>
          <t>4. Прочее, по цене за килограмм</t>
        </is>
      </c>
      <c r="C73" s="4" t="inlineStr">
        <is>
          <t>Ярус 3, ящики</t>
        </is>
      </c>
      <c r="D73" s="4" t="inlineStr">
        <is>
          <t>кингстон</t>
        </is>
      </c>
      <c r="E73" s="4" t="inlineStr">
        <is>
          <t>Ду80</t>
        </is>
      </c>
      <c r="F73" s="5" t="inlineStr">
        <is>
          <t>Кингстон донный фланцевый Ду80 Ру2,5</t>
        </is>
      </c>
      <c r="G73" s="4" t="inlineStr">
        <is>
          <t>527-03.055</t>
        </is>
      </c>
      <c r="H73" s="16" t="inlineStr"/>
      <c r="I73" s="16" t="inlineStr">
        <is>
          <t>Комплект</t>
        </is>
      </c>
      <c r="J73" s="4" t="inlineStr"/>
      <c r="K73" s="4" t="n">
        <v>2</v>
      </c>
      <c r="L73" s="16" t="n">
        <v>2</v>
      </c>
      <c r="M73" s="16" t="n">
        <v>35</v>
      </c>
      <c r="N73" s="17">
        <f>L73*M73</f>
        <v/>
      </c>
      <c r="O73" s="18" t="n">
        <v>0.06</v>
      </c>
      <c r="P73" s="19">
        <f>IFERROR(IF('Расходы и доставка'!$B$15="по весу",N73/'Расходы и доставка'!$B$19,IF('Расходы и доставка'!$B$15="по объему",O73/'Расходы и доставка'!$B$20,IF('Расходы и доставка'!$B$15="поровну на штуку",L73/'Расходы и доставка'!$B$21,T73/'Расходы и доставка'!$B$22))),0)</f>
        <v/>
      </c>
      <c r="Q73" s="17">
        <f>P73*'Расходы и доставка'!$B$13</f>
        <v/>
      </c>
      <c r="R73" s="20">
        <f>IFERROR(Q73/L73,0)</f>
        <v/>
      </c>
      <c r="S73" s="21" t="n">
        <v>32000</v>
      </c>
      <c r="T73" s="17">
        <f>L73*S73</f>
        <v/>
      </c>
      <c r="U73" s="17">
        <f>S73+R73</f>
        <v/>
      </c>
      <c r="V73" s="22">
        <f>IFERROR(R73/S73,"")</f>
        <v/>
      </c>
      <c r="W73" s="16" t="inlineStr"/>
      <c r="X73" s="4" t="inlineStr">
        <is>
          <t>Склад 3</t>
        </is>
      </c>
      <c r="Y73" s="23" t="inlineStr"/>
    </row>
    <row r="74">
      <c r="A74" s="4" t="n">
        <v>70</v>
      </c>
      <c r="B74" s="5" t="inlineStr">
        <is>
          <t>4. Прочее, по цене за килограмм</t>
        </is>
      </c>
      <c r="C74" s="4" t="inlineStr">
        <is>
          <t>Ярус 3, ящики</t>
        </is>
      </c>
      <c r="D74" s="4" t="inlineStr">
        <is>
          <t>клапан фланцевый</t>
        </is>
      </c>
      <c r="E74" s="4" t="inlineStr">
        <is>
          <t>Ду65</t>
        </is>
      </c>
      <c r="F74" s="5" t="inlineStr">
        <is>
          <t>Клапан проходной фланцевый Ду65 КОРПУС - БРАК</t>
        </is>
      </c>
      <c r="G74" s="4" t="inlineStr"/>
      <c r="H74" s="16" t="inlineStr"/>
      <c r="I74" s="16" t="inlineStr">
        <is>
          <t>Брак</t>
        </is>
      </c>
      <c r="J74" s="4" t="inlineStr"/>
      <c r="K74" s="4" t="n">
        <v>1</v>
      </c>
      <c r="L74" s="16" t="n">
        <v>1</v>
      </c>
      <c r="M74" s="16" t="n">
        <v>20</v>
      </c>
      <c r="N74" s="17">
        <f>L74*M74</f>
        <v/>
      </c>
      <c r="O74" s="18" t="n">
        <v>0.02</v>
      </c>
      <c r="P74" s="19">
        <f>IFERROR(IF('Расходы и доставка'!$B$15="по весу",N74/'Расходы и доставка'!$B$19,IF('Расходы и доставка'!$B$15="по объему",O74/'Расходы и доставка'!$B$20,IF('Расходы и доставка'!$B$15="поровну на штуку",L74/'Расходы и доставка'!$B$21,T74/'Расходы и доставка'!$B$22))),0)</f>
        <v/>
      </c>
      <c r="Q74" s="17">
        <f>P74*'Расходы и доставка'!$B$13</f>
        <v/>
      </c>
      <c r="R74" s="20">
        <f>IFERROR(Q74/L74,0)</f>
        <v/>
      </c>
      <c r="S74" s="21" t="n">
        <v>18000</v>
      </c>
      <c r="T74" s="17">
        <f>L74*S74</f>
        <v/>
      </c>
      <c r="U74" s="17">
        <f>S74+R74</f>
        <v/>
      </c>
      <c r="V74" s="22">
        <f>IFERROR(R74/S74,"")</f>
        <v/>
      </c>
      <c r="W74" s="16" t="inlineStr"/>
      <c r="X74" s="4" t="inlineStr">
        <is>
          <t>Склад 1А/1Б</t>
        </is>
      </c>
      <c r="Y74" s="23" t="inlineStr"/>
    </row>
    <row r="75">
      <c r="A75" s="4" t="n">
        <v>71</v>
      </c>
      <c r="B75" s="5" t="inlineStr">
        <is>
          <t>4. Прочее, по цене за килограмм</t>
        </is>
      </c>
      <c r="C75" s="4" t="inlineStr">
        <is>
          <t>Ярус 3, ящики</t>
        </is>
      </c>
      <c r="D75" s="4" t="inlineStr">
        <is>
          <t>кингстон</t>
        </is>
      </c>
      <c r="E75" s="4" t="inlineStr">
        <is>
          <t>Ду50</t>
        </is>
      </c>
      <c r="F75" s="5" t="inlineStr">
        <is>
          <t>Кингстон донный фланцевый Ду50 Ру2,5</t>
        </is>
      </c>
      <c r="G75" s="4" t="inlineStr">
        <is>
          <t>без чертежа</t>
        </is>
      </c>
      <c r="H75" s="16" t="inlineStr"/>
      <c r="I75" s="16" t="inlineStr">
        <is>
          <t>Комплект</t>
        </is>
      </c>
      <c r="J75" s="4" t="inlineStr"/>
      <c r="K75" s="4" t="n">
        <v>1</v>
      </c>
      <c r="L75" s="16" t="n">
        <v>1</v>
      </c>
      <c r="M75" s="16" t="n">
        <v>20</v>
      </c>
      <c r="N75" s="17">
        <f>L75*M75</f>
        <v/>
      </c>
      <c r="O75" s="18" t="n">
        <v>0.012</v>
      </c>
      <c r="P75" s="19">
        <f>IFERROR(IF('Расходы и доставка'!$B$15="по весу",N75/'Расходы и доставка'!$B$19,IF('Расходы и доставка'!$B$15="по объему",O75/'Расходы и доставка'!$B$20,IF('Расходы и доставка'!$B$15="поровну на штуку",L75/'Расходы и доставка'!$B$21,T75/'Расходы и доставка'!$B$22))),0)</f>
        <v/>
      </c>
      <c r="Q75" s="17">
        <f>P75*'Расходы и доставка'!$B$13</f>
        <v/>
      </c>
      <c r="R75" s="20">
        <f>IFERROR(Q75/L75,0)</f>
        <v/>
      </c>
      <c r="S75" s="21" t="n">
        <v>17500</v>
      </c>
      <c r="T75" s="17">
        <f>L75*S75</f>
        <v/>
      </c>
      <c r="U75" s="17">
        <f>S75+R75</f>
        <v/>
      </c>
      <c r="V75" s="22">
        <f>IFERROR(R75/S75,"")</f>
        <v/>
      </c>
      <c r="W75" s="16" t="inlineStr"/>
      <c r="X75" s="4" t="inlineStr">
        <is>
          <t>Склад 3</t>
        </is>
      </c>
      <c r="Y75" s="23" t="inlineStr"/>
    </row>
    <row r="76">
      <c r="A76" s="4" t="n">
        <v>72</v>
      </c>
      <c r="B76" s="5" t="inlineStr">
        <is>
          <t>4. Прочее, по цене за килограмм</t>
        </is>
      </c>
      <c r="C76" s="4" t="inlineStr">
        <is>
          <t>Ярус 3, ящики</t>
        </is>
      </c>
      <c r="D76" s="4" t="inlineStr">
        <is>
          <t>кингстон</t>
        </is>
      </c>
      <c r="E76" s="4" t="inlineStr">
        <is>
          <t>Ду50</t>
        </is>
      </c>
      <c r="F76" s="5" t="inlineStr">
        <is>
          <t>Кингстон донный фланцевый Ду50 Ру2,5</t>
        </is>
      </c>
      <c r="G76" s="4" t="inlineStr">
        <is>
          <t>527-03.054</t>
        </is>
      </c>
      <c r="H76" s="16" t="inlineStr"/>
      <c r="I76" s="16" t="inlineStr">
        <is>
          <t>Комплект</t>
        </is>
      </c>
      <c r="J76" s="4" t="inlineStr"/>
      <c r="K76" s="4" t="n">
        <v>1</v>
      </c>
      <c r="L76" s="16" t="n">
        <v>1</v>
      </c>
      <c r="M76" s="16" t="n">
        <v>20</v>
      </c>
      <c r="N76" s="17">
        <f>L76*M76</f>
        <v/>
      </c>
      <c r="O76" s="18" t="n">
        <v>0.012</v>
      </c>
      <c r="P76" s="19">
        <f>IFERROR(IF('Расходы и доставка'!$B$15="по весу",N76/'Расходы и доставка'!$B$19,IF('Расходы и доставка'!$B$15="по объему",O76/'Расходы и доставка'!$B$20,IF('Расходы и доставка'!$B$15="поровну на штуку",L76/'Расходы и доставка'!$B$21,T76/'Расходы и доставка'!$B$22))),0)</f>
        <v/>
      </c>
      <c r="Q76" s="17">
        <f>P76*'Расходы и доставка'!$B$13</f>
        <v/>
      </c>
      <c r="R76" s="20">
        <f>IFERROR(Q76/L76,0)</f>
        <v/>
      </c>
      <c r="S76" s="21" t="n">
        <v>17500</v>
      </c>
      <c r="T76" s="17">
        <f>L76*S76</f>
        <v/>
      </c>
      <c r="U76" s="17">
        <f>S76+R76</f>
        <v/>
      </c>
      <c r="V76" s="22">
        <f>IFERROR(R76/S76,"")</f>
        <v/>
      </c>
      <c r="W76" s="16" t="inlineStr"/>
      <c r="X76" s="4" t="inlineStr">
        <is>
          <t>Склад 3</t>
        </is>
      </c>
      <c r="Y76" s="23" t="inlineStr"/>
    </row>
    <row r="77">
      <c r="A77" s="4" t="n">
        <v>73</v>
      </c>
      <c r="B77" s="5" t="inlineStr">
        <is>
          <t>4. Прочее, по цене за килограмм</t>
        </is>
      </c>
      <c r="C77" s="4" t="inlineStr">
        <is>
          <t>Ярус 3, ящики</t>
        </is>
      </c>
      <c r="D77" s="4" t="inlineStr">
        <is>
          <t>клинкет (задвижка)</t>
        </is>
      </c>
      <c r="E77" s="4" t="inlineStr">
        <is>
          <t>Ду80</t>
        </is>
      </c>
      <c r="F77" s="5" t="inlineStr">
        <is>
          <t>Задвижка клинкетная Ду80 ( в разборе)</t>
        </is>
      </c>
      <c r="G77" s="4" t="inlineStr"/>
      <c r="H77" s="16" t="inlineStr"/>
      <c r="I77" s="16" t="inlineStr">
        <is>
          <t>Не комплект</t>
        </is>
      </c>
      <c r="J77" s="4" t="inlineStr"/>
      <c r="K77" s="4" t="n">
        <v>2</v>
      </c>
      <c r="L77" s="16" t="n">
        <v>2</v>
      </c>
      <c r="M77" s="16" t="n">
        <v>28</v>
      </c>
      <c r="N77" s="17">
        <f>L77*M77</f>
        <v/>
      </c>
      <c r="O77" s="18" t="n">
        <v>0.06</v>
      </c>
      <c r="P77" s="19">
        <f>IFERROR(IF('Расходы и доставка'!$B$15="по весу",N77/'Расходы и доставка'!$B$19,IF('Расходы и доставка'!$B$15="по объему",O77/'Расходы и доставка'!$B$20,IF('Расходы и доставка'!$B$15="поровну на штуку",L77/'Расходы и доставка'!$B$21,T77/'Расходы и доставка'!$B$22))),0)</f>
        <v/>
      </c>
      <c r="Q77" s="17">
        <f>P77*'Расходы и доставка'!$B$13</f>
        <v/>
      </c>
      <c r="R77" s="20">
        <f>IFERROR(Q77/L77,0)</f>
        <v/>
      </c>
      <c r="S77" s="21" t="n">
        <v>24000</v>
      </c>
      <c r="T77" s="17">
        <f>L77*S77</f>
        <v/>
      </c>
      <c r="U77" s="17">
        <f>S77+R77</f>
        <v/>
      </c>
      <c r="V77" s="22">
        <f>IFERROR(R77/S77,"")</f>
        <v/>
      </c>
      <c r="W77" s="16" t="inlineStr"/>
      <c r="X77" s="4" t="inlineStr">
        <is>
          <t>Склад 1А/1Б</t>
        </is>
      </c>
      <c r="Y77" s="23" t="inlineStr"/>
    </row>
    <row r="78">
      <c r="A78" s="4" t="n">
        <v>74</v>
      </c>
      <c r="B78" s="5" t="inlineStr">
        <is>
          <t>4. Прочее, по цене за килограмм</t>
        </is>
      </c>
      <c r="C78" s="4" t="inlineStr">
        <is>
          <t>Ярус 2, рядом на полу</t>
        </is>
      </c>
      <c r="D78" s="4" t="inlineStr">
        <is>
          <t>клапан фланцевый</t>
        </is>
      </c>
      <c r="E78" s="4" t="inlineStr">
        <is>
          <t>Ду100</t>
        </is>
      </c>
      <c r="F78" s="5" t="inlineStr">
        <is>
          <t>Клапана невозвратный проходной фланцевый Ду100 Ру10 (522-03.205)</t>
        </is>
      </c>
      <c r="G78" s="4" t="inlineStr"/>
      <c r="H78" s="16" t="inlineStr"/>
      <c r="I78" s="16" t="inlineStr">
        <is>
          <t>Комплект</t>
        </is>
      </c>
      <c r="J78" s="4" t="inlineStr"/>
      <c r="K78" s="4" t="n">
        <v>5</v>
      </c>
      <c r="L78" s="16" t="n">
        <v>5</v>
      </c>
      <c r="M78" s="16" t="n">
        <v>40</v>
      </c>
      <c r="N78" s="17">
        <f>L78*M78</f>
        <v/>
      </c>
      <c r="O78" s="18" t="n">
        <v>0.225</v>
      </c>
      <c r="P78" s="19">
        <f>IFERROR(IF('Расходы и доставка'!$B$15="по весу",N78/'Расходы и доставка'!$B$19,IF('Расходы и доставка'!$B$15="по объему",O78/'Расходы и доставка'!$B$20,IF('Расходы и доставка'!$B$15="поровну на штуку",L78/'Расходы и доставка'!$B$21,T78/'Расходы и доставка'!$B$22))),0)</f>
        <v/>
      </c>
      <c r="Q78" s="17">
        <f>P78*'Расходы и доставка'!$B$13</f>
        <v/>
      </c>
      <c r="R78" s="20">
        <f>IFERROR(Q78/L78,0)</f>
        <v/>
      </c>
      <c r="S78" s="21" t="n">
        <v>34000</v>
      </c>
      <c r="T78" s="17">
        <f>L78*S78</f>
        <v/>
      </c>
      <c r="U78" s="17">
        <f>S78+R78</f>
        <v/>
      </c>
      <c r="V78" s="22">
        <f>IFERROR(R78/S78,"")</f>
        <v/>
      </c>
      <c r="W78" s="16" t="inlineStr"/>
      <c r="X78" s="4" t="inlineStr">
        <is>
          <t>Склад 1А/1Б</t>
        </is>
      </c>
      <c r="Y78" s="23" t="inlineStr"/>
    </row>
    <row r="79">
      <c r="A79" s="4" t="n">
        <v>75</v>
      </c>
      <c r="B79" s="5" t="inlineStr">
        <is>
          <t>4. Прочее, по цене за килограмм</t>
        </is>
      </c>
      <c r="C79" s="4" t="inlineStr">
        <is>
          <t>Ярус 2, рядом на полу</t>
        </is>
      </c>
      <c r="D79" s="4" t="inlineStr">
        <is>
          <t>клапан фланцевый</t>
        </is>
      </c>
      <c r="E79" s="4" t="inlineStr">
        <is>
          <t>Ду125</t>
        </is>
      </c>
      <c r="F79" s="5" t="inlineStr">
        <is>
          <t>Клапан фланцевый проходной Ду125</t>
        </is>
      </c>
      <c r="G79" s="4" t="inlineStr"/>
      <c r="H79" s="16" t="inlineStr"/>
      <c r="I79" s="16" t="inlineStr">
        <is>
          <t>Комплект</t>
        </is>
      </c>
      <c r="J79" s="4" t="inlineStr"/>
      <c r="K79" s="4" t="n">
        <v>6</v>
      </c>
      <c r="L79" s="16" t="n">
        <v>6</v>
      </c>
      <c r="M79" s="16" t="n">
        <v>55</v>
      </c>
      <c r="N79" s="17">
        <f>L79*M79</f>
        <v/>
      </c>
      <c r="O79" s="18" t="n">
        <v>0.42</v>
      </c>
      <c r="P79" s="19">
        <f>IFERROR(IF('Расходы и доставка'!$B$15="по весу",N79/'Расходы и доставка'!$B$19,IF('Расходы и доставка'!$B$15="по объему",O79/'Расходы и доставка'!$B$20,IF('Расходы и доставка'!$B$15="поровну на штуку",L79/'Расходы и доставка'!$B$21,T79/'Расходы и доставка'!$B$22))),0)</f>
        <v/>
      </c>
      <c r="Q79" s="17">
        <f>P79*'Расходы и доставка'!$B$13</f>
        <v/>
      </c>
      <c r="R79" s="20">
        <f>IFERROR(Q79/L79,0)</f>
        <v/>
      </c>
      <c r="S79" s="21" t="n">
        <v>46000</v>
      </c>
      <c r="T79" s="17">
        <f>L79*S79</f>
        <v/>
      </c>
      <c r="U79" s="17">
        <f>S79+R79</f>
        <v/>
      </c>
      <c r="V79" s="22">
        <f>IFERROR(R79/S79,"")</f>
        <v/>
      </c>
      <c r="W79" s="16" t="inlineStr"/>
      <c r="X79" s="4" t="inlineStr">
        <is>
          <t>Склад 3</t>
        </is>
      </c>
      <c r="Y79" s="23" t="inlineStr"/>
    </row>
    <row r="80">
      <c r="A80" s="4" t="n">
        <v>76</v>
      </c>
      <c r="B80" s="5" t="inlineStr">
        <is>
          <t>4. Прочее, по цене за килограмм</t>
        </is>
      </c>
      <c r="C80" s="4" t="inlineStr">
        <is>
          <t>Ярус 2, рядом на полу</t>
        </is>
      </c>
      <c r="D80" s="4" t="inlineStr">
        <is>
          <t>клапан фланцевый</t>
        </is>
      </c>
      <c r="E80" s="4" t="inlineStr">
        <is>
          <t>Ду125</t>
        </is>
      </c>
      <c r="F80" s="5" t="inlineStr">
        <is>
          <t>Клапан фланцевый проходной Ду125 Ру10</t>
        </is>
      </c>
      <c r="G80" s="4" t="inlineStr"/>
      <c r="H80" s="16" t="inlineStr"/>
      <c r="I80" s="16" t="inlineStr">
        <is>
          <t>Комплект</t>
        </is>
      </c>
      <c r="J80" s="4" t="inlineStr"/>
      <c r="K80" s="4" t="n">
        <v>3</v>
      </c>
      <c r="L80" s="16" t="n">
        <v>3</v>
      </c>
      <c r="M80" s="16" t="n">
        <v>55</v>
      </c>
      <c r="N80" s="17">
        <f>L80*M80</f>
        <v/>
      </c>
      <c r="O80" s="18" t="n">
        <v>0.21</v>
      </c>
      <c r="P80" s="19">
        <f>IFERROR(IF('Расходы и доставка'!$B$15="по весу",N80/'Расходы и доставка'!$B$19,IF('Расходы и доставка'!$B$15="по объему",O80/'Расходы и доставка'!$B$20,IF('Расходы и доставка'!$B$15="поровну на штуку",L80/'Расходы и доставка'!$B$21,T80/'Расходы и доставка'!$B$22))),0)</f>
        <v/>
      </c>
      <c r="Q80" s="17">
        <f>P80*'Расходы и доставка'!$B$13</f>
        <v/>
      </c>
      <c r="R80" s="20">
        <f>IFERROR(Q80/L80,0)</f>
        <v/>
      </c>
      <c r="S80" s="21" t="n">
        <v>46000</v>
      </c>
      <c r="T80" s="17">
        <f>L80*S80</f>
        <v/>
      </c>
      <c r="U80" s="17">
        <f>S80+R80</f>
        <v/>
      </c>
      <c r="V80" s="22">
        <f>IFERROR(R80/S80,"")</f>
        <v/>
      </c>
      <c r="W80" s="16" t="inlineStr"/>
      <c r="X80" s="4" t="inlineStr">
        <is>
          <t>Склад 3</t>
        </is>
      </c>
      <c r="Y80" s="23" t="inlineStr"/>
    </row>
    <row r="81">
      <c r="A81" s="4" t="n">
        <v>77</v>
      </c>
      <c r="B81" s="5" t="inlineStr">
        <is>
          <t>4. Прочее, по цене за килограмм</t>
        </is>
      </c>
      <c r="C81" s="4" t="inlineStr">
        <is>
          <t>Ярус 3, ящики</t>
        </is>
      </c>
      <c r="D81" s="4" t="inlineStr">
        <is>
          <t>клинкет (задвижка)</t>
        </is>
      </c>
      <c r="E81" s="4" t="inlineStr">
        <is>
          <t>Ду100</t>
        </is>
      </c>
      <c r="F81" s="5" t="inlineStr">
        <is>
          <t>Задвижка клинкетная Ду100 без штока и блинов ( в разборе)</t>
        </is>
      </c>
      <c r="G81" s="4" t="inlineStr"/>
      <c r="H81" s="16" t="inlineStr">
        <is>
          <t>Новое</t>
        </is>
      </c>
      <c r="I81" s="16" t="inlineStr">
        <is>
          <t>Не комплект</t>
        </is>
      </c>
      <c r="J81" s="4" t="inlineStr"/>
      <c r="K81" s="4" t="n">
        <v>1</v>
      </c>
      <c r="L81" s="16" t="n">
        <v>1</v>
      </c>
      <c r="M81" s="16" t="n">
        <v>45</v>
      </c>
      <c r="N81" s="17">
        <f>L81*M81</f>
        <v/>
      </c>
      <c r="O81" s="18" t="n">
        <v>0.045</v>
      </c>
      <c r="P81" s="19">
        <f>IFERROR(IF('Расходы и доставка'!$B$15="по весу",N81/'Расходы и доставка'!$B$19,IF('Расходы и доставка'!$B$15="по объему",O81/'Расходы и доставка'!$B$20,IF('Расходы и доставка'!$B$15="поровну на штуку",L81/'Расходы и доставка'!$B$21,T81/'Расходы и доставка'!$B$22))),0)</f>
        <v/>
      </c>
      <c r="Q81" s="17">
        <f>P81*'Расходы и доставка'!$B$13</f>
        <v/>
      </c>
      <c r="R81" s="20">
        <f>IFERROR(Q81/L81,0)</f>
        <v/>
      </c>
      <c r="S81" s="21" t="n">
        <v>35000</v>
      </c>
      <c r="T81" s="17">
        <f>L81*S81</f>
        <v/>
      </c>
      <c r="U81" s="17">
        <f>S81+R81</f>
        <v/>
      </c>
      <c r="V81" s="22">
        <f>IFERROR(R81/S81,"")</f>
        <v/>
      </c>
      <c r="W81" s="16" t="inlineStr"/>
      <c r="X81" s="4" t="inlineStr">
        <is>
          <t>Склад 1А/1Б</t>
        </is>
      </c>
      <c r="Y81" s="23" t="inlineStr"/>
    </row>
    <row r="82">
      <c r="A82" s="4" t="n">
        <v>78</v>
      </c>
      <c r="B82" s="5" t="inlineStr">
        <is>
          <t>4. Прочее, по цене за килограмм</t>
        </is>
      </c>
      <c r="C82" s="4" t="inlineStr">
        <is>
          <t>Ярус 2, рядом на полу</t>
        </is>
      </c>
      <c r="D82" s="4" t="inlineStr">
        <is>
          <t>клапан фланцевый</t>
        </is>
      </c>
      <c r="E82" s="4" t="inlineStr">
        <is>
          <t>Ду125</t>
        </is>
      </c>
      <c r="F82" s="5" t="inlineStr">
        <is>
          <t>Клапан фланцевый проходной Ду125 ок.входа</t>
        </is>
      </c>
      <c r="G82" s="4" t="inlineStr">
        <is>
          <t>521-35.3455-02</t>
        </is>
      </c>
      <c r="H82" s="16" t="inlineStr"/>
      <c r="I82" s="16" t="inlineStr">
        <is>
          <t>Комплект</t>
        </is>
      </c>
      <c r="J82" s="4" t="inlineStr"/>
      <c r="K82" s="4" t="n">
        <v>2</v>
      </c>
      <c r="L82" s="16" t="n">
        <v>2</v>
      </c>
      <c r="M82" s="16" t="n">
        <v>55</v>
      </c>
      <c r="N82" s="17">
        <f>L82*M82</f>
        <v/>
      </c>
      <c r="O82" s="18" t="n">
        <v>0.14</v>
      </c>
      <c r="P82" s="19">
        <f>IFERROR(IF('Расходы и доставка'!$B$15="по весу",N82/'Расходы и доставка'!$B$19,IF('Расходы и доставка'!$B$15="по объему",O82/'Расходы и доставка'!$B$20,IF('Расходы и доставка'!$B$15="поровну на штуку",L82/'Расходы и доставка'!$B$21,T82/'Расходы и доставка'!$B$22))),0)</f>
        <v/>
      </c>
      <c r="Q82" s="17">
        <f>P82*'Расходы и доставка'!$B$13</f>
        <v/>
      </c>
      <c r="R82" s="20">
        <f>IFERROR(Q82/L82,0)</f>
        <v/>
      </c>
      <c r="S82" s="21" t="n">
        <v>37500</v>
      </c>
      <c r="T82" s="17">
        <f>L82*S82</f>
        <v/>
      </c>
      <c r="U82" s="17">
        <f>S82+R82</f>
        <v/>
      </c>
      <c r="V82" s="22">
        <f>IFERROR(R82/S82,"")</f>
        <v/>
      </c>
      <c r="W82" s="16" t="inlineStr"/>
      <c r="X82" s="4" t="inlineStr">
        <is>
          <t>Склад 2</t>
        </is>
      </c>
      <c r="Y82" s="23" t="inlineStr"/>
    </row>
    <row r="83">
      <c r="A83" s="4" t="n">
        <v>79</v>
      </c>
      <c r="B83" s="5" t="inlineStr">
        <is>
          <t>4. Прочее, по цене за килограмм</t>
        </is>
      </c>
      <c r="C83" s="4" t="inlineStr">
        <is>
          <t>Ярус 2, рядом на полу</t>
        </is>
      </c>
      <c r="D83" s="4" t="inlineStr">
        <is>
          <t>клапан фланцевый</t>
        </is>
      </c>
      <c r="E83" s="4" t="inlineStr">
        <is>
          <t>Ду125</t>
        </is>
      </c>
      <c r="F83" s="5" t="inlineStr">
        <is>
          <t>Клапан фланцевый проходной Ду 125 (без чертежа)</t>
        </is>
      </c>
      <c r="G83" s="4" t="inlineStr"/>
      <c r="H83" s="16" t="inlineStr"/>
      <c r="I83" s="16" t="inlineStr">
        <is>
          <t>Не комплект</t>
        </is>
      </c>
      <c r="J83" s="4" t="inlineStr"/>
      <c r="K83" s="4" t="n">
        <v>1</v>
      </c>
      <c r="L83" s="16" t="n">
        <v>1</v>
      </c>
      <c r="M83" s="16" t="n">
        <v>55</v>
      </c>
      <c r="N83" s="17">
        <f>L83*M83</f>
        <v/>
      </c>
      <c r="O83" s="18" t="n">
        <v>0.07000000000000001</v>
      </c>
      <c r="P83" s="19">
        <f>IFERROR(IF('Расходы и доставка'!$B$15="по весу",N83/'Расходы и доставка'!$B$19,IF('Расходы и доставка'!$B$15="по объему",O83/'Расходы и доставка'!$B$20,IF('Расходы и доставка'!$B$15="поровну на штуку",L83/'Расходы и доставка'!$B$21,T83/'Расходы и доставка'!$B$22))),0)</f>
        <v/>
      </c>
      <c r="Q83" s="17">
        <f>P83*'Расходы и доставка'!$B$13</f>
        <v/>
      </c>
      <c r="R83" s="20">
        <f>IFERROR(Q83/L83,0)</f>
        <v/>
      </c>
      <c r="S83" s="21" t="n">
        <v>30000</v>
      </c>
      <c r="T83" s="17">
        <f>L83*S83</f>
        <v/>
      </c>
      <c r="U83" s="17">
        <f>S83+R83</f>
        <v/>
      </c>
      <c r="V83" s="22">
        <f>IFERROR(R83/S83,"")</f>
        <v/>
      </c>
      <c r="W83" s="16" t="inlineStr"/>
      <c r="X83" s="4" t="inlineStr">
        <is>
          <t>Склад 1А/1Б</t>
        </is>
      </c>
      <c r="Y83" s="23" t="inlineStr"/>
    </row>
    <row r="84">
      <c r="A84" s="4" t="n">
        <v>80</v>
      </c>
      <c r="B84" s="5" t="inlineStr">
        <is>
          <t>4. Прочее, по цене за килограмм</t>
        </is>
      </c>
      <c r="C84" s="4" t="inlineStr">
        <is>
          <t>Ярус 3, ящики</t>
        </is>
      </c>
      <c r="D84" s="4" t="inlineStr">
        <is>
          <t>клапан фланцевый</t>
        </is>
      </c>
      <c r="E84" s="4" t="inlineStr">
        <is>
          <t>Ду50</t>
        </is>
      </c>
      <c r="F84" s="5" t="inlineStr">
        <is>
          <t>Клапан невозвратно-приемный фланцевый Ду 50 Ру1 (522-35.4043-01)</t>
        </is>
      </c>
      <c r="G84" s="4" t="inlineStr"/>
      <c r="H84" s="16" t="inlineStr"/>
      <c r="I84" s="16" t="inlineStr">
        <is>
          <t>Комплект</t>
        </is>
      </c>
      <c r="J84" s="4" t="inlineStr"/>
      <c r="K84" s="4" t="n">
        <v>6</v>
      </c>
      <c r="L84" s="16" t="n">
        <v>6</v>
      </c>
      <c r="M84" s="16" t="n">
        <v>14</v>
      </c>
      <c r="N84" s="17">
        <f>L84*M84</f>
        <v/>
      </c>
      <c r="O84" s="18" t="n">
        <v>0.07199999999999999</v>
      </c>
      <c r="P84" s="19">
        <f>IFERROR(IF('Расходы и доставка'!$B$15="по весу",N84/'Расходы и доставка'!$B$19,IF('Расходы и доставка'!$B$15="по объему",O84/'Расходы и доставка'!$B$20,IF('Расходы и доставка'!$B$15="поровну на штуку",L84/'Расходы и доставка'!$B$21,T84/'Расходы и доставка'!$B$22))),0)</f>
        <v/>
      </c>
      <c r="Q84" s="17">
        <f>P84*'Расходы и доставка'!$B$13</f>
        <v/>
      </c>
      <c r="R84" s="20">
        <f>IFERROR(Q84/L84,0)</f>
        <v/>
      </c>
      <c r="S84" s="21" t="n">
        <v>7500</v>
      </c>
      <c r="T84" s="17">
        <f>L84*S84</f>
        <v/>
      </c>
      <c r="U84" s="17">
        <f>S84+R84</f>
        <v/>
      </c>
      <c r="V84" s="22">
        <f>IFERROR(R84/S84,"")</f>
        <v/>
      </c>
      <c r="W84" s="16" t="inlineStr"/>
      <c r="X84" s="4" t="inlineStr">
        <is>
          <t>Склад 1А/1Б</t>
        </is>
      </c>
      <c r="Y84" s="23" t="inlineStr"/>
    </row>
    <row r="85">
      <c r="A85" s="4" t="n">
        <v>81</v>
      </c>
      <c r="B85" s="5" t="inlineStr">
        <is>
          <t>4. Прочее, по цене за килограмм</t>
        </is>
      </c>
      <c r="C85" s="4" t="inlineStr">
        <is>
          <t>Ярус 3, ящики</t>
        </is>
      </c>
      <c r="D85" s="4" t="inlineStr">
        <is>
          <t>клапан фланцевый</t>
        </is>
      </c>
      <c r="E85" s="4" t="inlineStr">
        <is>
          <t>Ду65</t>
        </is>
      </c>
      <c r="F85" s="5" t="inlineStr">
        <is>
          <t>Клапан невозвратно-приемный фланцевый Ду 65 Ру1 (522-03.023)</t>
        </is>
      </c>
      <c r="G85" s="4" t="inlineStr"/>
      <c r="H85" s="16" t="inlineStr"/>
      <c r="I85" s="16" t="inlineStr">
        <is>
          <t>Комплект</t>
        </is>
      </c>
      <c r="J85" s="4" t="inlineStr"/>
      <c r="K85" s="4" t="n">
        <v>2</v>
      </c>
      <c r="L85" s="16" t="n">
        <v>2</v>
      </c>
      <c r="M85" s="16" t="n">
        <v>20</v>
      </c>
      <c r="N85" s="17">
        <f>L85*M85</f>
        <v/>
      </c>
      <c r="O85" s="18" t="n">
        <v>0.04</v>
      </c>
      <c r="P85" s="19">
        <f>IFERROR(IF('Расходы и доставка'!$B$15="по весу",N85/'Расходы и доставка'!$B$19,IF('Расходы и доставка'!$B$15="по объему",O85/'Расходы и доставка'!$B$20,IF('Расходы и доставка'!$B$15="поровну на штуку",L85/'Расходы и доставка'!$B$21,T85/'Расходы и доставка'!$B$22))),0)</f>
        <v/>
      </c>
      <c r="Q85" s="17">
        <f>P85*'Расходы и доставка'!$B$13</f>
        <v/>
      </c>
      <c r="R85" s="20">
        <f>IFERROR(Q85/L85,0)</f>
        <v/>
      </c>
      <c r="S85" s="21" t="n">
        <v>9750</v>
      </c>
      <c r="T85" s="17">
        <f>L85*S85</f>
        <v/>
      </c>
      <c r="U85" s="17">
        <f>S85+R85</f>
        <v/>
      </c>
      <c r="V85" s="22">
        <f>IFERROR(R85/S85,"")</f>
        <v/>
      </c>
      <c r="W85" s="16" t="inlineStr"/>
      <c r="X85" s="4" t="inlineStr">
        <is>
          <t>Склад 1А/1Б</t>
        </is>
      </c>
      <c r="Y85" s="23" t="inlineStr"/>
    </row>
    <row r="86">
      <c r="A86" s="4" t="n">
        <v>82</v>
      </c>
      <c r="B86" s="5" t="inlineStr">
        <is>
          <t>4. Прочее, по цене за килограмм</t>
        </is>
      </c>
      <c r="C86" s="4" t="inlineStr">
        <is>
          <t>Ярус 3, ящики</t>
        </is>
      </c>
      <c r="D86" s="4" t="inlineStr">
        <is>
          <t>клапан фланцевый</t>
        </is>
      </c>
      <c r="E86" s="4" t="inlineStr">
        <is>
          <t>Ду65</t>
        </is>
      </c>
      <c r="F86" s="5" t="inlineStr">
        <is>
          <t>Клапан невозвратно-приемный фланцевый Ду 65 Ру1 (522-35.4044-01)</t>
        </is>
      </c>
      <c r="G86" s="4" t="inlineStr"/>
      <c r="H86" s="16" t="inlineStr"/>
      <c r="I86" s="16" t="inlineStr">
        <is>
          <t>Комплект</t>
        </is>
      </c>
      <c r="J86" s="4" t="inlineStr"/>
      <c r="K86" s="4" t="n">
        <v>1</v>
      </c>
      <c r="L86" s="16" t="n">
        <v>1</v>
      </c>
      <c r="M86" s="16" t="n">
        <v>20</v>
      </c>
      <c r="N86" s="17">
        <f>L86*M86</f>
        <v/>
      </c>
      <c r="O86" s="18" t="n">
        <v>0.02</v>
      </c>
      <c r="P86" s="19">
        <f>IFERROR(IF('Расходы и доставка'!$B$15="по весу",N86/'Расходы и доставка'!$B$19,IF('Расходы и доставка'!$B$15="по объему",O86/'Расходы и доставка'!$B$20,IF('Расходы и доставка'!$B$15="поровну на штуку",L86/'Расходы и доставка'!$B$21,T86/'Расходы и доставка'!$B$22))),0)</f>
        <v/>
      </c>
      <c r="Q86" s="17">
        <f>P86*'Расходы и доставка'!$B$13</f>
        <v/>
      </c>
      <c r="R86" s="20">
        <f>IFERROR(Q86/L86,0)</f>
        <v/>
      </c>
      <c r="S86" s="21" t="n">
        <v>9750</v>
      </c>
      <c r="T86" s="17">
        <f>L86*S86</f>
        <v/>
      </c>
      <c r="U86" s="17">
        <f>S86+R86</f>
        <v/>
      </c>
      <c r="V86" s="22">
        <f>IFERROR(R86/S86,"")</f>
        <v/>
      </c>
      <c r="W86" s="16" t="inlineStr"/>
      <c r="X86" s="4" t="inlineStr">
        <is>
          <t>Склад 1А/1Б</t>
        </is>
      </c>
      <c r="Y86" s="23" t="inlineStr"/>
    </row>
    <row r="87">
      <c r="A87" s="4" t="n">
        <v>83</v>
      </c>
      <c r="B87" s="5" t="inlineStr">
        <is>
          <t>4. Прочее, по цене за килограмм</t>
        </is>
      </c>
      <c r="C87" s="4" t="inlineStr">
        <is>
          <t>Ярус 3, ящики</t>
        </is>
      </c>
      <c r="D87" s="4" t="inlineStr">
        <is>
          <t>клапан без описания — уточнить</t>
        </is>
      </c>
      <c r="E87" s="4" t="inlineStr"/>
      <c r="F87" s="5" t="inlineStr">
        <is>
          <t>Клапан</t>
        </is>
      </c>
      <c r="G87" s="4" t="inlineStr">
        <is>
          <t>587-182.126</t>
        </is>
      </c>
      <c r="H87" s="16" t="inlineStr"/>
      <c r="I87" s="16" t="inlineStr">
        <is>
          <t>Комплект</t>
        </is>
      </c>
      <c r="J87" s="4" t="inlineStr"/>
      <c r="K87" s="4" t="n">
        <v>1</v>
      </c>
      <c r="L87" s="16" t="n">
        <v>1</v>
      </c>
      <c r="M87" s="16" t="n">
        <v>5</v>
      </c>
      <c r="N87" s="17">
        <f>L87*M87</f>
        <v/>
      </c>
      <c r="O87" s="18" t="n">
        <v>0.01</v>
      </c>
      <c r="P87" s="19">
        <f>IFERROR(IF('Расходы и доставка'!$B$15="по весу",N87/'Расходы и доставка'!$B$19,IF('Расходы и доставка'!$B$15="по объему",O87/'Расходы и доставка'!$B$20,IF('Расходы и доставка'!$B$15="поровну на штуку",L87/'Расходы и доставка'!$B$21,T87/'Расходы и доставка'!$B$22))),0)</f>
        <v/>
      </c>
      <c r="Q87" s="17">
        <f>P87*'Расходы и доставка'!$B$13</f>
        <v/>
      </c>
      <c r="R87" s="20">
        <f>IFERROR(Q87/L87,0)</f>
        <v/>
      </c>
      <c r="S87" s="21" t="n"/>
      <c r="T87" s="17">
        <f>L87*S87</f>
        <v/>
      </c>
      <c r="U87" s="17">
        <f>S87+R87</f>
        <v/>
      </c>
      <c r="V87" s="22">
        <f>IFERROR(R87/S87,"")</f>
        <v/>
      </c>
      <c r="W87" s="16" t="inlineStr"/>
      <c r="X87" s="4" t="inlineStr">
        <is>
          <t>Склад 2</t>
        </is>
      </c>
      <c r="Y87" s="23" t="inlineStr"/>
    </row>
    <row r="88">
      <c r="A88" s="4" t="n">
        <v>84</v>
      </c>
      <c r="B88" s="5" t="inlineStr">
        <is>
          <t>4. Прочее, по цене за килограмм</t>
        </is>
      </c>
      <c r="C88" s="4" t="inlineStr">
        <is>
          <t>Ярус 3, ящики</t>
        </is>
      </c>
      <c r="D88" s="4" t="inlineStr">
        <is>
          <t>клапан электромагнитный</t>
        </is>
      </c>
      <c r="E88" s="4" t="inlineStr"/>
      <c r="F88" s="5" t="inlineStr">
        <is>
          <t>Клапан фреоновый саленоидный</t>
        </is>
      </c>
      <c r="G88" s="4" t="inlineStr"/>
      <c r="H88" s="16" t="inlineStr">
        <is>
          <t>Новое</t>
        </is>
      </c>
      <c r="I88" s="16" t="inlineStr">
        <is>
          <t>Комплект</t>
        </is>
      </c>
      <c r="J88" s="4" t="inlineStr"/>
      <c r="K88" s="4" t="n">
        <v>2</v>
      </c>
      <c r="L88" s="16" t="n">
        <v>2</v>
      </c>
      <c r="M88" s="16" t="n">
        <v>5</v>
      </c>
      <c r="N88" s="17">
        <f>L88*M88</f>
        <v/>
      </c>
      <c r="O88" s="18" t="n">
        <v>0.02</v>
      </c>
      <c r="P88" s="19">
        <f>IFERROR(IF('Расходы и доставка'!$B$15="по весу",N88/'Расходы и доставка'!$B$19,IF('Расходы и доставка'!$B$15="по объему",O88/'Расходы и доставка'!$B$20,IF('Расходы и доставка'!$B$15="поровну на штуку",L88/'Расходы и доставка'!$B$21,T88/'Расходы и доставка'!$B$22))),0)</f>
        <v/>
      </c>
      <c r="Q88" s="17">
        <f>P88*'Расходы и доставка'!$B$13</f>
        <v/>
      </c>
      <c r="R88" s="20">
        <f>IFERROR(Q88/L88,0)</f>
        <v/>
      </c>
      <c r="S88" s="21" t="n"/>
      <c r="T88" s="17">
        <f>L88*S88</f>
        <v/>
      </c>
      <c r="U88" s="17">
        <f>S88+R88</f>
        <v/>
      </c>
      <c r="V88" s="22">
        <f>IFERROR(R88/S88,"")</f>
        <v/>
      </c>
      <c r="W88" s="16" t="inlineStr"/>
      <c r="X88" s="4" t="inlineStr">
        <is>
          <t>Склад 2</t>
        </is>
      </c>
      <c r="Y88" s="23" t="inlineStr"/>
    </row>
    <row r="89">
      <c r="A89" s="4" t="n">
        <v>85</v>
      </c>
      <c r="B89" s="5" t="inlineStr">
        <is>
          <t>4. Прочее, по цене за килограмм</t>
        </is>
      </c>
      <c r="C89" s="4" t="inlineStr">
        <is>
          <t>Ярус 3, ящики</t>
        </is>
      </c>
      <c r="D89" s="4" t="inlineStr">
        <is>
          <t>клапан паровой</t>
        </is>
      </c>
      <c r="E89" s="4" t="inlineStr">
        <is>
          <t>Ду65</t>
        </is>
      </c>
      <c r="F89" s="5" t="inlineStr">
        <is>
          <t>Клапан паровой Ду65Ру10</t>
        </is>
      </c>
      <c r="G89" s="4" t="inlineStr">
        <is>
          <t>581-03.034</t>
        </is>
      </c>
      <c r="H89" s="16" t="inlineStr"/>
      <c r="I89" s="16" t="inlineStr">
        <is>
          <t>Комплект</t>
        </is>
      </c>
      <c r="J89" s="4" t="inlineStr"/>
      <c r="K89" s="4" t="n">
        <v>1</v>
      </c>
      <c r="L89" s="16" t="n">
        <v>1</v>
      </c>
      <c r="M89" s="16" t="n">
        <v>5</v>
      </c>
      <c r="N89" s="17">
        <f>L89*M89</f>
        <v/>
      </c>
      <c r="O89" s="18" t="n">
        <v>0.02</v>
      </c>
      <c r="P89" s="19">
        <f>IFERROR(IF('Расходы и доставка'!$B$15="по весу",N89/'Расходы и доставка'!$B$19,IF('Расходы и доставка'!$B$15="по объему",O89/'Расходы и доставка'!$B$20,IF('Расходы и доставка'!$B$15="поровну на штуку",L89/'Расходы и доставка'!$B$21,T89/'Расходы и доставка'!$B$22))),0)</f>
        <v/>
      </c>
      <c r="Q89" s="17">
        <f>P89*'Расходы и доставка'!$B$13</f>
        <v/>
      </c>
      <c r="R89" s="20">
        <f>IFERROR(Q89/L89,0)</f>
        <v/>
      </c>
      <c r="S89" s="21" t="n"/>
      <c r="T89" s="17">
        <f>L89*S89</f>
        <v/>
      </c>
      <c r="U89" s="17">
        <f>S89+R89</f>
        <v/>
      </c>
      <c r="V89" s="22">
        <f>IFERROR(R89/S89,"")</f>
        <v/>
      </c>
      <c r="W89" s="16" t="inlineStr"/>
      <c r="X89" s="4" t="inlineStr">
        <is>
          <t>Склад 2</t>
        </is>
      </c>
      <c r="Y89" s="23" t="inlineStr"/>
    </row>
    <row r="90">
      <c r="A90" s="4" t="n">
        <v>86</v>
      </c>
      <c r="B90" s="5" t="inlineStr">
        <is>
          <t>4. Прочее, по цене за килограмм</t>
        </is>
      </c>
      <c r="C90" s="4" t="inlineStr">
        <is>
          <t>Ярус 3, ящики</t>
        </is>
      </c>
      <c r="D90" s="4" t="inlineStr">
        <is>
          <t>клапан пожарный</t>
        </is>
      </c>
      <c r="E90" s="4" t="inlineStr">
        <is>
          <t>Ду50</t>
        </is>
      </c>
      <c r="F90" s="5" t="inlineStr">
        <is>
          <t>Клапан фланц. концевой пожарный угловой Ду50 Ру25</t>
        </is>
      </c>
      <c r="G90" s="4" t="inlineStr">
        <is>
          <t>595-3М-48</t>
        </is>
      </c>
      <c r="H90" s="16" t="inlineStr"/>
      <c r="I90" s="16" t="inlineStr">
        <is>
          <t>Комплект</t>
        </is>
      </c>
      <c r="J90" s="4" t="inlineStr"/>
      <c r="K90" s="4" t="n">
        <v>1</v>
      </c>
      <c r="L90" s="16" t="n">
        <v>1</v>
      </c>
      <c r="M90" s="16" t="n">
        <v>14</v>
      </c>
      <c r="N90" s="17">
        <f>L90*M90</f>
        <v/>
      </c>
      <c r="O90" s="18" t="n">
        <v>0.012</v>
      </c>
      <c r="P90" s="19">
        <f>IFERROR(IF('Расходы и доставка'!$B$15="по весу",N90/'Расходы и доставка'!$B$19,IF('Расходы и доставка'!$B$15="по объему",O90/'Расходы и доставка'!$B$20,IF('Расходы и доставка'!$B$15="поровну на штуку",L90/'Расходы и доставка'!$B$21,T90/'Расходы и доставка'!$B$22))),0)</f>
        <v/>
      </c>
      <c r="Q90" s="17">
        <f>P90*'Расходы и доставка'!$B$13</f>
        <v/>
      </c>
      <c r="R90" s="20">
        <f>IFERROR(Q90/L90,0)</f>
        <v/>
      </c>
      <c r="S90" s="21" t="n"/>
      <c r="T90" s="17">
        <f>L90*S90</f>
        <v/>
      </c>
      <c r="U90" s="17">
        <f>S90+R90</f>
        <v/>
      </c>
      <c r="V90" s="22">
        <f>IFERROR(R90/S90,"")</f>
        <v/>
      </c>
      <c r="W90" s="16" t="inlineStr"/>
      <c r="X90" s="4" t="inlineStr">
        <is>
          <t>Склад 2</t>
        </is>
      </c>
      <c r="Y90" s="23" t="inlineStr"/>
    </row>
    <row r="91">
      <c r="A91" s="4" t="n">
        <v>87</v>
      </c>
      <c r="B91" s="5" t="inlineStr">
        <is>
          <t>4. Прочее, по цене за килограмм</t>
        </is>
      </c>
      <c r="C91" s="4" t="inlineStr">
        <is>
          <t>Ярус 3, ящики</t>
        </is>
      </c>
      <c r="D91" s="4" t="inlineStr">
        <is>
          <t>клапан пожарный</t>
        </is>
      </c>
      <c r="E91" s="4" t="inlineStr">
        <is>
          <t>Ду50</t>
        </is>
      </c>
      <c r="F91" s="5" t="inlineStr">
        <is>
          <t>Клапан фланц. концевой пожарный угловой Ду50 Ру25</t>
        </is>
      </c>
      <c r="G91" s="4" t="inlineStr">
        <is>
          <t>595-35-021</t>
        </is>
      </c>
      <c r="H91" s="16" t="inlineStr"/>
      <c r="I91" s="16" t="inlineStr">
        <is>
          <t>Комплект</t>
        </is>
      </c>
      <c r="J91" s="4" t="inlineStr"/>
      <c r="K91" s="4" t="n">
        <v>1</v>
      </c>
      <c r="L91" s="16" t="n">
        <v>1</v>
      </c>
      <c r="M91" s="16" t="n">
        <v>14</v>
      </c>
      <c r="N91" s="17">
        <f>L91*M91</f>
        <v/>
      </c>
      <c r="O91" s="18" t="n">
        <v>0.012</v>
      </c>
      <c r="P91" s="19">
        <f>IFERROR(IF('Расходы и доставка'!$B$15="по весу",N91/'Расходы и доставка'!$B$19,IF('Расходы и доставка'!$B$15="по объему",O91/'Расходы и доставка'!$B$20,IF('Расходы и доставка'!$B$15="поровну на штуку",L91/'Расходы и доставка'!$B$21,T91/'Расходы и доставка'!$B$22))),0)</f>
        <v/>
      </c>
      <c r="Q91" s="17">
        <f>P91*'Расходы и доставка'!$B$13</f>
        <v/>
      </c>
      <c r="R91" s="20">
        <f>IFERROR(Q91/L91,0)</f>
        <v/>
      </c>
      <c r="S91" s="21" t="n"/>
      <c r="T91" s="17">
        <f>L91*S91</f>
        <v/>
      </c>
      <c r="U91" s="17">
        <f>S91+R91</f>
        <v/>
      </c>
      <c r="V91" s="22">
        <f>IFERROR(R91/S91,"")</f>
        <v/>
      </c>
      <c r="W91" s="16" t="inlineStr"/>
      <c r="X91" s="4" t="inlineStr">
        <is>
          <t>Склад 2</t>
        </is>
      </c>
      <c r="Y91" s="23" t="inlineStr"/>
    </row>
    <row r="92">
      <c r="A92" s="4" t="n">
        <v>88</v>
      </c>
      <c r="B92" s="5" t="inlineStr">
        <is>
          <t>4. Прочее, по цене за килограмм</t>
        </is>
      </c>
      <c r="C92" s="4" t="inlineStr">
        <is>
          <t>Ярус 3, ящики</t>
        </is>
      </c>
      <c r="D92" s="4" t="inlineStr">
        <is>
          <t>клапан без описания — уточнить</t>
        </is>
      </c>
      <c r="E92" s="4" t="inlineStr"/>
      <c r="F92" s="5" t="inlineStr">
        <is>
          <t>Кланан Рр18-2 45/25</t>
        </is>
      </c>
      <c r="G92" s="4" t="inlineStr">
        <is>
          <t>2619802505</t>
        </is>
      </c>
      <c r="H92" s="16" t="inlineStr"/>
      <c r="I92" s="16" t="inlineStr">
        <is>
          <t>Комплект</t>
        </is>
      </c>
      <c r="J92" s="4" t="inlineStr"/>
      <c r="K92" s="4" t="n">
        <v>1</v>
      </c>
      <c r="L92" s="16" t="n">
        <v>1</v>
      </c>
      <c r="M92" s="16" t="n">
        <v>5</v>
      </c>
      <c r="N92" s="17">
        <f>L92*M92</f>
        <v/>
      </c>
      <c r="O92" s="18" t="n">
        <v>0.01</v>
      </c>
      <c r="P92" s="19">
        <f>IFERROR(IF('Расходы и доставка'!$B$15="по весу",N92/'Расходы и доставка'!$B$19,IF('Расходы и доставка'!$B$15="по объему",O92/'Расходы и доставка'!$B$20,IF('Расходы и доставка'!$B$15="поровну на штуку",L92/'Расходы и доставка'!$B$21,T92/'Расходы и доставка'!$B$22))),0)</f>
        <v/>
      </c>
      <c r="Q92" s="17">
        <f>P92*'Расходы и доставка'!$B$13</f>
        <v/>
      </c>
      <c r="R92" s="20">
        <f>IFERROR(Q92/L92,0)</f>
        <v/>
      </c>
      <c r="S92" s="21" t="n"/>
      <c r="T92" s="17">
        <f>L92*S92</f>
        <v/>
      </c>
      <c r="U92" s="17">
        <f>S92+R92</f>
        <v/>
      </c>
      <c r="V92" s="22">
        <f>IFERROR(R92/S92,"")</f>
        <v/>
      </c>
      <c r="W92" s="16" t="inlineStr"/>
      <c r="X92" s="4" t="inlineStr">
        <is>
          <t>Склад 2</t>
        </is>
      </c>
      <c r="Y92" s="23" t="inlineStr"/>
    </row>
    <row r="93">
      <c r="A93" s="4" t="n">
        <v>89</v>
      </c>
      <c r="B93" s="5" t="inlineStr">
        <is>
          <t>4. Прочее, по цене за килограмм</t>
        </is>
      </c>
      <c r="C93" s="4" t="inlineStr">
        <is>
          <t>Ярус 3, ящики</t>
        </is>
      </c>
      <c r="D93" s="4" t="inlineStr">
        <is>
          <t>клапан электромагнитный</t>
        </is>
      </c>
      <c r="E93" s="4" t="inlineStr"/>
      <c r="F93" s="5" t="inlineStr">
        <is>
          <t>Клапан электромагнитный б/у</t>
        </is>
      </c>
      <c r="G93" s="4" t="inlineStr"/>
      <c r="H93" s="16" t="inlineStr">
        <is>
          <t>Б/у</t>
        </is>
      </c>
      <c r="I93" s="16" t="inlineStr">
        <is>
          <t>Комплект</t>
        </is>
      </c>
      <c r="J93" s="4" t="inlineStr"/>
      <c r="K93" s="4" t="n">
        <v>4</v>
      </c>
      <c r="L93" s="16" t="n">
        <v>4</v>
      </c>
      <c r="M93" s="16" t="n">
        <v>5</v>
      </c>
      <c r="N93" s="17">
        <f>L93*M93</f>
        <v/>
      </c>
      <c r="O93" s="18" t="n">
        <v>0.04</v>
      </c>
      <c r="P93" s="19">
        <f>IFERROR(IF('Расходы и доставка'!$B$15="по весу",N93/'Расходы и доставка'!$B$19,IF('Расходы и доставка'!$B$15="по объему",O93/'Расходы и доставка'!$B$20,IF('Расходы и доставка'!$B$15="поровну на штуку",L93/'Расходы и доставка'!$B$21,T93/'Расходы и доставка'!$B$22))),0)</f>
        <v/>
      </c>
      <c r="Q93" s="17">
        <f>P93*'Расходы и доставка'!$B$13</f>
        <v/>
      </c>
      <c r="R93" s="20">
        <f>IFERROR(Q93/L93,0)</f>
        <v/>
      </c>
      <c r="S93" s="21" t="n"/>
      <c r="T93" s="17">
        <f>L93*S93</f>
        <v/>
      </c>
      <c r="U93" s="17">
        <f>S93+R93</f>
        <v/>
      </c>
      <c r="V93" s="22">
        <f>IFERROR(R93/S93,"")</f>
        <v/>
      </c>
      <c r="W93" s="16" t="inlineStr"/>
      <c r="X93" s="4" t="inlineStr">
        <is>
          <t>Склад 3</t>
        </is>
      </c>
      <c r="Y93" s="23" t="inlineStr"/>
    </row>
    <row r="94">
      <c r="A94" s="4" t="n">
        <v>90</v>
      </c>
      <c r="B94" s="5" t="inlineStr">
        <is>
          <t>5. Мелочь — ей добиваем контейнер до 25 тонн</t>
        </is>
      </c>
      <c r="C94" s="4" t="inlineStr">
        <is>
          <t>Ярус 3, ящики</t>
        </is>
      </c>
      <c r="D94" s="4" t="inlineStr">
        <is>
          <t>клапан штуцерный</t>
        </is>
      </c>
      <c r="E94" s="4" t="inlineStr">
        <is>
          <t>Ду10</t>
        </is>
      </c>
      <c r="F94" s="5" t="inlineStr">
        <is>
          <t>Клапан штуцерный угловой Ду10 Ру100</t>
        </is>
      </c>
      <c r="G94" s="4" t="inlineStr">
        <is>
          <t>521-01.465-01</t>
        </is>
      </c>
      <c r="H94" s="16" t="inlineStr"/>
      <c r="I94" s="16" t="inlineStr">
        <is>
          <t>Комплект</t>
        </is>
      </c>
      <c r="J94" s="4" t="inlineStr"/>
      <c r="K94" s="4" t="n">
        <v>1</v>
      </c>
      <c r="L94" s="16" t="n">
        <v>1</v>
      </c>
      <c r="M94" s="16" t="n">
        <v>0.6</v>
      </c>
      <c r="N94" s="17">
        <f>L94*M94</f>
        <v/>
      </c>
      <c r="O94" s="18" t="n">
        <v>0.001</v>
      </c>
      <c r="P94" s="19">
        <f>IFERROR(IF('Расходы и доставка'!$B$15="по весу",N94/'Расходы и доставка'!$B$19,IF('Расходы и доставка'!$B$15="по объему",O94/'Расходы и доставка'!$B$20,IF('Расходы и доставка'!$B$15="поровну на штуку",L94/'Расходы и доставка'!$B$21,T94/'Расходы и доставка'!$B$22))),0)</f>
        <v/>
      </c>
      <c r="Q94" s="17">
        <f>P94*'Расходы и доставка'!$B$13</f>
        <v/>
      </c>
      <c r="R94" s="20">
        <f>IFERROR(Q94/L94,0)</f>
        <v/>
      </c>
      <c r="S94" s="21" t="n">
        <v>20200</v>
      </c>
      <c r="T94" s="17">
        <f>L94*S94</f>
        <v/>
      </c>
      <c r="U94" s="17">
        <f>S94+R94</f>
        <v/>
      </c>
      <c r="V94" s="22">
        <f>IFERROR(R94/S94,"")</f>
        <v/>
      </c>
      <c r="W94" s="16" t="inlineStr"/>
      <c r="X94" s="4" t="inlineStr">
        <is>
          <t>Склад 2</t>
        </is>
      </c>
      <c r="Y94" s="23" t="inlineStr"/>
    </row>
    <row r="95">
      <c r="A95" s="4" t="n">
        <v>91</v>
      </c>
      <c r="B95" s="5" t="inlineStr">
        <is>
          <t>5. Мелочь — ей добиваем контейнер до 25 тонн</t>
        </is>
      </c>
      <c r="C95" s="4" t="inlineStr">
        <is>
          <t>Ярус 3, ящики</t>
        </is>
      </c>
      <c r="D95" s="4" t="inlineStr">
        <is>
          <t>клапан предохранительный</t>
        </is>
      </c>
      <c r="E95" s="4" t="inlineStr">
        <is>
          <t>Ду6</t>
        </is>
      </c>
      <c r="F95" s="5" t="inlineStr">
        <is>
          <t>Клапан предохранительный штуцерный угловой Ду6,5-9</t>
        </is>
      </c>
      <c r="G95" s="4" t="inlineStr">
        <is>
          <t>524-03.004</t>
        </is>
      </c>
      <c r="H95" s="16" t="inlineStr"/>
      <c r="I95" s="16" t="inlineStr">
        <is>
          <t>Комплект</t>
        </is>
      </c>
      <c r="J95" s="4" t="inlineStr"/>
      <c r="K95" s="4" t="n">
        <v>1</v>
      </c>
      <c r="L95" s="16" t="n">
        <v>1</v>
      </c>
      <c r="M95" s="16" t="n">
        <v>0.4</v>
      </c>
      <c r="N95" s="17">
        <f>L95*M95</f>
        <v/>
      </c>
      <c r="O95" s="18" t="n">
        <v>0.001</v>
      </c>
      <c r="P95" s="19">
        <f>IFERROR(IF('Расходы и доставка'!$B$15="по весу",N95/'Расходы и доставка'!$B$19,IF('Расходы и доставка'!$B$15="по объему",O95/'Расходы и доставка'!$B$20,IF('Расходы и доставка'!$B$15="поровну на штуку",L95/'Расходы и доставка'!$B$21,T95/'Расходы и доставка'!$B$22))),0)</f>
        <v/>
      </c>
      <c r="Q95" s="17">
        <f>P95*'Расходы и доставка'!$B$13</f>
        <v/>
      </c>
      <c r="R95" s="20">
        <f>IFERROR(Q95/L95,0)</f>
        <v/>
      </c>
      <c r="S95" s="21" t="n">
        <v>9000</v>
      </c>
      <c r="T95" s="17">
        <f>L95*S95</f>
        <v/>
      </c>
      <c r="U95" s="17">
        <f>S95+R95</f>
        <v/>
      </c>
      <c r="V95" s="22">
        <f>IFERROR(R95/S95,"")</f>
        <v/>
      </c>
      <c r="W95" s="16" t="inlineStr"/>
      <c r="X95" s="4" t="inlineStr">
        <is>
          <t>Склад 2</t>
        </is>
      </c>
      <c r="Y95" s="23" t="inlineStr"/>
    </row>
    <row r="96">
      <c r="A96" s="4" t="n">
        <v>92</v>
      </c>
      <c r="B96" s="5" t="inlineStr">
        <is>
          <t>5. Мелочь — ей добиваем контейнер до 25 тонн</t>
        </is>
      </c>
      <c r="C96" s="4" t="inlineStr">
        <is>
          <t>Ярус 3, ящики</t>
        </is>
      </c>
      <c r="D96" s="4" t="inlineStr">
        <is>
          <t>клапан штуцерный</t>
        </is>
      </c>
      <c r="E96" s="4" t="inlineStr">
        <is>
          <t>Ду3</t>
        </is>
      </c>
      <c r="F96" s="5" t="inlineStr">
        <is>
          <t>Клапан для манометра штущерный Ду3Ру400 новый</t>
        </is>
      </c>
      <c r="G96" s="4" t="inlineStr">
        <is>
          <t>521-03.406</t>
        </is>
      </c>
      <c r="H96" s="16" t="inlineStr">
        <is>
          <t>Новое</t>
        </is>
      </c>
      <c r="I96" s="16" t="inlineStr">
        <is>
          <t>Комплект</t>
        </is>
      </c>
      <c r="J96" s="4" t="inlineStr"/>
      <c r="K96" s="4" t="n">
        <v>2</v>
      </c>
      <c r="L96" s="16" t="n">
        <v>2</v>
      </c>
      <c r="M96" s="16" t="n">
        <v>0.3</v>
      </c>
      <c r="N96" s="17">
        <f>L96*M96</f>
        <v/>
      </c>
      <c r="O96" s="18" t="n">
        <v>0.001</v>
      </c>
      <c r="P96" s="19">
        <f>IFERROR(IF('Расходы и доставка'!$B$15="по весу",N96/'Расходы и доставка'!$B$19,IF('Расходы и доставка'!$B$15="по объему",O96/'Расходы и доставка'!$B$20,IF('Расходы и доставка'!$B$15="поровну на штуку",L96/'Расходы и доставка'!$B$21,T96/'Расходы и доставка'!$B$22))),0)</f>
        <v/>
      </c>
      <c r="Q96" s="17">
        <f>P96*'Расходы и доставка'!$B$13</f>
        <v/>
      </c>
      <c r="R96" s="20">
        <f>IFERROR(Q96/L96,0)</f>
        <v/>
      </c>
      <c r="S96" s="21" t="n">
        <v>6000</v>
      </c>
      <c r="T96" s="17">
        <f>L96*S96</f>
        <v/>
      </c>
      <c r="U96" s="17">
        <f>S96+R96</f>
        <v/>
      </c>
      <c r="V96" s="22">
        <f>IFERROR(R96/S96,"")</f>
        <v/>
      </c>
      <c r="W96" s="16" t="inlineStr"/>
      <c r="X96" s="4" t="inlineStr">
        <is>
          <t>Склад 2</t>
        </is>
      </c>
      <c r="Y96" s="23" t="inlineStr"/>
    </row>
    <row r="97">
      <c r="A97" s="4" t="n">
        <v>93</v>
      </c>
      <c r="B97" s="5" t="inlineStr">
        <is>
          <t>5. Мелочь — ей добиваем контейнер до 25 тонн</t>
        </is>
      </c>
      <c r="C97" s="4" t="inlineStr">
        <is>
          <t>Ярус 3, ящики</t>
        </is>
      </c>
      <c r="D97" s="4" t="inlineStr">
        <is>
          <t>клапан штуцерный</t>
        </is>
      </c>
      <c r="E97" s="4" t="inlineStr">
        <is>
          <t>Ду6</t>
        </is>
      </c>
      <c r="F97" s="5" t="inlineStr">
        <is>
          <t>Клапан для манометра штущерный сальниковый Ду6Ру100 новый</t>
        </is>
      </c>
      <c r="G97" s="4" t="inlineStr">
        <is>
          <t>521-02.013</t>
        </is>
      </c>
      <c r="H97" s="16" t="inlineStr">
        <is>
          <t>Новое</t>
        </is>
      </c>
      <c r="I97" s="16" t="inlineStr">
        <is>
          <t>Комплект</t>
        </is>
      </c>
      <c r="J97" s="4" t="inlineStr"/>
      <c r="K97" s="4" t="n">
        <v>95</v>
      </c>
      <c r="L97" s="16" t="n">
        <v>95</v>
      </c>
      <c r="M97" s="16" t="n">
        <v>0.4</v>
      </c>
      <c r="N97" s="17">
        <f>L97*M97</f>
        <v/>
      </c>
      <c r="O97" s="18" t="n">
        <v>0.048</v>
      </c>
      <c r="P97" s="19">
        <f>IFERROR(IF('Расходы и доставка'!$B$15="по весу",N97/'Расходы и доставка'!$B$19,IF('Расходы и доставка'!$B$15="по объему",O97/'Расходы и доставка'!$B$20,IF('Расходы и доставка'!$B$15="поровну на штуку",L97/'Расходы и доставка'!$B$21,T97/'Расходы и доставка'!$B$22))),0)</f>
        <v/>
      </c>
      <c r="Q97" s="17">
        <f>P97*'Расходы и доставка'!$B$13</f>
        <v/>
      </c>
      <c r="R97" s="20">
        <f>IFERROR(Q97/L97,0)</f>
        <v/>
      </c>
      <c r="S97" s="21" t="n">
        <v>4500</v>
      </c>
      <c r="T97" s="17">
        <f>L97*S97</f>
        <v/>
      </c>
      <c r="U97" s="17">
        <f>S97+R97</f>
        <v/>
      </c>
      <c r="V97" s="22">
        <f>IFERROR(R97/S97,"")</f>
        <v/>
      </c>
      <c r="W97" s="16" t="inlineStr"/>
      <c r="X97" s="4" t="inlineStr">
        <is>
          <t>Склад 2</t>
        </is>
      </c>
      <c r="Y97" s="23" t="inlineStr"/>
    </row>
    <row r="98">
      <c r="A98" s="4" t="n">
        <v>94</v>
      </c>
      <c r="B98" s="5" t="inlineStr">
        <is>
          <t>5. Мелочь — ей добиваем контейнер до 25 тонн</t>
        </is>
      </c>
      <c r="C98" s="4" t="inlineStr">
        <is>
          <t>Ярус 3, ящики</t>
        </is>
      </c>
      <c r="D98" s="4" t="inlineStr">
        <is>
          <t>клапан штуцерный</t>
        </is>
      </c>
      <c r="E98" s="4" t="inlineStr">
        <is>
          <t>Ду6</t>
        </is>
      </c>
      <c r="F98" s="5" t="inlineStr">
        <is>
          <t>Клапан для манометра штущерный сальниковый Ду6Ру100 б/у</t>
        </is>
      </c>
      <c r="G98" s="4" t="inlineStr">
        <is>
          <t>521-02.013</t>
        </is>
      </c>
      <c r="H98" s="16" t="inlineStr">
        <is>
          <t>Б/у</t>
        </is>
      </c>
      <c r="I98" s="16" t="inlineStr">
        <is>
          <t>Комплект</t>
        </is>
      </c>
      <c r="J98" s="4" t="inlineStr"/>
      <c r="K98" s="4" t="n">
        <v>1</v>
      </c>
      <c r="L98" s="16" t="n">
        <v>1</v>
      </c>
      <c r="M98" s="16" t="n">
        <v>0.4</v>
      </c>
      <c r="N98" s="17">
        <f>L98*M98</f>
        <v/>
      </c>
      <c r="O98" s="18" t="n">
        <v>0.001</v>
      </c>
      <c r="P98" s="19">
        <f>IFERROR(IF('Расходы и доставка'!$B$15="по весу",N98/'Расходы и доставка'!$B$19,IF('Расходы и доставка'!$B$15="по объему",O98/'Расходы и доставка'!$B$20,IF('Расходы и доставка'!$B$15="поровну на штуку",L98/'Расходы и доставка'!$B$21,T98/'Расходы и доставка'!$B$22))),0)</f>
        <v/>
      </c>
      <c r="Q98" s="17">
        <f>P98*'Расходы и доставка'!$B$13</f>
        <v/>
      </c>
      <c r="R98" s="20">
        <f>IFERROR(Q98/L98,0)</f>
        <v/>
      </c>
      <c r="S98" s="21" t="n">
        <v>4500</v>
      </c>
      <c r="T98" s="17">
        <f>L98*S98</f>
        <v/>
      </c>
      <c r="U98" s="17">
        <f>S98+R98</f>
        <v/>
      </c>
      <c r="V98" s="22">
        <f>IFERROR(R98/S98,"")</f>
        <v/>
      </c>
      <c r="W98" s="16" t="inlineStr"/>
      <c r="X98" s="4" t="inlineStr">
        <is>
          <t>Склад 2</t>
        </is>
      </c>
      <c r="Y98" s="23" t="inlineStr"/>
    </row>
    <row r="99">
      <c r="A99" s="4" t="n">
        <v>95</v>
      </c>
      <c r="B99" s="5" t="inlineStr">
        <is>
          <t>5. Мелочь — ей добиваем контейнер до 25 тонн</t>
        </is>
      </c>
      <c r="C99" s="4" t="inlineStr">
        <is>
          <t>Ярус 3, ящики</t>
        </is>
      </c>
      <c r="D99" s="4" t="inlineStr">
        <is>
          <t>клапан штуцерный</t>
        </is>
      </c>
      <c r="E99" s="4" t="inlineStr">
        <is>
          <t>Ду6</t>
        </is>
      </c>
      <c r="F99" s="5" t="inlineStr">
        <is>
          <t>Клапан для манометра штущерный сальниковый Ду6Ру100 б/у</t>
        </is>
      </c>
      <c r="G99" s="4" t="inlineStr">
        <is>
          <t>521-02.014</t>
        </is>
      </c>
      <c r="H99" s="16" t="inlineStr">
        <is>
          <t>Б/у</t>
        </is>
      </c>
      <c r="I99" s="16" t="inlineStr">
        <is>
          <t>Комплект</t>
        </is>
      </c>
      <c r="J99" s="4" t="inlineStr"/>
      <c r="K99" s="4" t="n">
        <v>1</v>
      </c>
      <c r="L99" s="16" t="n">
        <v>1</v>
      </c>
      <c r="M99" s="16" t="n">
        <v>0.4</v>
      </c>
      <c r="N99" s="17">
        <f>L99*M99</f>
        <v/>
      </c>
      <c r="O99" s="18" t="n">
        <v>0.001</v>
      </c>
      <c r="P99" s="19">
        <f>IFERROR(IF('Расходы и доставка'!$B$15="по весу",N99/'Расходы и доставка'!$B$19,IF('Расходы и доставка'!$B$15="по объему",O99/'Расходы и доставка'!$B$20,IF('Расходы и доставка'!$B$15="поровну на штуку",L99/'Расходы и доставка'!$B$21,T99/'Расходы и доставка'!$B$22))),0)</f>
        <v/>
      </c>
      <c r="Q99" s="17">
        <f>P99*'Расходы и доставка'!$B$13</f>
        <v/>
      </c>
      <c r="R99" s="20">
        <f>IFERROR(Q99/L99,0)</f>
        <v/>
      </c>
      <c r="S99" s="21" t="n">
        <v>4500</v>
      </c>
      <c r="T99" s="17">
        <f>L99*S99</f>
        <v/>
      </c>
      <c r="U99" s="17">
        <f>S99+R99</f>
        <v/>
      </c>
      <c r="V99" s="22">
        <f>IFERROR(R99/S99,"")</f>
        <v/>
      </c>
      <c r="W99" s="16" t="inlineStr"/>
      <c r="X99" s="4" t="inlineStr">
        <is>
          <t>Склад 2</t>
        </is>
      </c>
      <c r="Y99" s="23" t="inlineStr"/>
    </row>
    <row r="100">
      <c r="A100" s="4" t="n">
        <v>96</v>
      </c>
      <c r="B100" s="5" t="inlineStr">
        <is>
          <t>5. Мелочь — ей добиваем контейнер до 25 тонн</t>
        </is>
      </c>
      <c r="C100" s="4" t="inlineStr">
        <is>
          <t>Ярус 3, ящики</t>
        </is>
      </c>
      <c r="D100" s="4" t="inlineStr">
        <is>
          <t>клапан предохранительный</t>
        </is>
      </c>
      <c r="E100" s="4" t="inlineStr">
        <is>
          <t>Ду6</t>
        </is>
      </c>
      <c r="F100" s="5" t="inlineStr">
        <is>
          <t>Клапан предохранительный штуцерный сигнальный Ду6 Ру100-230</t>
        </is>
      </c>
      <c r="G100" s="4" t="inlineStr">
        <is>
          <t>524-35.2423-01</t>
        </is>
      </c>
      <c r="H100" s="16" t="inlineStr"/>
      <c r="I100" s="16" t="inlineStr">
        <is>
          <t>Комплект</t>
        </is>
      </c>
      <c r="J100" s="4" t="inlineStr"/>
      <c r="K100" s="4" t="n">
        <v>1</v>
      </c>
      <c r="L100" s="16" t="n">
        <v>1</v>
      </c>
      <c r="M100" s="16" t="n">
        <v>0.4</v>
      </c>
      <c r="N100" s="17">
        <f>L100*M100</f>
        <v/>
      </c>
      <c r="O100" s="18" t="n">
        <v>0.001</v>
      </c>
      <c r="P100" s="19">
        <f>IFERROR(IF('Расходы и доставка'!$B$15="по весу",N100/'Расходы и доставка'!$B$19,IF('Расходы и доставка'!$B$15="по объему",O100/'Расходы и доставка'!$B$20,IF('Расходы и доставка'!$B$15="поровну на штуку",L100/'Расходы и доставка'!$B$21,T100/'Расходы и доставка'!$B$22))),0)</f>
        <v/>
      </c>
      <c r="Q100" s="17">
        <f>P100*'Расходы и доставка'!$B$13</f>
        <v/>
      </c>
      <c r="R100" s="20">
        <f>IFERROR(Q100/L100,0)</f>
        <v/>
      </c>
      <c r="S100" s="21" t="n">
        <v>4500</v>
      </c>
      <c r="T100" s="17">
        <f>L100*S100</f>
        <v/>
      </c>
      <c r="U100" s="17">
        <f>S100+R100</f>
        <v/>
      </c>
      <c r="V100" s="22">
        <f>IFERROR(R100/S100,"")</f>
        <v/>
      </c>
      <c r="W100" s="16" t="inlineStr"/>
      <c r="X100" s="4" t="inlineStr">
        <is>
          <t>Склад 2</t>
        </is>
      </c>
      <c r="Y100" s="23" t="inlineStr"/>
    </row>
    <row r="101">
      <c r="A101" s="4" t="n">
        <v>97</v>
      </c>
      <c r="B101" s="5" t="inlineStr">
        <is>
          <t>5. Мелочь — ей добиваем контейнер до 25 тонн</t>
        </is>
      </c>
      <c r="C101" s="4" t="inlineStr">
        <is>
          <t>Ярус 3, ящики</t>
        </is>
      </c>
      <c r="D101" s="4" t="inlineStr">
        <is>
          <t>клапан предохранительный</t>
        </is>
      </c>
      <c r="E101" s="4" t="inlineStr">
        <is>
          <t>Ду6</t>
        </is>
      </c>
      <c r="F101" s="5" t="inlineStr">
        <is>
          <t>Клапан предохранительный штуцерный сигнальный Ду6Ру100-250</t>
        </is>
      </c>
      <c r="G101" s="4" t="inlineStr">
        <is>
          <t>524-03.188</t>
        </is>
      </c>
      <c r="H101" s="16" t="inlineStr"/>
      <c r="I101" s="16" t="inlineStr">
        <is>
          <t>Комплект</t>
        </is>
      </c>
      <c r="J101" s="4" t="inlineStr"/>
      <c r="K101" s="4" t="n">
        <v>2</v>
      </c>
      <c r="L101" s="16" t="n">
        <v>2</v>
      </c>
      <c r="M101" s="16" t="n">
        <v>0.4</v>
      </c>
      <c r="N101" s="17">
        <f>L101*M101</f>
        <v/>
      </c>
      <c r="O101" s="18" t="n">
        <v>0.001</v>
      </c>
      <c r="P101" s="19">
        <f>IFERROR(IF('Расходы и доставка'!$B$15="по весу",N101/'Расходы и доставка'!$B$19,IF('Расходы и доставка'!$B$15="по объему",O101/'Расходы и доставка'!$B$20,IF('Расходы и доставка'!$B$15="поровну на штуку",L101/'Расходы и доставка'!$B$21,T101/'Расходы и доставка'!$B$22))),0)</f>
        <v/>
      </c>
      <c r="Q101" s="17">
        <f>P101*'Расходы и доставка'!$B$13</f>
        <v/>
      </c>
      <c r="R101" s="20">
        <f>IFERROR(Q101/L101,0)</f>
        <v/>
      </c>
      <c r="S101" s="21" t="n">
        <v>4500</v>
      </c>
      <c r="T101" s="17">
        <f>L101*S101</f>
        <v/>
      </c>
      <c r="U101" s="17">
        <f>S101+R101</f>
        <v/>
      </c>
      <c r="V101" s="22">
        <f>IFERROR(R101/S101,"")</f>
        <v/>
      </c>
      <c r="W101" s="16" t="inlineStr"/>
      <c r="X101" s="4" t="inlineStr">
        <is>
          <t>Склад 2</t>
        </is>
      </c>
      <c r="Y101" s="23" t="inlineStr"/>
    </row>
    <row r="102">
      <c r="A102" s="4" t="n">
        <v>98</v>
      </c>
      <c r="B102" s="5" t="inlineStr">
        <is>
          <t>5. Мелочь — ей добиваем контейнер до 25 тонн</t>
        </is>
      </c>
      <c r="C102" s="4" t="inlineStr">
        <is>
          <t>Ярус 3, ящики</t>
        </is>
      </c>
      <c r="D102" s="4" t="inlineStr">
        <is>
          <t>клапан штуцерный</t>
        </is>
      </c>
      <c r="E102" s="4" t="inlineStr">
        <is>
          <t>Ду10</t>
        </is>
      </c>
      <c r="F102" s="5" t="inlineStr">
        <is>
          <t>Клапан штуцерный проходной Ду 10 Ру400</t>
        </is>
      </c>
      <c r="G102" s="4" t="inlineStr">
        <is>
          <t>521-35.3238</t>
        </is>
      </c>
      <c r="H102" s="16" t="inlineStr"/>
      <c r="I102" s="16" t="inlineStr">
        <is>
          <t>Комплект</t>
        </is>
      </c>
      <c r="J102" s="4" t="inlineStr"/>
      <c r="K102" s="4" t="n">
        <v>1</v>
      </c>
      <c r="L102" s="16" t="n">
        <v>1</v>
      </c>
      <c r="M102" s="16" t="n">
        <v>0.6</v>
      </c>
      <c r="N102" s="17">
        <f>L102*M102</f>
        <v/>
      </c>
      <c r="O102" s="18" t="n">
        <v>0.001</v>
      </c>
      <c r="P102" s="19">
        <f>IFERROR(IF('Расходы и доставка'!$B$15="по весу",N102/'Расходы и доставка'!$B$19,IF('Расходы и доставка'!$B$15="по объему",O102/'Расходы и доставка'!$B$20,IF('Расходы и доставка'!$B$15="поровну на штуку",L102/'Расходы и доставка'!$B$21,T102/'Расходы и доставка'!$B$22))),0)</f>
        <v/>
      </c>
      <c r="Q102" s="17">
        <f>P102*'Расходы и доставка'!$B$13</f>
        <v/>
      </c>
      <c r="R102" s="20">
        <f>IFERROR(Q102/L102,0)</f>
        <v/>
      </c>
      <c r="S102" s="21" t="n">
        <v>6000</v>
      </c>
      <c r="T102" s="17">
        <f>L102*S102</f>
        <v/>
      </c>
      <c r="U102" s="17">
        <f>S102+R102</f>
        <v/>
      </c>
      <c r="V102" s="22">
        <f>IFERROR(R102/S102,"")</f>
        <v/>
      </c>
      <c r="W102" s="16" t="inlineStr"/>
      <c r="X102" s="4" t="inlineStr">
        <is>
          <t>Склад 2</t>
        </is>
      </c>
      <c r="Y102" s="23" t="inlineStr"/>
    </row>
    <row r="103">
      <c r="A103" s="4" t="n">
        <v>99</v>
      </c>
      <c r="B103" s="5" t="inlineStr">
        <is>
          <t>5. Мелочь — ей добиваем контейнер до 25 тонн</t>
        </is>
      </c>
      <c r="C103" s="4" t="inlineStr">
        <is>
          <t>Ярус 3, ящики</t>
        </is>
      </c>
      <c r="D103" s="4" t="inlineStr">
        <is>
          <t>клапан штуцерный</t>
        </is>
      </c>
      <c r="E103" s="4" t="inlineStr">
        <is>
          <t>Ду10</t>
        </is>
      </c>
      <c r="F103" s="5" t="inlineStr">
        <is>
          <t>Клапан штуцерный проходной Ду 10 Ру400</t>
        </is>
      </c>
      <c r="G103" s="4" t="inlineStr">
        <is>
          <t>521-03.420</t>
        </is>
      </c>
      <c r="H103" s="16" t="inlineStr"/>
      <c r="I103" s="16" t="inlineStr">
        <is>
          <t>Комплект</t>
        </is>
      </c>
      <c r="J103" s="4" t="inlineStr"/>
      <c r="K103" s="4" t="n">
        <v>2</v>
      </c>
      <c r="L103" s="16" t="n">
        <v>2</v>
      </c>
      <c r="M103" s="16" t="n">
        <v>0.6</v>
      </c>
      <c r="N103" s="17">
        <f>L103*M103</f>
        <v/>
      </c>
      <c r="O103" s="18" t="n">
        <v>0.002</v>
      </c>
      <c r="P103" s="19">
        <f>IFERROR(IF('Расходы и доставка'!$B$15="по весу",N103/'Расходы и доставка'!$B$19,IF('Расходы и доставка'!$B$15="по объему",O103/'Расходы и доставка'!$B$20,IF('Расходы и доставка'!$B$15="поровну на штуку",L103/'Расходы и доставка'!$B$21,T103/'Расходы и доставка'!$B$22))),0)</f>
        <v/>
      </c>
      <c r="Q103" s="17">
        <f>P103*'Расходы и доставка'!$B$13</f>
        <v/>
      </c>
      <c r="R103" s="20">
        <f>IFERROR(Q103/L103,0)</f>
        <v/>
      </c>
      <c r="S103" s="21" t="n">
        <v>6000</v>
      </c>
      <c r="T103" s="17">
        <f>L103*S103</f>
        <v/>
      </c>
      <c r="U103" s="17">
        <f>S103+R103</f>
        <v/>
      </c>
      <c r="V103" s="22">
        <f>IFERROR(R103/S103,"")</f>
        <v/>
      </c>
      <c r="W103" s="16" t="inlineStr"/>
      <c r="X103" s="4" t="inlineStr">
        <is>
          <t>Склад 2</t>
        </is>
      </c>
      <c r="Y103" s="23" t="inlineStr"/>
    </row>
    <row r="104">
      <c r="A104" s="4" t="n">
        <v>100</v>
      </c>
      <c r="B104" s="5" t="inlineStr">
        <is>
          <t>5. Мелочь — ей добиваем контейнер до 25 тонн</t>
        </is>
      </c>
      <c r="C104" s="4" t="inlineStr">
        <is>
          <t>Ярус 3, ящики</t>
        </is>
      </c>
      <c r="D104" s="4" t="inlineStr">
        <is>
          <t>клапан редукционный</t>
        </is>
      </c>
      <c r="E104" s="4" t="inlineStr">
        <is>
          <t>Ду10</t>
        </is>
      </c>
      <c r="F104" s="5" t="inlineStr">
        <is>
          <t>Клапан редукционный штуцерный угловой Ду10Ру200…30 с манометром</t>
        </is>
      </c>
      <c r="G104" s="4" t="inlineStr">
        <is>
          <t>525-35.2634</t>
        </is>
      </c>
      <c r="H104" s="16" t="inlineStr"/>
      <c r="I104" s="16" t="inlineStr">
        <is>
          <t>Комплект</t>
        </is>
      </c>
      <c r="J104" s="4" t="inlineStr"/>
      <c r="K104" s="4" t="n">
        <v>1</v>
      </c>
      <c r="L104" s="16" t="n">
        <v>1</v>
      </c>
      <c r="M104" s="16" t="n">
        <v>0.6</v>
      </c>
      <c r="N104" s="17">
        <f>L104*M104</f>
        <v/>
      </c>
      <c r="O104" s="18" t="n">
        <v>0.001</v>
      </c>
      <c r="P104" s="19">
        <f>IFERROR(IF('Расходы и доставка'!$B$15="по весу",N104/'Расходы и доставка'!$B$19,IF('Расходы и доставка'!$B$15="по объему",O104/'Расходы и доставка'!$B$20,IF('Расходы и доставка'!$B$15="поровну на штуку",L104/'Расходы и доставка'!$B$21,T104/'Расходы и доставка'!$B$22))),0)</f>
        <v/>
      </c>
      <c r="Q104" s="17">
        <f>P104*'Расходы и доставка'!$B$13</f>
        <v/>
      </c>
      <c r="R104" s="20">
        <f>IFERROR(Q104/L104,0)</f>
        <v/>
      </c>
      <c r="S104" s="21" t="n">
        <v>6000</v>
      </c>
      <c r="T104" s="17">
        <f>L104*S104</f>
        <v/>
      </c>
      <c r="U104" s="17">
        <f>S104+R104</f>
        <v/>
      </c>
      <c r="V104" s="22">
        <f>IFERROR(R104/S104,"")</f>
        <v/>
      </c>
      <c r="W104" s="16" t="inlineStr"/>
      <c r="X104" s="4" t="inlineStr">
        <is>
          <t>Склад 2</t>
        </is>
      </c>
      <c r="Y104" s="23" t="inlineStr"/>
    </row>
    <row r="105">
      <c r="A105" s="4" t="n">
        <v>101</v>
      </c>
      <c r="B105" s="5" t="inlineStr">
        <is>
          <t>5. Мелочь — ей добиваем контейнер до 25 тонн</t>
        </is>
      </c>
      <c r="C105" s="4" t="inlineStr">
        <is>
          <t>Ярус 3, ящики</t>
        </is>
      </c>
      <c r="D105" s="4" t="inlineStr">
        <is>
          <t>клапан редукционный</t>
        </is>
      </c>
      <c r="E105" s="4" t="inlineStr">
        <is>
          <t>Ду10</t>
        </is>
      </c>
      <c r="F105" s="5" t="inlineStr">
        <is>
          <t>Клапан редукционный штуцерный угловой Ду10Ру200…30 с манометром</t>
        </is>
      </c>
      <c r="G105" s="4" t="inlineStr">
        <is>
          <t>525-35.2634-04</t>
        </is>
      </c>
      <c r="H105" s="16" t="inlineStr"/>
      <c r="I105" s="16" t="inlineStr">
        <is>
          <t>Комплект</t>
        </is>
      </c>
      <c r="J105" s="4" t="inlineStr"/>
      <c r="K105" s="4" t="n">
        <v>1</v>
      </c>
      <c r="L105" s="16" t="n">
        <v>1</v>
      </c>
      <c r="M105" s="16" t="n">
        <v>0.6</v>
      </c>
      <c r="N105" s="17">
        <f>L105*M105</f>
        <v/>
      </c>
      <c r="O105" s="18" t="n">
        <v>0.001</v>
      </c>
      <c r="P105" s="19">
        <f>IFERROR(IF('Расходы и доставка'!$B$15="по весу",N105/'Расходы и доставка'!$B$19,IF('Расходы и доставка'!$B$15="по объему",O105/'Расходы и доставка'!$B$20,IF('Расходы и доставка'!$B$15="поровну на штуку",L105/'Расходы и доставка'!$B$21,T105/'Расходы и доставка'!$B$22))),0)</f>
        <v/>
      </c>
      <c r="Q105" s="17">
        <f>P105*'Расходы и доставка'!$B$13</f>
        <v/>
      </c>
      <c r="R105" s="20">
        <f>IFERROR(Q105/L105,0)</f>
        <v/>
      </c>
      <c r="S105" s="21" t="n">
        <v>6000</v>
      </c>
      <c r="T105" s="17">
        <f>L105*S105</f>
        <v/>
      </c>
      <c r="U105" s="17">
        <f>S105+R105</f>
        <v/>
      </c>
      <c r="V105" s="22">
        <f>IFERROR(R105/S105,"")</f>
        <v/>
      </c>
      <c r="W105" s="16" t="inlineStr"/>
      <c r="X105" s="4" t="inlineStr">
        <is>
          <t>Склад 2</t>
        </is>
      </c>
      <c r="Y105" s="23" t="inlineStr"/>
    </row>
    <row r="106">
      <c r="A106" s="4" t="n">
        <v>102</v>
      </c>
      <c r="B106" s="5" t="inlineStr">
        <is>
          <t>5. Мелочь — ей добиваем контейнер до 25 тонн</t>
        </is>
      </c>
      <c r="C106" s="4" t="inlineStr">
        <is>
          <t>Ярус 3, ящики</t>
        </is>
      </c>
      <c r="D106" s="4" t="inlineStr">
        <is>
          <t>клапан предохранительный</t>
        </is>
      </c>
      <c r="E106" s="4" t="inlineStr">
        <is>
          <t>Ду10</t>
        </is>
      </c>
      <c r="F106" s="5" t="inlineStr">
        <is>
          <t>Клапан предохранительный штуцерный сигнальный Ду10Ру1,3-6,5</t>
        </is>
      </c>
      <c r="G106" s="4" t="inlineStr">
        <is>
          <t>524-03.174</t>
        </is>
      </c>
      <c r="H106" s="16" t="inlineStr"/>
      <c r="I106" s="16" t="inlineStr">
        <is>
          <t>Комплект</t>
        </is>
      </c>
      <c r="J106" s="4" t="inlineStr"/>
      <c r="K106" s="4" t="n">
        <v>1</v>
      </c>
      <c r="L106" s="16" t="n">
        <v>1</v>
      </c>
      <c r="M106" s="16" t="n">
        <v>0.6</v>
      </c>
      <c r="N106" s="17">
        <f>L106*M106</f>
        <v/>
      </c>
      <c r="O106" s="18" t="n">
        <v>0.001</v>
      </c>
      <c r="P106" s="19">
        <f>IFERROR(IF('Расходы и доставка'!$B$15="по весу",N106/'Расходы и доставка'!$B$19,IF('Расходы и доставка'!$B$15="по объему",O106/'Расходы и доставка'!$B$20,IF('Расходы и доставка'!$B$15="поровну на штуку",L106/'Расходы и доставка'!$B$21,T106/'Расходы и доставка'!$B$22))),0)</f>
        <v/>
      </c>
      <c r="Q106" s="17">
        <f>P106*'Расходы и доставка'!$B$13</f>
        <v/>
      </c>
      <c r="R106" s="20">
        <f>IFERROR(Q106/L106,0)</f>
        <v/>
      </c>
      <c r="S106" s="21" t="n">
        <v>6000</v>
      </c>
      <c r="T106" s="17">
        <f>L106*S106</f>
        <v/>
      </c>
      <c r="U106" s="17">
        <f>S106+R106</f>
        <v/>
      </c>
      <c r="V106" s="22">
        <f>IFERROR(R106/S106,"")</f>
        <v/>
      </c>
      <c r="W106" s="16" t="inlineStr"/>
      <c r="X106" s="4" t="inlineStr">
        <is>
          <t>Склад 2</t>
        </is>
      </c>
      <c r="Y106" s="23" t="inlineStr"/>
    </row>
    <row r="107">
      <c r="A107" s="4" t="n">
        <v>103</v>
      </c>
      <c r="B107" s="5" t="inlineStr">
        <is>
          <t>5. Мелочь — ей добиваем контейнер до 25 тонн</t>
        </is>
      </c>
      <c r="C107" s="4" t="inlineStr">
        <is>
          <t>Ярус 3, ящики</t>
        </is>
      </c>
      <c r="D107" s="4" t="inlineStr">
        <is>
          <t>клапан предохранительный</t>
        </is>
      </c>
      <c r="E107" s="4" t="inlineStr">
        <is>
          <t>Ду10</t>
        </is>
      </c>
      <c r="F107" s="5" t="inlineStr">
        <is>
          <t>Клапан предохранительный штуцерный сигнальный Ду10Ру2,5-6,5</t>
        </is>
      </c>
      <c r="G107" s="4" t="inlineStr">
        <is>
          <t>524-03.173</t>
        </is>
      </c>
      <c r="H107" s="16" t="inlineStr"/>
      <c r="I107" s="16" t="inlineStr">
        <is>
          <t>Комплект</t>
        </is>
      </c>
      <c r="J107" s="4" t="inlineStr"/>
      <c r="K107" s="4" t="n">
        <v>1</v>
      </c>
      <c r="L107" s="16" t="n">
        <v>1</v>
      </c>
      <c r="M107" s="16" t="n">
        <v>0.6</v>
      </c>
      <c r="N107" s="17">
        <f>L107*M107</f>
        <v/>
      </c>
      <c r="O107" s="18" t="n">
        <v>0.001</v>
      </c>
      <c r="P107" s="19">
        <f>IFERROR(IF('Расходы и доставка'!$B$15="по весу",N107/'Расходы и доставка'!$B$19,IF('Расходы и доставка'!$B$15="по объему",O107/'Расходы и доставка'!$B$20,IF('Расходы и доставка'!$B$15="поровну на штуку",L107/'Расходы и доставка'!$B$21,T107/'Расходы и доставка'!$B$22))),0)</f>
        <v/>
      </c>
      <c r="Q107" s="17">
        <f>P107*'Расходы и доставка'!$B$13</f>
        <v/>
      </c>
      <c r="R107" s="20">
        <f>IFERROR(Q107/L107,0)</f>
        <v/>
      </c>
      <c r="S107" s="21" t="n">
        <v>6000</v>
      </c>
      <c r="T107" s="17">
        <f>L107*S107</f>
        <v/>
      </c>
      <c r="U107" s="17">
        <f>S107+R107</f>
        <v/>
      </c>
      <c r="V107" s="22">
        <f>IFERROR(R107/S107,"")</f>
        <v/>
      </c>
      <c r="W107" s="16" t="inlineStr"/>
      <c r="X107" s="4" t="inlineStr">
        <is>
          <t>Склад 2</t>
        </is>
      </c>
      <c r="Y107" s="23" t="inlineStr"/>
    </row>
    <row r="108">
      <c r="A108" s="4" t="n">
        <v>104</v>
      </c>
      <c r="B108" s="5" t="inlineStr">
        <is>
          <t>5. Мелочь — ей добиваем контейнер до 25 тонн</t>
        </is>
      </c>
      <c r="C108" s="4" t="inlineStr">
        <is>
          <t>Ярус 3, ящики</t>
        </is>
      </c>
      <c r="D108" s="4" t="inlineStr">
        <is>
          <t>клапан штуцерный</t>
        </is>
      </c>
      <c r="E108" s="4" t="inlineStr">
        <is>
          <t>Ду15</t>
        </is>
      </c>
      <c r="F108" s="5" t="inlineStr">
        <is>
          <t>Клапан штущерный проходной Ду15</t>
        </is>
      </c>
      <c r="G108" s="4" t="inlineStr"/>
      <c r="H108" s="16" t="inlineStr"/>
      <c r="I108" s="16" t="inlineStr">
        <is>
          <t>Комплект</t>
        </is>
      </c>
      <c r="J108" s="4" t="inlineStr"/>
      <c r="K108" s="4" t="n">
        <v>44</v>
      </c>
      <c r="L108" s="16" t="n">
        <v>44</v>
      </c>
      <c r="M108" s="16" t="n">
        <v>1</v>
      </c>
      <c r="N108" s="17">
        <f>L108*M108</f>
        <v/>
      </c>
      <c r="O108" s="18" t="n">
        <v>0.066</v>
      </c>
      <c r="P108" s="19">
        <f>IFERROR(IF('Расходы и доставка'!$B$15="по весу",N108/'Расходы и доставка'!$B$19,IF('Расходы и доставка'!$B$15="по объему",O108/'Расходы и доставка'!$B$20,IF('Расходы и доставка'!$B$15="поровну на штуку",L108/'Расходы и доставка'!$B$21,T108/'Расходы и доставка'!$B$22))),0)</f>
        <v/>
      </c>
      <c r="Q108" s="17">
        <f>P108*'Расходы и доставка'!$B$13</f>
        <v/>
      </c>
      <c r="R108" s="20">
        <f>IFERROR(Q108/L108,0)</f>
        <v/>
      </c>
      <c r="S108" s="21" t="n">
        <v>9500</v>
      </c>
      <c r="T108" s="17">
        <f>L108*S108</f>
        <v/>
      </c>
      <c r="U108" s="17">
        <f>S108+R108</f>
        <v/>
      </c>
      <c r="V108" s="22">
        <f>IFERROR(R108/S108,"")</f>
        <v/>
      </c>
      <c r="W108" s="16" t="inlineStr"/>
      <c r="X108" s="4" t="inlineStr">
        <is>
          <t>Склад 3</t>
        </is>
      </c>
      <c r="Y108" s="23" t="inlineStr"/>
    </row>
    <row r="109">
      <c r="A109" s="4" t="n">
        <v>105</v>
      </c>
      <c r="B109" s="5" t="inlineStr">
        <is>
          <t>5. Мелочь — ей добиваем контейнер до 25 тонн</t>
        </is>
      </c>
      <c r="C109" s="4" t="inlineStr">
        <is>
          <t>Ярус 3, ящики</t>
        </is>
      </c>
      <c r="D109" s="4" t="inlineStr">
        <is>
          <t>клапан штуцерный</t>
        </is>
      </c>
      <c r="E109" s="4" t="inlineStr">
        <is>
          <t>Ду15</t>
        </is>
      </c>
      <c r="F109" s="5" t="inlineStr">
        <is>
          <t>Клапан штуцерный угловой Ду15 Ру160</t>
        </is>
      </c>
      <c r="G109" s="4" t="inlineStr">
        <is>
          <t>521-03.387</t>
        </is>
      </c>
      <c r="H109" s="16" t="inlineStr"/>
      <c r="I109" s="16" t="inlineStr">
        <is>
          <t>Комплект</t>
        </is>
      </c>
      <c r="J109" s="4" t="inlineStr"/>
      <c r="K109" s="4" t="n">
        <v>4</v>
      </c>
      <c r="L109" s="16" t="n">
        <v>4</v>
      </c>
      <c r="M109" s="16" t="n">
        <v>1</v>
      </c>
      <c r="N109" s="17">
        <f>L109*M109</f>
        <v/>
      </c>
      <c r="O109" s="18" t="n">
        <v>0.006</v>
      </c>
      <c r="P109" s="19">
        <f>IFERROR(IF('Расходы и доставка'!$B$15="по весу",N109/'Расходы и доставка'!$B$19,IF('Расходы и доставка'!$B$15="по объему",O109/'Расходы и доставка'!$B$20,IF('Расходы и доставка'!$B$15="поровну на штуку",L109/'Расходы и доставка'!$B$21,T109/'Расходы и доставка'!$B$22))),0)</f>
        <v/>
      </c>
      <c r="Q109" s="17">
        <f>P109*'Расходы и доставка'!$B$13</f>
        <v/>
      </c>
      <c r="R109" s="20">
        <f>IFERROR(Q109/L109,0)</f>
        <v/>
      </c>
      <c r="S109" s="21" t="n">
        <v>9000</v>
      </c>
      <c r="T109" s="17">
        <f>L109*S109</f>
        <v/>
      </c>
      <c r="U109" s="17">
        <f>S109+R109</f>
        <v/>
      </c>
      <c r="V109" s="22">
        <f>IFERROR(R109/S109,"")</f>
        <v/>
      </c>
      <c r="W109" s="16" t="inlineStr"/>
      <c r="X109" s="4" t="inlineStr">
        <is>
          <t>Склад 2</t>
        </is>
      </c>
      <c r="Y109" s="23" t="inlineStr"/>
    </row>
    <row r="110">
      <c r="A110" s="4" t="n">
        <v>106</v>
      </c>
      <c r="B110" s="5" t="inlineStr">
        <is>
          <t>5. Мелочь — ей добиваем контейнер до 25 тонн</t>
        </is>
      </c>
      <c r="C110" s="4" t="inlineStr">
        <is>
          <t>Ярус 3, ящики</t>
        </is>
      </c>
      <c r="D110" s="4" t="inlineStr">
        <is>
          <t>клапан штуцерный</t>
        </is>
      </c>
      <c r="E110" s="4" t="inlineStr">
        <is>
          <t>Ду15</t>
        </is>
      </c>
      <c r="F110" s="5" t="inlineStr">
        <is>
          <t>Клапан штуцерный угловой Ду15</t>
        </is>
      </c>
      <c r="G110" s="4" t="inlineStr"/>
      <c r="H110" s="16" t="inlineStr"/>
      <c r="I110" s="16" t="inlineStr">
        <is>
          <t>Комплект</t>
        </is>
      </c>
      <c r="J110" s="4" t="inlineStr"/>
      <c r="K110" s="4" t="n">
        <v>10</v>
      </c>
      <c r="L110" s="16" t="n">
        <v>10</v>
      </c>
      <c r="M110" s="16" t="n">
        <v>1</v>
      </c>
      <c r="N110" s="17">
        <f>L110*M110</f>
        <v/>
      </c>
      <c r="O110" s="18" t="n">
        <v>0.015</v>
      </c>
      <c r="P110" s="19">
        <f>IFERROR(IF('Расходы и доставка'!$B$15="по весу",N110/'Расходы и доставка'!$B$19,IF('Расходы и доставка'!$B$15="по объему",O110/'Расходы и доставка'!$B$20,IF('Расходы и доставка'!$B$15="поровну на штуку",L110/'Расходы и доставка'!$B$21,T110/'Расходы и доставка'!$B$22))),0)</f>
        <v/>
      </c>
      <c r="Q110" s="17">
        <f>P110*'Расходы и доставка'!$B$13</f>
        <v/>
      </c>
      <c r="R110" s="20">
        <f>IFERROR(Q110/L110,0)</f>
        <v/>
      </c>
      <c r="S110" s="21" t="n">
        <v>9000</v>
      </c>
      <c r="T110" s="17">
        <f>L110*S110</f>
        <v/>
      </c>
      <c r="U110" s="17">
        <f>S110+R110</f>
        <v/>
      </c>
      <c r="V110" s="22">
        <f>IFERROR(R110/S110,"")</f>
        <v/>
      </c>
      <c r="W110" s="16" t="inlineStr"/>
      <c r="X110" s="4" t="inlineStr">
        <is>
          <t>Склад 3</t>
        </is>
      </c>
      <c r="Y110" s="23" t="inlineStr"/>
    </row>
    <row r="111">
      <c r="A111" s="4" t="n">
        <v>107</v>
      </c>
      <c r="B111" s="5" t="inlineStr">
        <is>
          <t>5. Мелочь — ей добиваем контейнер до 25 тонн</t>
        </is>
      </c>
      <c r="C111" s="4" t="inlineStr">
        <is>
          <t>Ярус 3, ящики</t>
        </is>
      </c>
      <c r="D111" s="4" t="inlineStr">
        <is>
          <t>клапан штуцерный</t>
        </is>
      </c>
      <c r="E111" s="4" t="inlineStr">
        <is>
          <t>Ду10</t>
        </is>
      </c>
      <c r="F111" s="5" t="inlineStr">
        <is>
          <t>Клапан штуцерный проходной Ду 10 Ру100</t>
        </is>
      </c>
      <c r="G111" s="4" t="inlineStr">
        <is>
          <t>521-01.469-03</t>
        </is>
      </c>
      <c r="H111" s="16" t="inlineStr"/>
      <c r="I111" s="16" t="inlineStr">
        <is>
          <t>Комплект</t>
        </is>
      </c>
      <c r="J111" s="4" t="inlineStr"/>
      <c r="K111" s="4" t="n">
        <v>7</v>
      </c>
      <c r="L111" s="16" t="n">
        <v>7</v>
      </c>
      <c r="M111" s="16" t="n">
        <v>0.6</v>
      </c>
      <c r="N111" s="17">
        <f>L111*M111</f>
        <v/>
      </c>
      <c r="O111" s="18" t="n">
        <v>0.007</v>
      </c>
      <c r="P111" s="19">
        <f>IFERROR(IF('Расходы и доставка'!$B$15="по весу",N111/'Расходы и доставка'!$B$19,IF('Расходы и доставка'!$B$15="по объему",O111/'Расходы и доставка'!$B$20,IF('Расходы и доставка'!$B$15="поровну на штуку",L111/'Расходы и доставка'!$B$21,T111/'Расходы и доставка'!$B$22))),0)</f>
        <v/>
      </c>
      <c r="Q111" s="17">
        <f>P111*'Расходы и доставка'!$B$13</f>
        <v/>
      </c>
      <c r="R111" s="20">
        <f>IFERROR(Q111/L111,0)</f>
        <v/>
      </c>
      <c r="S111" s="21" t="n">
        <v>4500</v>
      </c>
      <c r="T111" s="17">
        <f>L111*S111</f>
        <v/>
      </c>
      <c r="U111" s="17">
        <f>S111+R111</f>
        <v/>
      </c>
      <c r="V111" s="22">
        <f>IFERROR(R111/S111,"")</f>
        <v/>
      </c>
      <c r="W111" s="16" t="inlineStr"/>
      <c r="X111" s="4" t="inlineStr">
        <is>
          <t>Склад 2</t>
        </is>
      </c>
      <c r="Y111" s="23" t="inlineStr"/>
    </row>
    <row r="112">
      <c r="A112" s="4" t="n">
        <v>108</v>
      </c>
      <c r="B112" s="5" t="inlineStr">
        <is>
          <t>5. Мелочь — ей добиваем контейнер до 25 тонн</t>
        </is>
      </c>
      <c r="C112" s="4" t="inlineStr">
        <is>
          <t>Ярус 3, ящики</t>
        </is>
      </c>
      <c r="D112" s="4" t="inlineStr">
        <is>
          <t>кран</t>
        </is>
      </c>
      <c r="E112" s="4" t="inlineStr">
        <is>
          <t>Ду15</t>
        </is>
      </c>
      <c r="F112" s="5" t="inlineStr">
        <is>
          <t>Кран штуцерный спусковой самозапорный проходной Ду15 Ру25</t>
        </is>
      </c>
      <c r="G112" s="4" t="inlineStr"/>
      <c r="H112" s="16" t="inlineStr"/>
      <c r="I112" s="16" t="inlineStr">
        <is>
          <t>Комплект</t>
        </is>
      </c>
      <c r="J112" s="4" t="inlineStr"/>
      <c r="K112" s="4" t="n">
        <v>4</v>
      </c>
      <c r="L112" s="16" t="n">
        <v>4</v>
      </c>
      <c r="M112" s="16" t="n">
        <v>1</v>
      </c>
      <c r="N112" s="17">
        <f>L112*M112</f>
        <v/>
      </c>
      <c r="O112" s="18" t="n">
        <v>0.006</v>
      </c>
      <c r="P112" s="19">
        <f>IFERROR(IF('Расходы и доставка'!$B$15="по весу",N112/'Расходы и доставка'!$B$19,IF('Расходы и доставка'!$B$15="по объему",O112/'Расходы и доставка'!$B$20,IF('Расходы и доставка'!$B$15="поровну на штуку",L112/'Расходы и доставка'!$B$21,T112/'Расходы и доставка'!$B$22))),0)</f>
        <v/>
      </c>
      <c r="Q112" s="17">
        <f>P112*'Расходы и доставка'!$B$13</f>
        <v/>
      </c>
      <c r="R112" s="20">
        <f>IFERROR(Q112/L112,0)</f>
        <v/>
      </c>
      <c r="S112" s="21" t="n">
        <v>7500</v>
      </c>
      <c r="T112" s="17">
        <f>L112*S112</f>
        <v/>
      </c>
      <c r="U112" s="17">
        <f>S112+R112</f>
        <v/>
      </c>
      <c r="V112" s="22">
        <f>IFERROR(R112/S112,"")</f>
        <v/>
      </c>
      <c r="W112" s="16" t="inlineStr"/>
      <c r="X112" s="4" t="inlineStr">
        <is>
          <t>Склад 2</t>
        </is>
      </c>
      <c r="Y112" s="23" t="inlineStr"/>
    </row>
    <row r="113">
      <c r="A113" s="4" t="n">
        <v>109</v>
      </c>
      <c r="B113" s="5" t="inlineStr">
        <is>
          <t>5. Мелочь — ей добиваем контейнер до 25 тонн</t>
        </is>
      </c>
      <c r="C113" s="4" t="inlineStr">
        <is>
          <t>Ярус 3, ящики</t>
        </is>
      </c>
      <c r="D113" s="4" t="inlineStr">
        <is>
          <t>клапан штуцерный</t>
        </is>
      </c>
      <c r="E113" s="4" t="inlineStr">
        <is>
          <t>Ду10</t>
        </is>
      </c>
      <c r="F113" s="5" t="inlineStr">
        <is>
          <t>Клапан штуцерный проходной невозвратный Ду10Ру100</t>
        </is>
      </c>
      <c r="G113" s="4" t="inlineStr">
        <is>
          <t>522-01-493</t>
        </is>
      </c>
      <c r="H113" s="16" t="inlineStr"/>
      <c r="I113" s="16" t="inlineStr">
        <is>
          <t>Комплект</t>
        </is>
      </c>
      <c r="J113" s="4" t="inlineStr"/>
      <c r="K113" s="4" t="n">
        <v>5</v>
      </c>
      <c r="L113" s="16" t="n">
        <v>5</v>
      </c>
      <c r="M113" s="16" t="n">
        <v>0.6</v>
      </c>
      <c r="N113" s="17">
        <f>L113*M113</f>
        <v/>
      </c>
      <c r="O113" s="18" t="n">
        <v>0.005</v>
      </c>
      <c r="P113" s="19">
        <f>IFERROR(IF('Расходы и доставка'!$B$15="по весу",N113/'Расходы и доставка'!$B$19,IF('Расходы и доставка'!$B$15="по объему",O113/'Расходы и доставка'!$B$20,IF('Расходы и доставка'!$B$15="поровну на штуку",L113/'Расходы и доставка'!$B$21,T113/'Расходы и доставка'!$B$22))),0)</f>
        <v/>
      </c>
      <c r="Q113" s="17">
        <f>P113*'Расходы и доставка'!$B$13</f>
        <v/>
      </c>
      <c r="R113" s="20">
        <f>IFERROR(Q113/L113,0)</f>
        <v/>
      </c>
      <c r="S113" s="21" t="n">
        <v>4000</v>
      </c>
      <c r="T113" s="17">
        <f>L113*S113</f>
        <v/>
      </c>
      <c r="U113" s="17">
        <f>S113+R113</f>
        <v/>
      </c>
      <c r="V113" s="22">
        <f>IFERROR(R113/S113,"")</f>
        <v/>
      </c>
      <c r="W113" s="16" t="inlineStr"/>
      <c r="X113" s="4" t="inlineStr">
        <is>
          <t>Склад 2</t>
        </is>
      </c>
      <c r="Y113" s="23" t="inlineStr"/>
    </row>
    <row r="114">
      <c r="A114" s="4" t="n">
        <v>110</v>
      </c>
      <c r="B114" s="5" t="inlineStr">
        <is>
          <t>5. Мелочь — ей добиваем контейнер до 25 тонн</t>
        </is>
      </c>
      <c r="C114" s="4" t="inlineStr">
        <is>
          <t>Ярус 3, ящики</t>
        </is>
      </c>
      <c r="D114" s="4" t="inlineStr">
        <is>
          <t>клапан штуцерный</t>
        </is>
      </c>
      <c r="E114" s="4" t="inlineStr">
        <is>
          <t>Ду10</t>
        </is>
      </c>
      <c r="F114" s="5" t="inlineStr">
        <is>
          <t>Клапан штуцерный проходной невозвратный Ду10Ру100</t>
        </is>
      </c>
      <c r="G114" s="4" t="inlineStr">
        <is>
          <t>522-01-493-01</t>
        </is>
      </c>
      <c r="H114" s="16" t="inlineStr"/>
      <c r="I114" s="16" t="inlineStr">
        <is>
          <t>Комплект</t>
        </is>
      </c>
      <c r="J114" s="4" t="inlineStr"/>
      <c r="K114" s="4" t="n">
        <v>1</v>
      </c>
      <c r="L114" s="16" t="n">
        <v>1</v>
      </c>
      <c r="M114" s="16" t="n">
        <v>0.6</v>
      </c>
      <c r="N114" s="17">
        <f>L114*M114</f>
        <v/>
      </c>
      <c r="O114" s="18" t="n">
        <v>0.001</v>
      </c>
      <c r="P114" s="19">
        <f>IFERROR(IF('Расходы и доставка'!$B$15="по весу",N114/'Расходы и доставка'!$B$19,IF('Расходы и доставка'!$B$15="по объему",O114/'Расходы и доставка'!$B$20,IF('Расходы и доставка'!$B$15="поровну на штуку",L114/'Расходы и доставка'!$B$21,T114/'Расходы и доставка'!$B$22))),0)</f>
        <v/>
      </c>
      <c r="Q114" s="17">
        <f>P114*'Расходы и доставка'!$B$13</f>
        <v/>
      </c>
      <c r="R114" s="20">
        <f>IFERROR(Q114/L114,0)</f>
        <v/>
      </c>
      <c r="S114" s="21" t="n">
        <v>4000</v>
      </c>
      <c r="T114" s="17">
        <f>L114*S114</f>
        <v/>
      </c>
      <c r="U114" s="17">
        <f>S114+R114</f>
        <v/>
      </c>
      <c r="V114" s="22">
        <f>IFERROR(R114/S114,"")</f>
        <v/>
      </c>
      <c r="W114" s="16" t="inlineStr"/>
      <c r="X114" s="4" t="inlineStr">
        <is>
          <t>Склад 2</t>
        </is>
      </c>
      <c r="Y114" s="23" t="inlineStr"/>
    </row>
    <row r="115">
      <c r="A115" s="4" t="n">
        <v>111</v>
      </c>
      <c r="B115" s="5" t="inlineStr">
        <is>
          <t>5. Мелочь — ей добиваем контейнер до 25 тонн</t>
        </is>
      </c>
      <c r="C115" s="4" t="inlineStr">
        <is>
          <t>Ярус 3, ящики</t>
        </is>
      </c>
      <c r="D115" s="4" t="inlineStr">
        <is>
          <t>клапан штуцерный</t>
        </is>
      </c>
      <c r="E115" s="4" t="inlineStr">
        <is>
          <t>Ду10</t>
        </is>
      </c>
      <c r="F115" s="5" t="inlineStr">
        <is>
          <t>Клапан запорный штуцерный проходной Ду10 Ру16</t>
        </is>
      </c>
      <c r="G115" s="4" t="inlineStr">
        <is>
          <t>521-35.2754</t>
        </is>
      </c>
      <c r="H115" s="16" t="inlineStr"/>
      <c r="I115" s="16" t="inlineStr">
        <is>
          <t>Комплект</t>
        </is>
      </c>
      <c r="J115" s="4" t="inlineStr"/>
      <c r="K115" s="4" t="n">
        <v>6</v>
      </c>
      <c r="L115" s="16" t="n">
        <v>6</v>
      </c>
      <c r="M115" s="16" t="n">
        <v>0.6</v>
      </c>
      <c r="N115" s="17">
        <f>L115*M115</f>
        <v/>
      </c>
      <c r="O115" s="18" t="n">
        <v>0.006</v>
      </c>
      <c r="P115" s="19">
        <f>IFERROR(IF('Расходы и доставка'!$B$15="по весу",N115/'Расходы и доставка'!$B$19,IF('Расходы и доставка'!$B$15="по объему",O115/'Расходы и доставка'!$B$20,IF('Расходы и доставка'!$B$15="поровну на штуку",L115/'Расходы и доставка'!$B$21,T115/'Расходы и доставка'!$B$22))),0)</f>
        <v/>
      </c>
      <c r="Q115" s="17">
        <f>P115*'Расходы и доставка'!$B$13</f>
        <v/>
      </c>
      <c r="R115" s="20">
        <f>IFERROR(Q115/L115,0)</f>
        <v/>
      </c>
      <c r="S115" s="21" t="n">
        <v>4000</v>
      </c>
      <c r="T115" s="17">
        <f>L115*S115</f>
        <v/>
      </c>
      <c r="U115" s="17">
        <f>S115+R115</f>
        <v/>
      </c>
      <c r="V115" s="22">
        <f>IFERROR(R115/S115,"")</f>
        <v/>
      </c>
      <c r="W115" s="16" t="inlineStr"/>
      <c r="X115" s="4" t="inlineStr">
        <is>
          <t>Склад 2</t>
        </is>
      </c>
      <c r="Y115" s="23" t="inlineStr"/>
    </row>
    <row r="116">
      <c r="A116" s="4" t="n">
        <v>112</v>
      </c>
      <c r="B116" s="5" t="inlineStr">
        <is>
          <t>5. Мелочь — ей добиваем контейнер до 25 тонн</t>
        </is>
      </c>
      <c r="C116" s="4" t="inlineStr">
        <is>
          <t>Ярус 3, ящики</t>
        </is>
      </c>
      <c r="D116" s="4" t="inlineStr">
        <is>
          <t>клапан штуцерный</t>
        </is>
      </c>
      <c r="E116" s="4" t="inlineStr">
        <is>
          <t>Ду10</t>
        </is>
      </c>
      <c r="F116" s="5" t="inlineStr">
        <is>
          <t>Клапан штуцерный угловой Ду10 Р160</t>
        </is>
      </c>
      <c r="G116" s="4" t="inlineStr">
        <is>
          <t>522-03,149</t>
        </is>
      </c>
      <c r="H116" s="16" t="inlineStr"/>
      <c r="I116" s="16" t="inlineStr">
        <is>
          <t>Комплект</t>
        </is>
      </c>
      <c r="J116" s="4" t="inlineStr"/>
      <c r="K116" s="4" t="n">
        <v>6</v>
      </c>
      <c r="L116" s="16" t="n">
        <v>6</v>
      </c>
      <c r="M116" s="16" t="n">
        <v>0.6</v>
      </c>
      <c r="N116" s="17">
        <f>L116*M116</f>
        <v/>
      </c>
      <c r="O116" s="18" t="n">
        <v>0.006</v>
      </c>
      <c r="P116" s="19">
        <f>IFERROR(IF('Расходы и доставка'!$B$15="по весу",N116/'Расходы и доставка'!$B$19,IF('Расходы и доставка'!$B$15="по объему",O116/'Расходы и доставка'!$B$20,IF('Расходы и доставка'!$B$15="поровну на штуку",L116/'Расходы и доставка'!$B$21,T116/'Расходы и доставка'!$B$22))),0)</f>
        <v/>
      </c>
      <c r="Q116" s="17">
        <f>P116*'Расходы и доставка'!$B$13</f>
        <v/>
      </c>
      <c r="R116" s="20">
        <f>IFERROR(Q116/L116,0)</f>
        <v/>
      </c>
      <c r="S116" s="21" t="n">
        <v>4000</v>
      </c>
      <c r="T116" s="17">
        <f>L116*S116</f>
        <v/>
      </c>
      <c r="U116" s="17">
        <f>S116+R116</f>
        <v/>
      </c>
      <c r="V116" s="22">
        <f>IFERROR(R116/S116,"")</f>
        <v/>
      </c>
      <c r="W116" s="16" t="inlineStr"/>
      <c r="X116" s="4" t="inlineStr">
        <is>
          <t>Склад 2</t>
        </is>
      </c>
      <c r="Y116" s="23" t="inlineStr"/>
    </row>
    <row r="117">
      <c r="A117" s="4" t="n">
        <v>113</v>
      </c>
      <c r="B117" s="5" t="inlineStr">
        <is>
          <t>5. Мелочь — ей добиваем контейнер до 25 тонн</t>
        </is>
      </c>
      <c r="C117" s="4" t="inlineStr">
        <is>
          <t>Ярус 3, ящики</t>
        </is>
      </c>
      <c r="D117" s="4" t="inlineStr">
        <is>
          <t>клапан штуцерный</t>
        </is>
      </c>
      <c r="E117" s="4" t="inlineStr">
        <is>
          <t>Ду15</t>
        </is>
      </c>
      <c r="F117" s="5" t="inlineStr">
        <is>
          <t>Клапан штуцерный проходной Ду 15 Ру40</t>
        </is>
      </c>
      <c r="G117" s="4" t="inlineStr">
        <is>
          <t>522-01.501-01</t>
        </is>
      </c>
      <c r="H117" s="16" t="inlineStr"/>
      <c r="I117" s="16" t="inlineStr">
        <is>
          <t>Комплект</t>
        </is>
      </c>
      <c r="J117" s="4" t="inlineStr"/>
      <c r="K117" s="4" t="n">
        <v>1</v>
      </c>
      <c r="L117" s="16" t="n">
        <v>1</v>
      </c>
      <c r="M117" s="16" t="n">
        <v>1</v>
      </c>
      <c r="N117" s="17">
        <f>L117*M117</f>
        <v/>
      </c>
      <c r="O117" s="18" t="n">
        <v>0.002</v>
      </c>
      <c r="P117" s="19">
        <f>IFERROR(IF('Расходы и доставка'!$B$15="по весу",N117/'Расходы и доставка'!$B$19,IF('Расходы и доставка'!$B$15="по объему",O117/'Расходы и доставка'!$B$20,IF('Расходы и доставка'!$B$15="поровну на штуку",L117/'Расходы и доставка'!$B$21,T117/'Расходы и доставка'!$B$22))),0)</f>
        <v/>
      </c>
      <c r="Q117" s="17">
        <f>P117*'Расходы и доставка'!$B$13</f>
        <v/>
      </c>
      <c r="R117" s="20">
        <f>IFERROR(Q117/L117,0)</f>
        <v/>
      </c>
      <c r="S117" s="21" t="n">
        <v>6500</v>
      </c>
      <c r="T117" s="17">
        <f>L117*S117</f>
        <v/>
      </c>
      <c r="U117" s="17">
        <f>S117+R117</f>
        <v/>
      </c>
      <c r="V117" s="22">
        <f>IFERROR(R117/S117,"")</f>
        <v/>
      </c>
      <c r="W117" s="16" t="inlineStr"/>
      <c r="X117" s="4" t="inlineStr">
        <is>
          <t>Менеджерская</t>
        </is>
      </c>
      <c r="Y117" s="23" t="inlineStr"/>
    </row>
    <row r="118">
      <c r="A118" s="4" t="n">
        <v>114</v>
      </c>
      <c r="B118" s="5" t="inlineStr">
        <is>
          <t>5. Мелочь — ей добиваем контейнер до 25 тонн</t>
        </is>
      </c>
      <c r="C118" s="4" t="inlineStr">
        <is>
          <t>Ярус 3, ящики</t>
        </is>
      </c>
      <c r="D118" s="4" t="inlineStr">
        <is>
          <t>клапан штуцерный</t>
        </is>
      </c>
      <c r="E118" s="4" t="inlineStr">
        <is>
          <t>Ду15</t>
        </is>
      </c>
      <c r="F118" s="5" t="inlineStr">
        <is>
          <t>Клапан штуцерный проходной Ду 15 Ру40</t>
        </is>
      </c>
      <c r="G118" s="4" t="inlineStr">
        <is>
          <t>521-01.471-02</t>
        </is>
      </c>
      <c r="H118" s="16" t="inlineStr"/>
      <c r="I118" s="16" t="inlineStr">
        <is>
          <t>Комплект</t>
        </is>
      </c>
      <c r="J118" s="4" t="inlineStr"/>
      <c r="K118" s="4" t="n">
        <v>1</v>
      </c>
      <c r="L118" s="16" t="n">
        <v>1</v>
      </c>
      <c r="M118" s="16" t="n">
        <v>1</v>
      </c>
      <c r="N118" s="17">
        <f>L118*M118</f>
        <v/>
      </c>
      <c r="O118" s="18" t="n">
        <v>0.002</v>
      </c>
      <c r="P118" s="19">
        <f>IFERROR(IF('Расходы и доставка'!$B$15="по весу",N118/'Расходы и доставка'!$B$19,IF('Расходы и доставка'!$B$15="по объему",O118/'Расходы и доставка'!$B$20,IF('Расходы и доставка'!$B$15="поровну на штуку",L118/'Расходы и доставка'!$B$21,T118/'Расходы и доставка'!$B$22))),0)</f>
        <v/>
      </c>
      <c r="Q118" s="17">
        <f>P118*'Расходы и доставка'!$B$13</f>
        <v/>
      </c>
      <c r="R118" s="20">
        <f>IFERROR(Q118/L118,0)</f>
        <v/>
      </c>
      <c r="S118" s="21" t="n">
        <v>6500</v>
      </c>
      <c r="T118" s="17">
        <f>L118*S118</f>
        <v/>
      </c>
      <c r="U118" s="17">
        <f>S118+R118</f>
        <v/>
      </c>
      <c r="V118" s="22">
        <f>IFERROR(R118/S118,"")</f>
        <v/>
      </c>
      <c r="W118" s="16" t="inlineStr"/>
      <c r="X118" s="4" t="inlineStr">
        <is>
          <t>Менеджерская</t>
        </is>
      </c>
      <c r="Y118" s="23" t="inlineStr"/>
    </row>
    <row r="119">
      <c r="A119" s="4" t="n">
        <v>115</v>
      </c>
      <c r="B119" s="5" t="inlineStr">
        <is>
          <t>5. Мелочь — ей добиваем контейнер до 25 тонн</t>
        </is>
      </c>
      <c r="C119" s="4" t="inlineStr">
        <is>
          <t>Ярус 3, ящики</t>
        </is>
      </c>
      <c r="D119" s="4" t="inlineStr">
        <is>
          <t>клапан штуцерный</t>
        </is>
      </c>
      <c r="E119" s="4" t="inlineStr">
        <is>
          <t>Ду15</t>
        </is>
      </c>
      <c r="F119" s="5" t="inlineStr">
        <is>
          <t>Клапан штуцерный проходной Ду 15 Ру 40</t>
        </is>
      </c>
      <c r="G119" s="4" t="inlineStr">
        <is>
          <t>521. 3м.666</t>
        </is>
      </c>
      <c r="H119" s="16" t="inlineStr"/>
      <c r="I119" s="16" t="inlineStr">
        <is>
          <t>Комплект</t>
        </is>
      </c>
      <c r="J119" s="4" t="inlineStr"/>
      <c r="K119" s="4" t="n">
        <v>2</v>
      </c>
      <c r="L119" s="16" t="n">
        <v>2</v>
      </c>
      <c r="M119" s="16" t="n">
        <v>1</v>
      </c>
      <c r="N119" s="17">
        <f>L119*M119</f>
        <v/>
      </c>
      <c r="O119" s="18" t="n">
        <v>0.003</v>
      </c>
      <c r="P119" s="19">
        <f>IFERROR(IF('Расходы и доставка'!$B$15="по весу",N119/'Расходы и доставка'!$B$19,IF('Расходы и доставка'!$B$15="по объему",O119/'Расходы и доставка'!$B$20,IF('Расходы и доставка'!$B$15="поровну на штуку",L119/'Расходы и доставка'!$B$21,T119/'Расходы и доставка'!$B$22))),0)</f>
        <v/>
      </c>
      <c r="Q119" s="17">
        <f>P119*'Расходы и доставка'!$B$13</f>
        <v/>
      </c>
      <c r="R119" s="20">
        <f>IFERROR(Q119/L119,0)</f>
        <v/>
      </c>
      <c r="S119" s="21" t="n">
        <v>6500</v>
      </c>
      <c r="T119" s="17">
        <f>L119*S119</f>
        <v/>
      </c>
      <c r="U119" s="17">
        <f>S119+R119</f>
        <v/>
      </c>
      <c r="V119" s="22">
        <f>IFERROR(R119/S119,"")</f>
        <v/>
      </c>
      <c r="W119" s="16" t="inlineStr"/>
      <c r="X119" s="4" t="inlineStr">
        <is>
          <t>Менеджерская</t>
        </is>
      </c>
      <c r="Y119" s="23" t="inlineStr"/>
    </row>
    <row r="120">
      <c r="A120" s="4" t="n">
        <v>116</v>
      </c>
      <c r="B120" s="5" t="inlineStr">
        <is>
          <t>5. Мелочь — ей добиваем контейнер до 25 тонн</t>
        </is>
      </c>
      <c r="C120" s="4" t="inlineStr">
        <is>
          <t>Ярус 3, ящики</t>
        </is>
      </c>
      <c r="D120" s="4" t="inlineStr">
        <is>
          <t>клапан штуцерный</t>
        </is>
      </c>
      <c r="E120" s="4" t="inlineStr">
        <is>
          <t>Ду15</t>
        </is>
      </c>
      <c r="F120" s="5" t="inlineStr">
        <is>
          <t>Клапан штуцерный проходной Ду 15 Ру 40</t>
        </is>
      </c>
      <c r="G120" s="4" t="inlineStr">
        <is>
          <t>521-01.470.02</t>
        </is>
      </c>
      <c r="H120" s="16" t="inlineStr"/>
      <c r="I120" s="16" t="inlineStr">
        <is>
          <t>Комплект</t>
        </is>
      </c>
      <c r="J120" s="4" t="inlineStr"/>
      <c r="K120" s="4" t="n">
        <v>1</v>
      </c>
      <c r="L120" s="16" t="n">
        <v>1</v>
      </c>
      <c r="M120" s="16" t="n">
        <v>1</v>
      </c>
      <c r="N120" s="17">
        <f>L120*M120</f>
        <v/>
      </c>
      <c r="O120" s="18" t="n">
        <v>0.002</v>
      </c>
      <c r="P120" s="19">
        <f>IFERROR(IF('Расходы и доставка'!$B$15="по весу",N120/'Расходы и доставка'!$B$19,IF('Расходы и доставка'!$B$15="по объему",O120/'Расходы и доставка'!$B$20,IF('Расходы и доставка'!$B$15="поровну на штуку",L120/'Расходы и доставка'!$B$21,T120/'Расходы и доставка'!$B$22))),0)</f>
        <v/>
      </c>
      <c r="Q120" s="17">
        <f>P120*'Расходы и доставка'!$B$13</f>
        <v/>
      </c>
      <c r="R120" s="20">
        <f>IFERROR(Q120/L120,0)</f>
        <v/>
      </c>
      <c r="S120" s="21" t="n">
        <v>6500</v>
      </c>
      <c r="T120" s="17">
        <f>L120*S120</f>
        <v/>
      </c>
      <c r="U120" s="17">
        <f>S120+R120</f>
        <v/>
      </c>
      <c r="V120" s="22">
        <f>IFERROR(R120/S120,"")</f>
        <v/>
      </c>
      <c r="W120" s="16" t="inlineStr"/>
      <c r="X120" s="4" t="inlineStr">
        <is>
          <t>Менеджерская</t>
        </is>
      </c>
      <c r="Y120" s="23" t="inlineStr"/>
    </row>
    <row r="121">
      <c r="A121" s="4" t="n">
        <v>117</v>
      </c>
      <c r="B121" s="5" t="inlineStr">
        <is>
          <t>5. Мелочь — ей добиваем контейнер до 25 тонн</t>
        </is>
      </c>
      <c r="C121" s="4" t="inlineStr">
        <is>
          <t>Ярус 3, ящики</t>
        </is>
      </c>
      <c r="D121" s="4" t="inlineStr">
        <is>
          <t>клапан штуцерный</t>
        </is>
      </c>
      <c r="E121" s="4" t="inlineStr">
        <is>
          <t>Ду15</t>
        </is>
      </c>
      <c r="F121" s="5" t="inlineStr">
        <is>
          <t>Клапан штуцерный проходной Ду 15</t>
        </is>
      </c>
      <c r="G121" s="4" t="inlineStr">
        <is>
          <t>521 3м.770</t>
        </is>
      </c>
      <c r="H121" s="16" t="inlineStr"/>
      <c r="I121" s="16" t="inlineStr">
        <is>
          <t>Комплект</t>
        </is>
      </c>
      <c r="J121" s="4" t="inlineStr"/>
      <c r="K121" s="4" t="n">
        <v>1</v>
      </c>
      <c r="L121" s="16" t="n">
        <v>1</v>
      </c>
      <c r="M121" s="16" t="n">
        <v>1</v>
      </c>
      <c r="N121" s="17">
        <f>L121*M121</f>
        <v/>
      </c>
      <c r="O121" s="18" t="n">
        <v>0.002</v>
      </c>
      <c r="P121" s="19">
        <f>IFERROR(IF('Расходы и доставка'!$B$15="по весу",N121/'Расходы и доставка'!$B$19,IF('Расходы и доставка'!$B$15="по объему",O121/'Расходы и доставка'!$B$20,IF('Расходы и доставка'!$B$15="поровну на штуку",L121/'Расходы и доставка'!$B$21,T121/'Расходы и доставка'!$B$22))),0)</f>
        <v/>
      </c>
      <c r="Q121" s="17">
        <f>P121*'Расходы и доставка'!$B$13</f>
        <v/>
      </c>
      <c r="R121" s="20">
        <f>IFERROR(Q121/L121,0)</f>
        <v/>
      </c>
      <c r="S121" s="21" t="n">
        <v>6500</v>
      </c>
      <c r="T121" s="17">
        <f>L121*S121</f>
        <v/>
      </c>
      <c r="U121" s="17">
        <f>S121+R121</f>
        <v/>
      </c>
      <c r="V121" s="22">
        <f>IFERROR(R121/S121,"")</f>
        <v/>
      </c>
      <c r="W121" s="16" t="inlineStr"/>
      <c r="X121" s="4" t="inlineStr">
        <is>
          <t>Менеджерская</t>
        </is>
      </c>
      <c r="Y121" s="23" t="inlineStr"/>
    </row>
    <row r="122">
      <c r="A122" s="4" t="n">
        <v>118</v>
      </c>
      <c r="B122" s="5" t="inlineStr">
        <is>
          <t>5. Мелочь — ей добиваем контейнер до 25 тонн</t>
        </is>
      </c>
      <c r="C122" s="4" t="inlineStr">
        <is>
          <t>Ярус 3, ящики</t>
        </is>
      </c>
      <c r="D122" s="4" t="inlineStr">
        <is>
          <t>клапан штуцерный</t>
        </is>
      </c>
      <c r="E122" s="4" t="inlineStr">
        <is>
          <t>Ду15</t>
        </is>
      </c>
      <c r="F122" s="5" t="inlineStr">
        <is>
          <t>Клапан штуцерный проходной Ду 15</t>
        </is>
      </c>
      <c r="G122" s="4" t="inlineStr">
        <is>
          <t>без чертежа</t>
        </is>
      </c>
      <c r="H122" s="16" t="inlineStr"/>
      <c r="I122" s="16" t="inlineStr">
        <is>
          <t>Комплект</t>
        </is>
      </c>
      <c r="J122" s="4" t="inlineStr"/>
      <c r="K122" s="4" t="n">
        <v>1</v>
      </c>
      <c r="L122" s="16" t="n">
        <v>1</v>
      </c>
      <c r="M122" s="16" t="n">
        <v>1</v>
      </c>
      <c r="N122" s="17">
        <f>L122*M122</f>
        <v/>
      </c>
      <c r="O122" s="18" t="n">
        <v>0.002</v>
      </c>
      <c r="P122" s="19">
        <f>IFERROR(IF('Расходы и доставка'!$B$15="по весу",N122/'Расходы и доставка'!$B$19,IF('Расходы и доставка'!$B$15="по объему",O122/'Расходы и доставка'!$B$20,IF('Расходы и доставка'!$B$15="поровну на штуку",L122/'Расходы и доставка'!$B$21,T122/'Расходы и доставка'!$B$22))),0)</f>
        <v/>
      </c>
      <c r="Q122" s="17">
        <f>P122*'Расходы и доставка'!$B$13</f>
        <v/>
      </c>
      <c r="R122" s="20">
        <f>IFERROR(Q122/L122,0)</f>
        <v/>
      </c>
      <c r="S122" s="21" t="n">
        <v>6500</v>
      </c>
      <c r="T122" s="17">
        <f>L122*S122</f>
        <v/>
      </c>
      <c r="U122" s="17">
        <f>S122+R122</f>
        <v/>
      </c>
      <c r="V122" s="22">
        <f>IFERROR(R122/S122,"")</f>
        <v/>
      </c>
      <c r="W122" s="16" t="inlineStr"/>
      <c r="X122" s="4" t="inlineStr">
        <is>
          <t>Менеджерская</t>
        </is>
      </c>
      <c r="Y122" s="23" t="inlineStr"/>
    </row>
    <row r="123">
      <c r="A123" s="4" t="n">
        <v>119</v>
      </c>
      <c r="B123" s="5" t="inlineStr">
        <is>
          <t>5. Мелочь — ей добиваем контейнер до 25 тонн</t>
        </is>
      </c>
      <c r="C123" s="4" t="inlineStr">
        <is>
          <t>Ярус 3, ящики</t>
        </is>
      </c>
      <c r="D123" s="4" t="inlineStr">
        <is>
          <t>клапан штуцерный</t>
        </is>
      </c>
      <c r="E123" s="4" t="inlineStr">
        <is>
          <t>Ду15</t>
        </is>
      </c>
      <c r="F123" s="5" t="inlineStr">
        <is>
          <t>Клапан штуцерный проходной Ду 15 Ру 100</t>
        </is>
      </c>
      <c r="G123" s="4" t="inlineStr">
        <is>
          <t>522-01.498</t>
        </is>
      </c>
      <c r="H123" s="16" t="inlineStr"/>
      <c r="I123" s="16" t="inlineStr">
        <is>
          <t>Комплект</t>
        </is>
      </c>
      <c r="J123" s="4" t="inlineStr"/>
      <c r="K123" s="4" t="n">
        <v>2</v>
      </c>
      <c r="L123" s="16" t="n">
        <v>2</v>
      </c>
      <c r="M123" s="16" t="n">
        <v>1</v>
      </c>
      <c r="N123" s="17">
        <f>L123*M123</f>
        <v/>
      </c>
      <c r="O123" s="18" t="n">
        <v>0.003</v>
      </c>
      <c r="P123" s="19">
        <f>IFERROR(IF('Расходы и доставка'!$B$15="по весу",N123/'Расходы и доставка'!$B$19,IF('Расходы и доставка'!$B$15="по объему",O123/'Расходы и доставка'!$B$20,IF('Расходы и доставка'!$B$15="поровну на штуку",L123/'Расходы и доставка'!$B$21,T123/'Расходы и доставка'!$B$22))),0)</f>
        <v/>
      </c>
      <c r="Q123" s="17">
        <f>P123*'Расходы и доставка'!$B$13</f>
        <v/>
      </c>
      <c r="R123" s="20">
        <f>IFERROR(Q123/L123,0)</f>
        <v/>
      </c>
      <c r="S123" s="21" t="n">
        <v>6500</v>
      </c>
      <c r="T123" s="17">
        <f>L123*S123</f>
        <v/>
      </c>
      <c r="U123" s="17">
        <f>S123+R123</f>
        <v/>
      </c>
      <c r="V123" s="22">
        <f>IFERROR(R123/S123,"")</f>
        <v/>
      </c>
      <c r="W123" s="16" t="inlineStr"/>
      <c r="X123" s="4" t="inlineStr">
        <is>
          <t>Менеджерская</t>
        </is>
      </c>
      <c r="Y123" s="23" t="inlineStr"/>
    </row>
    <row r="124">
      <c r="A124" s="4" t="n">
        <v>120</v>
      </c>
      <c r="B124" s="5" t="inlineStr">
        <is>
          <t>5. Мелочь — ей добиваем контейнер до 25 тонн</t>
        </is>
      </c>
      <c r="C124" s="4" t="inlineStr">
        <is>
          <t>Ярус 3, ящики</t>
        </is>
      </c>
      <c r="D124" s="4" t="inlineStr">
        <is>
          <t>клапан штуцерный</t>
        </is>
      </c>
      <c r="E124" s="4" t="inlineStr">
        <is>
          <t>Ду15</t>
        </is>
      </c>
      <c r="F124" s="5" t="inlineStr">
        <is>
          <t>Клапан штуцерный проходной Ду 15 Ру 100</t>
        </is>
      </c>
      <c r="G124" s="4" t="inlineStr">
        <is>
          <t>521-01.470</t>
        </is>
      </c>
      <c r="H124" s="16" t="inlineStr"/>
      <c r="I124" s="16" t="inlineStr">
        <is>
          <t>Комплект</t>
        </is>
      </c>
      <c r="J124" s="4" t="inlineStr"/>
      <c r="K124" s="4" t="n">
        <v>1</v>
      </c>
      <c r="L124" s="16" t="n">
        <v>1</v>
      </c>
      <c r="M124" s="16" t="n">
        <v>1</v>
      </c>
      <c r="N124" s="17">
        <f>L124*M124</f>
        <v/>
      </c>
      <c r="O124" s="18" t="n">
        <v>0.002</v>
      </c>
      <c r="P124" s="19">
        <f>IFERROR(IF('Расходы и доставка'!$B$15="по весу",N124/'Расходы и доставка'!$B$19,IF('Расходы и доставка'!$B$15="по объему",O124/'Расходы и доставка'!$B$20,IF('Расходы и доставка'!$B$15="поровну на штуку",L124/'Расходы и доставка'!$B$21,T124/'Расходы и доставка'!$B$22))),0)</f>
        <v/>
      </c>
      <c r="Q124" s="17">
        <f>P124*'Расходы и доставка'!$B$13</f>
        <v/>
      </c>
      <c r="R124" s="20">
        <f>IFERROR(Q124/L124,0)</f>
        <v/>
      </c>
      <c r="S124" s="21" t="n">
        <v>6500</v>
      </c>
      <c r="T124" s="17">
        <f>L124*S124</f>
        <v/>
      </c>
      <c r="U124" s="17">
        <f>S124+R124</f>
        <v/>
      </c>
      <c r="V124" s="22">
        <f>IFERROR(R124/S124,"")</f>
        <v/>
      </c>
      <c r="W124" s="16" t="inlineStr"/>
      <c r="X124" s="4" t="inlineStr">
        <is>
          <t>Менеджерская</t>
        </is>
      </c>
      <c r="Y124" s="23" t="inlineStr"/>
    </row>
    <row r="125">
      <c r="A125" s="4" t="n">
        <v>121</v>
      </c>
      <c r="B125" s="5" t="inlineStr">
        <is>
          <t>5. Мелочь — ей добиваем контейнер до 25 тонн</t>
        </is>
      </c>
      <c r="C125" s="4" t="inlineStr">
        <is>
          <t>Ярус 3, ящики</t>
        </is>
      </c>
      <c r="D125" s="4" t="inlineStr">
        <is>
          <t>клапан штуцерный</t>
        </is>
      </c>
      <c r="E125" s="4" t="inlineStr">
        <is>
          <t>Ду20</t>
        </is>
      </c>
      <c r="F125" s="5" t="inlineStr">
        <is>
          <t>Клапан штуцерный угловой Ду20 Ру160</t>
        </is>
      </c>
      <c r="G125" s="4" t="inlineStr">
        <is>
          <t>521-03.479</t>
        </is>
      </c>
      <c r="H125" s="16" t="inlineStr"/>
      <c r="I125" s="16" t="inlineStr">
        <is>
          <t>Комплект</t>
        </is>
      </c>
      <c r="J125" s="4" t="inlineStr"/>
      <c r="K125" s="4" t="n">
        <v>1</v>
      </c>
      <c r="L125" s="16" t="n">
        <v>1</v>
      </c>
      <c r="M125" s="16" t="n">
        <v>1.5</v>
      </c>
      <c r="N125" s="17">
        <f>L125*M125</f>
        <v/>
      </c>
      <c r="O125" s="18" t="n">
        <v>0.002</v>
      </c>
      <c r="P125" s="19">
        <f>IFERROR(IF('Расходы и доставка'!$B$15="по весу",N125/'Расходы и доставка'!$B$19,IF('Расходы и доставка'!$B$15="по объему",O125/'Расходы и доставка'!$B$20,IF('Расходы и доставка'!$B$15="поровну на штуку",L125/'Расходы и доставка'!$B$21,T125/'Расходы и доставка'!$B$22))),0)</f>
        <v/>
      </c>
      <c r="Q125" s="17">
        <f>P125*'Расходы и доставка'!$B$13</f>
        <v/>
      </c>
      <c r="R125" s="20">
        <f>IFERROR(Q125/L125,0)</f>
        <v/>
      </c>
      <c r="S125" s="21" t="n">
        <v>9000</v>
      </c>
      <c r="T125" s="17">
        <f>L125*S125</f>
        <v/>
      </c>
      <c r="U125" s="17">
        <f>S125+R125</f>
        <v/>
      </c>
      <c r="V125" s="22">
        <f>IFERROR(R125/S125,"")</f>
        <v/>
      </c>
      <c r="W125" s="16" t="inlineStr"/>
      <c r="X125" s="4" t="inlineStr">
        <is>
          <t>Склад 2</t>
        </is>
      </c>
      <c r="Y125" s="23" t="inlineStr"/>
    </row>
    <row r="126">
      <c r="A126" s="4" t="n">
        <v>122</v>
      </c>
      <c r="B126" s="5" t="inlineStr">
        <is>
          <t>5. Мелочь — ей добиваем контейнер до 25 тонн</t>
        </is>
      </c>
      <c r="C126" s="4" t="inlineStr">
        <is>
          <t>Ярус 3, ящики</t>
        </is>
      </c>
      <c r="D126" s="4" t="inlineStr">
        <is>
          <t>кран</t>
        </is>
      </c>
      <c r="E126" s="4" t="inlineStr">
        <is>
          <t>Ду20</t>
        </is>
      </c>
      <c r="F126" s="5" t="inlineStr">
        <is>
          <t>Кран штуцерный спусковой самозапорный проходной Ду20 Ру10</t>
        </is>
      </c>
      <c r="G126" s="4" t="inlineStr">
        <is>
          <t>528-3М129</t>
        </is>
      </c>
      <c r="H126" s="16" t="inlineStr"/>
      <c r="I126" s="16" t="inlineStr">
        <is>
          <t>Комплект</t>
        </is>
      </c>
      <c r="J126" s="4" t="inlineStr"/>
      <c r="K126" s="4" t="n">
        <v>36</v>
      </c>
      <c r="L126" s="16" t="n">
        <v>36</v>
      </c>
      <c r="M126" s="16" t="n">
        <v>1.5</v>
      </c>
      <c r="N126" s="17">
        <f>L126*M126</f>
        <v/>
      </c>
      <c r="O126" s="18" t="n">
        <v>0.07199999999999999</v>
      </c>
      <c r="P126" s="19">
        <f>IFERROR(IF('Расходы и доставка'!$B$15="по весу",N126/'Расходы и доставка'!$B$19,IF('Расходы и доставка'!$B$15="по объему",O126/'Расходы и доставка'!$B$20,IF('Расходы и доставка'!$B$15="поровну на штуку",L126/'Расходы и доставка'!$B$21,T126/'Расходы и доставка'!$B$22))),0)</f>
        <v/>
      </c>
      <c r="Q126" s="17">
        <f>P126*'Расходы и доставка'!$B$13</f>
        <v/>
      </c>
      <c r="R126" s="20">
        <f>IFERROR(Q126/L126,0)</f>
        <v/>
      </c>
      <c r="S126" s="21" t="n">
        <v>9000</v>
      </c>
      <c r="T126" s="17">
        <f>L126*S126</f>
        <v/>
      </c>
      <c r="U126" s="17">
        <f>S126+R126</f>
        <v/>
      </c>
      <c r="V126" s="22">
        <f>IFERROR(R126/S126,"")</f>
        <v/>
      </c>
      <c r="W126" s="16" t="inlineStr"/>
      <c r="X126" s="4" t="inlineStr">
        <is>
          <t>Склад 2</t>
        </is>
      </c>
      <c r="Y126" s="23" t="inlineStr"/>
    </row>
    <row r="127">
      <c r="A127" s="4" t="n">
        <v>123</v>
      </c>
      <c r="B127" s="5" t="inlineStr">
        <is>
          <t>5. Мелочь — ей добиваем контейнер до 25 тонн</t>
        </is>
      </c>
      <c r="C127" s="4" t="inlineStr">
        <is>
          <t>Ярус 3, ящики</t>
        </is>
      </c>
      <c r="D127" s="4" t="inlineStr">
        <is>
          <t>кран</t>
        </is>
      </c>
      <c r="E127" s="4" t="inlineStr">
        <is>
          <t>Ду20</t>
        </is>
      </c>
      <c r="F127" s="5" t="inlineStr">
        <is>
          <t>Кран трехходовой штуцерный Ду20 Ру16</t>
        </is>
      </c>
      <c r="G127" s="4" t="inlineStr">
        <is>
          <t>536-35.695</t>
        </is>
      </c>
      <c r="H127" s="16" t="inlineStr"/>
      <c r="I127" s="16" t="inlineStr">
        <is>
          <t>Комплект</t>
        </is>
      </c>
      <c r="J127" s="4" t="inlineStr"/>
      <c r="K127" s="4" t="n">
        <v>7</v>
      </c>
      <c r="L127" s="16" t="n">
        <v>7</v>
      </c>
      <c r="M127" s="16" t="n">
        <v>1.5</v>
      </c>
      <c r="N127" s="17">
        <f>L127*M127</f>
        <v/>
      </c>
      <c r="O127" s="18" t="n">
        <v>0.014</v>
      </c>
      <c r="P127" s="19">
        <f>IFERROR(IF('Расходы и доставка'!$B$15="по весу",N127/'Расходы и доставка'!$B$19,IF('Расходы и доставка'!$B$15="по объему",O127/'Расходы и доставка'!$B$20,IF('Расходы и доставка'!$B$15="поровну на штуку",L127/'Расходы и доставка'!$B$21,T127/'Расходы и доставка'!$B$22))),0)</f>
        <v/>
      </c>
      <c r="Q127" s="17">
        <f>P127*'Расходы и доставка'!$B$13</f>
        <v/>
      </c>
      <c r="R127" s="20">
        <f>IFERROR(Q127/L127,0)</f>
        <v/>
      </c>
      <c r="S127" s="21" t="n">
        <v>9000</v>
      </c>
      <c r="T127" s="17">
        <f>L127*S127</f>
        <v/>
      </c>
      <c r="U127" s="17">
        <f>S127+R127</f>
        <v/>
      </c>
      <c r="V127" s="22">
        <f>IFERROR(R127/S127,"")</f>
        <v/>
      </c>
      <c r="W127" s="16" t="inlineStr"/>
      <c r="X127" s="4" t="inlineStr">
        <is>
          <t>Склад 2</t>
        </is>
      </c>
      <c r="Y127" s="23" t="inlineStr"/>
    </row>
    <row r="128">
      <c r="A128" s="4" t="n">
        <v>124</v>
      </c>
      <c r="B128" s="5" t="inlineStr">
        <is>
          <t>5. Мелочь — ей добиваем контейнер до 25 тонн</t>
        </is>
      </c>
      <c r="C128" s="4" t="inlineStr">
        <is>
          <t>Ярус 3, ящики</t>
        </is>
      </c>
      <c r="D128" s="4" t="inlineStr">
        <is>
          <t>клапан штуцерный</t>
        </is>
      </c>
      <c r="E128" s="4" t="inlineStr">
        <is>
          <t>Ду15</t>
        </is>
      </c>
      <c r="F128" s="5" t="inlineStr">
        <is>
          <t>Клапан штуцерный угловой Ду15Ру40</t>
        </is>
      </c>
      <c r="G128" s="4" t="inlineStr">
        <is>
          <t>521-01.465-02</t>
        </is>
      </c>
      <c r="H128" s="16" t="inlineStr"/>
      <c r="I128" s="16" t="inlineStr">
        <is>
          <t>Комплект</t>
        </is>
      </c>
      <c r="J128" s="4" t="inlineStr"/>
      <c r="K128" s="4" t="n">
        <v>2</v>
      </c>
      <c r="L128" s="16" t="n">
        <v>2</v>
      </c>
      <c r="M128" s="16" t="n">
        <v>1</v>
      </c>
      <c r="N128" s="17">
        <f>L128*M128</f>
        <v/>
      </c>
      <c r="O128" s="18" t="n">
        <v>0.003</v>
      </c>
      <c r="P128" s="19">
        <f>IFERROR(IF('Расходы и доставка'!$B$15="по весу",N128/'Расходы и доставка'!$B$19,IF('Расходы и доставка'!$B$15="по объему",O128/'Расходы и доставка'!$B$20,IF('Расходы и доставка'!$B$15="поровну на штуку",L128/'Расходы и доставка'!$B$21,T128/'Расходы и доставка'!$B$22))),0)</f>
        <v/>
      </c>
      <c r="Q128" s="17">
        <f>P128*'Расходы и доставка'!$B$13</f>
        <v/>
      </c>
      <c r="R128" s="20">
        <f>IFERROR(Q128/L128,0)</f>
        <v/>
      </c>
      <c r="S128" s="21" t="n">
        <v>6000</v>
      </c>
      <c r="T128" s="17">
        <f>L128*S128</f>
        <v/>
      </c>
      <c r="U128" s="17">
        <f>S128+R128</f>
        <v/>
      </c>
      <c r="V128" s="22">
        <f>IFERROR(R128/S128,"")</f>
        <v/>
      </c>
      <c r="W128" s="16" t="inlineStr"/>
      <c r="X128" s="4" t="inlineStr">
        <is>
          <t>Менеджерская</t>
        </is>
      </c>
      <c r="Y128" s="23" t="inlineStr"/>
    </row>
    <row r="129">
      <c r="A129" s="4" t="n">
        <v>125</v>
      </c>
      <c r="B129" s="5" t="inlineStr">
        <is>
          <t>5. Мелочь — ей добиваем контейнер до 25 тонн</t>
        </is>
      </c>
      <c r="C129" s="4" t="inlineStr">
        <is>
          <t>Ярус 3, ящики</t>
        </is>
      </c>
      <c r="D129" s="4" t="inlineStr">
        <is>
          <t>клапан штуцерный</t>
        </is>
      </c>
      <c r="E129" s="4" t="inlineStr">
        <is>
          <t>Ду15</t>
        </is>
      </c>
      <c r="F129" s="5" t="inlineStr">
        <is>
          <t>Клапан штуцерный угловой Ду15Ру100</t>
        </is>
      </c>
      <c r="G129" s="4" t="inlineStr">
        <is>
          <t>522-01.500-04</t>
        </is>
      </c>
      <c r="H129" s="16" t="inlineStr"/>
      <c r="I129" s="16" t="inlineStr">
        <is>
          <t>Комплект</t>
        </is>
      </c>
      <c r="J129" s="4" t="inlineStr"/>
      <c r="K129" s="4" t="n">
        <v>3</v>
      </c>
      <c r="L129" s="16" t="n">
        <v>3</v>
      </c>
      <c r="M129" s="16" t="n">
        <v>1</v>
      </c>
      <c r="N129" s="17">
        <f>L129*M129</f>
        <v/>
      </c>
      <c r="O129" s="18" t="n">
        <v>0.005</v>
      </c>
      <c r="P129" s="19">
        <f>IFERROR(IF('Расходы и доставка'!$B$15="по весу",N129/'Расходы и доставка'!$B$19,IF('Расходы и доставка'!$B$15="по объему",O129/'Расходы и доставка'!$B$20,IF('Расходы и доставка'!$B$15="поровну на штуку",L129/'Расходы и доставка'!$B$21,T129/'Расходы и доставка'!$B$22))),0)</f>
        <v/>
      </c>
      <c r="Q129" s="17">
        <f>P129*'Расходы и доставка'!$B$13</f>
        <v/>
      </c>
      <c r="R129" s="20">
        <f>IFERROR(Q129/L129,0)</f>
        <v/>
      </c>
      <c r="S129" s="21" t="n">
        <v>6000</v>
      </c>
      <c r="T129" s="17">
        <f>L129*S129</f>
        <v/>
      </c>
      <c r="U129" s="17">
        <f>S129+R129</f>
        <v/>
      </c>
      <c r="V129" s="22">
        <f>IFERROR(R129/S129,"")</f>
        <v/>
      </c>
      <c r="W129" s="16" t="inlineStr"/>
      <c r="X129" s="4" t="inlineStr">
        <is>
          <t>Менеджерская</t>
        </is>
      </c>
      <c r="Y129" s="23" t="inlineStr"/>
    </row>
    <row r="130">
      <c r="A130" s="4" t="n">
        <v>126</v>
      </c>
      <c r="B130" s="5" t="inlineStr">
        <is>
          <t>5. Мелочь — ей добиваем контейнер до 25 тонн</t>
        </is>
      </c>
      <c r="C130" s="4" t="inlineStr">
        <is>
          <t>Ярус 3, ящики</t>
        </is>
      </c>
      <c r="D130" s="4" t="inlineStr">
        <is>
          <t>клапан штуцерный</t>
        </is>
      </c>
      <c r="E130" s="4" t="inlineStr">
        <is>
          <t>Ду15</t>
        </is>
      </c>
      <c r="F130" s="5" t="inlineStr">
        <is>
          <t>Клапан штуцерный угловой Ду15Ру100</t>
        </is>
      </c>
      <c r="G130" s="4" t="inlineStr">
        <is>
          <t>521-01.464-01</t>
        </is>
      </c>
      <c r="H130" s="16" t="inlineStr"/>
      <c r="I130" s="16" t="inlineStr">
        <is>
          <t>Комплект</t>
        </is>
      </c>
      <c r="J130" s="4" t="inlineStr"/>
      <c r="K130" s="4" t="n">
        <v>6</v>
      </c>
      <c r="L130" s="16" t="n">
        <v>6</v>
      </c>
      <c r="M130" s="16" t="n">
        <v>1</v>
      </c>
      <c r="N130" s="17">
        <f>L130*M130</f>
        <v/>
      </c>
      <c r="O130" s="18" t="n">
        <v>0.008999999999999999</v>
      </c>
      <c r="P130" s="19">
        <f>IFERROR(IF('Расходы и доставка'!$B$15="по весу",N130/'Расходы и доставка'!$B$19,IF('Расходы и доставка'!$B$15="по объему",O130/'Расходы и доставка'!$B$20,IF('Расходы и доставка'!$B$15="поровну на штуку",L130/'Расходы и доставка'!$B$21,T130/'Расходы и доставка'!$B$22))),0)</f>
        <v/>
      </c>
      <c r="Q130" s="17">
        <f>P130*'Расходы и доставка'!$B$13</f>
        <v/>
      </c>
      <c r="R130" s="20">
        <f>IFERROR(Q130/L130,0)</f>
        <v/>
      </c>
      <c r="S130" s="21" t="n">
        <v>6000</v>
      </c>
      <c r="T130" s="17">
        <f>L130*S130</f>
        <v/>
      </c>
      <c r="U130" s="17">
        <f>S130+R130</f>
        <v/>
      </c>
      <c r="V130" s="22">
        <f>IFERROR(R130/S130,"")</f>
        <v/>
      </c>
      <c r="W130" s="16" t="inlineStr"/>
      <c r="X130" s="4" t="inlineStr">
        <is>
          <t>Менеджерская</t>
        </is>
      </c>
      <c r="Y130" s="23" t="inlineStr"/>
    </row>
    <row r="131">
      <c r="A131" s="4" t="n">
        <v>127</v>
      </c>
      <c r="B131" s="5" t="inlineStr">
        <is>
          <t>5. Мелочь — ей добиваем контейнер до 25 тонн</t>
        </is>
      </c>
      <c r="C131" s="4" t="inlineStr">
        <is>
          <t>Ярус 3, ящики</t>
        </is>
      </c>
      <c r="D131" s="4" t="inlineStr">
        <is>
          <t>клапан штуцерный</t>
        </is>
      </c>
      <c r="E131" s="4" t="inlineStr">
        <is>
          <t>Ду15</t>
        </is>
      </c>
      <c r="F131" s="5" t="inlineStr">
        <is>
          <t>Клапан штуцерный угловой Ду15Ру100</t>
        </is>
      </c>
      <c r="G131" s="4" t="inlineStr">
        <is>
          <t>521-01.468</t>
        </is>
      </c>
      <c r="H131" s="16" t="inlineStr"/>
      <c r="I131" s="16" t="inlineStr">
        <is>
          <t>Комплект</t>
        </is>
      </c>
      <c r="J131" s="4" t="inlineStr"/>
      <c r="K131" s="4" t="n">
        <v>7</v>
      </c>
      <c r="L131" s="16" t="n">
        <v>7</v>
      </c>
      <c r="M131" s="16" t="n">
        <v>1</v>
      </c>
      <c r="N131" s="17">
        <f>L131*M131</f>
        <v/>
      </c>
      <c r="O131" s="18" t="n">
        <v>0.011</v>
      </c>
      <c r="P131" s="19">
        <f>IFERROR(IF('Расходы и доставка'!$B$15="по весу",N131/'Расходы и доставка'!$B$19,IF('Расходы и доставка'!$B$15="по объему",O131/'Расходы и доставка'!$B$20,IF('Расходы и доставка'!$B$15="поровну на штуку",L131/'Расходы и доставка'!$B$21,T131/'Расходы и доставка'!$B$22))),0)</f>
        <v/>
      </c>
      <c r="Q131" s="17">
        <f>P131*'Расходы и доставка'!$B$13</f>
        <v/>
      </c>
      <c r="R131" s="20">
        <f>IFERROR(Q131/L131,0)</f>
        <v/>
      </c>
      <c r="S131" s="21" t="n">
        <v>6000</v>
      </c>
      <c r="T131" s="17">
        <f>L131*S131</f>
        <v/>
      </c>
      <c r="U131" s="17">
        <f>S131+R131</f>
        <v/>
      </c>
      <c r="V131" s="22">
        <f>IFERROR(R131/S131,"")</f>
        <v/>
      </c>
      <c r="W131" s="16" t="inlineStr"/>
      <c r="X131" s="4" t="inlineStr">
        <is>
          <t>Менеджерская</t>
        </is>
      </c>
      <c r="Y131" s="23" t="inlineStr"/>
    </row>
    <row r="132">
      <c r="A132" s="4" t="n">
        <v>128</v>
      </c>
      <c r="B132" s="5" t="inlineStr">
        <is>
          <t>5. Мелочь — ей добиваем контейнер до 25 тонн</t>
        </is>
      </c>
      <c r="C132" s="4" t="inlineStr">
        <is>
          <t>Ярус 3, ящики</t>
        </is>
      </c>
      <c r="D132" s="4" t="inlineStr">
        <is>
          <t>клапан штуцерный</t>
        </is>
      </c>
      <c r="E132" s="4" t="inlineStr">
        <is>
          <t>Ду15</t>
        </is>
      </c>
      <c r="F132" s="5" t="inlineStr">
        <is>
          <t>Клапан штуцерный угловой Ду15 Ру100</t>
        </is>
      </c>
      <c r="G132" s="4" t="inlineStr">
        <is>
          <t>521-01.468-05</t>
        </is>
      </c>
      <c r="H132" s="16" t="inlineStr"/>
      <c r="I132" s="16" t="inlineStr">
        <is>
          <t>Комплект</t>
        </is>
      </c>
      <c r="J132" s="4" t="inlineStr"/>
      <c r="K132" s="4" t="n">
        <v>15</v>
      </c>
      <c r="L132" s="16" t="n">
        <v>15</v>
      </c>
      <c r="M132" s="16" t="n">
        <v>1</v>
      </c>
      <c r="N132" s="17">
        <f>L132*M132</f>
        <v/>
      </c>
      <c r="O132" s="18" t="n">
        <v>0.022</v>
      </c>
      <c r="P132" s="19">
        <f>IFERROR(IF('Расходы и доставка'!$B$15="по весу",N132/'Расходы и доставка'!$B$19,IF('Расходы и доставка'!$B$15="по объему",O132/'Расходы и доставка'!$B$20,IF('Расходы и доставка'!$B$15="поровну на штуку",L132/'Расходы и доставка'!$B$21,T132/'Расходы и доставка'!$B$22))),0)</f>
        <v/>
      </c>
      <c r="Q132" s="17">
        <f>P132*'Расходы и доставка'!$B$13</f>
        <v/>
      </c>
      <c r="R132" s="20">
        <f>IFERROR(Q132/L132,0)</f>
        <v/>
      </c>
      <c r="S132" s="21" t="n">
        <v>6000</v>
      </c>
      <c r="T132" s="17">
        <f>L132*S132</f>
        <v/>
      </c>
      <c r="U132" s="17">
        <f>S132+R132</f>
        <v/>
      </c>
      <c r="V132" s="22">
        <f>IFERROR(R132/S132,"")</f>
        <v/>
      </c>
      <c r="W132" s="16" t="inlineStr"/>
      <c r="X132" s="4" t="inlineStr">
        <is>
          <t>Менеджерская</t>
        </is>
      </c>
      <c r="Y132" s="23" t="inlineStr"/>
    </row>
    <row r="133">
      <c r="A133" s="4" t="n">
        <v>129</v>
      </c>
      <c r="B133" s="5" t="inlineStr">
        <is>
          <t>5. Мелочь — ей добиваем контейнер до 25 тонн</t>
        </is>
      </c>
      <c r="C133" s="4" t="inlineStr">
        <is>
          <t>Ярус 3, ящики</t>
        </is>
      </c>
      <c r="D133" s="4" t="inlineStr">
        <is>
          <t>клапан штуцерный</t>
        </is>
      </c>
      <c r="E133" s="4" t="inlineStr">
        <is>
          <t>Ду15</t>
        </is>
      </c>
      <c r="F133" s="5" t="inlineStr">
        <is>
          <t>Клапан штуцерный угловой Ду15 Ру100</t>
        </is>
      </c>
      <c r="G133" s="4" t="inlineStr">
        <is>
          <t>521-35.3362</t>
        </is>
      </c>
      <c r="H133" s="16" t="inlineStr"/>
      <c r="I133" s="16" t="inlineStr">
        <is>
          <t>Комплект</t>
        </is>
      </c>
      <c r="J133" s="4" t="inlineStr"/>
      <c r="K133" s="4" t="n">
        <v>2</v>
      </c>
      <c r="L133" s="16" t="n">
        <v>2</v>
      </c>
      <c r="M133" s="16" t="n">
        <v>1</v>
      </c>
      <c r="N133" s="17">
        <f>L133*M133</f>
        <v/>
      </c>
      <c r="O133" s="18" t="n">
        <v>0.003</v>
      </c>
      <c r="P133" s="19">
        <f>IFERROR(IF('Расходы и доставка'!$B$15="по весу",N133/'Расходы и доставка'!$B$19,IF('Расходы и доставка'!$B$15="по объему",O133/'Расходы и доставка'!$B$20,IF('Расходы и доставка'!$B$15="поровну на штуку",L133/'Расходы и доставка'!$B$21,T133/'Расходы и доставка'!$B$22))),0)</f>
        <v/>
      </c>
      <c r="Q133" s="17">
        <f>P133*'Расходы и доставка'!$B$13</f>
        <v/>
      </c>
      <c r="R133" s="20">
        <f>IFERROR(Q133/L133,0)</f>
        <v/>
      </c>
      <c r="S133" s="21" t="n">
        <v>6000</v>
      </c>
      <c r="T133" s="17">
        <f>L133*S133</f>
        <v/>
      </c>
      <c r="U133" s="17">
        <f>S133+R133</f>
        <v/>
      </c>
      <c r="V133" s="22">
        <f>IFERROR(R133/S133,"")</f>
        <v/>
      </c>
      <c r="W133" s="16" t="inlineStr"/>
      <c r="X133" s="4" t="inlineStr">
        <is>
          <t>Менеджерская</t>
        </is>
      </c>
      <c r="Y133" s="23" t="inlineStr"/>
    </row>
    <row r="134">
      <c r="A134" s="4" t="n">
        <v>130</v>
      </c>
      <c r="B134" s="5" t="inlineStr">
        <is>
          <t>5. Мелочь — ей добиваем контейнер до 25 тонн</t>
        </is>
      </c>
      <c r="C134" s="4" t="inlineStr">
        <is>
          <t>Ярус 3, ящики</t>
        </is>
      </c>
      <c r="D134" s="4" t="inlineStr">
        <is>
          <t>клапан штуцерный</t>
        </is>
      </c>
      <c r="E134" s="4" t="inlineStr">
        <is>
          <t>Ду15</t>
        </is>
      </c>
      <c r="F134" s="5" t="inlineStr">
        <is>
          <t>Клапан штуцерный угловой Ду15 Ру100</t>
        </is>
      </c>
      <c r="G134" s="4" t="inlineStr">
        <is>
          <t>521-01.464-02</t>
        </is>
      </c>
      <c r="H134" s="16" t="inlineStr"/>
      <c r="I134" s="16" t="inlineStr">
        <is>
          <t>Комплект</t>
        </is>
      </c>
      <c r="J134" s="4" t="inlineStr"/>
      <c r="K134" s="4" t="n">
        <v>1</v>
      </c>
      <c r="L134" s="16" t="n">
        <v>1</v>
      </c>
      <c r="M134" s="16" t="n">
        <v>1</v>
      </c>
      <c r="N134" s="17">
        <f>L134*M134</f>
        <v/>
      </c>
      <c r="O134" s="18" t="n">
        <v>0.002</v>
      </c>
      <c r="P134" s="19">
        <f>IFERROR(IF('Расходы и доставка'!$B$15="по весу",N134/'Расходы и доставка'!$B$19,IF('Расходы и доставка'!$B$15="по объему",O134/'Расходы и доставка'!$B$20,IF('Расходы и доставка'!$B$15="поровну на штуку",L134/'Расходы и доставка'!$B$21,T134/'Расходы и доставка'!$B$22))),0)</f>
        <v/>
      </c>
      <c r="Q134" s="17">
        <f>P134*'Расходы и доставка'!$B$13</f>
        <v/>
      </c>
      <c r="R134" s="20">
        <f>IFERROR(Q134/L134,0)</f>
        <v/>
      </c>
      <c r="S134" s="21" t="n">
        <v>6000</v>
      </c>
      <c r="T134" s="17">
        <f>L134*S134</f>
        <v/>
      </c>
      <c r="U134" s="17">
        <f>S134+R134</f>
        <v/>
      </c>
      <c r="V134" s="22">
        <f>IFERROR(R134/S134,"")</f>
        <v/>
      </c>
      <c r="W134" s="16" t="inlineStr"/>
      <c r="X134" s="4" t="inlineStr">
        <is>
          <t>Менеджерская</t>
        </is>
      </c>
      <c r="Y134" s="23" t="inlineStr"/>
    </row>
    <row r="135">
      <c r="A135" s="4" t="n">
        <v>131</v>
      </c>
      <c r="B135" s="5" t="inlineStr">
        <is>
          <t>5. Мелочь — ей добиваем контейнер до 25 тонн</t>
        </is>
      </c>
      <c r="C135" s="4" t="inlineStr">
        <is>
          <t>Ярус 3, ящики</t>
        </is>
      </c>
      <c r="D135" s="4" t="inlineStr">
        <is>
          <t>клапан штуцерный</t>
        </is>
      </c>
      <c r="E135" s="4" t="inlineStr">
        <is>
          <t>Ду15</t>
        </is>
      </c>
      <c r="F135" s="5" t="inlineStr">
        <is>
          <t>Клапан штуцерный угловой Ду15 Ру100</t>
        </is>
      </c>
      <c r="G135" s="4" t="inlineStr">
        <is>
          <t>522-01.500-05</t>
        </is>
      </c>
      <c r="H135" s="16" t="inlineStr"/>
      <c r="I135" s="16" t="inlineStr">
        <is>
          <t>Комплект</t>
        </is>
      </c>
      <c r="J135" s="4" t="inlineStr"/>
      <c r="K135" s="4" t="n">
        <v>3</v>
      </c>
      <c r="L135" s="16" t="n">
        <v>3</v>
      </c>
      <c r="M135" s="16" t="n">
        <v>1</v>
      </c>
      <c r="N135" s="17">
        <f>L135*M135</f>
        <v/>
      </c>
      <c r="O135" s="18" t="n">
        <v>0.005</v>
      </c>
      <c r="P135" s="19">
        <f>IFERROR(IF('Расходы и доставка'!$B$15="по весу",N135/'Расходы и доставка'!$B$19,IF('Расходы и доставка'!$B$15="по объему",O135/'Расходы и доставка'!$B$20,IF('Расходы и доставка'!$B$15="поровну на штуку",L135/'Расходы и доставка'!$B$21,T135/'Расходы и доставка'!$B$22))),0)</f>
        <v/>
      </c>
      <c r="Q135" s="17">
        <f>P135*'Расходы и доставка'!$B$13</f>
        <v/>
      </c>
      <c r="R135" s="20">
        <f>IFERROR(Q135/L135,0)</f>
        <v/>
      </c>
      <c r="S135" s="21" t="n">
        <v>6000</v>
      </c>
      <c r="T135" s="17">
        <f>L135*S135</f>
        <v/>
      </c>
      <c r="U135" s="17">
        <f>S135+R135</f>
        <v/>
      </c>
      <c r="V135" s="22">
        <f>IFERROR(R135/S135,"")</f>
        <v/>
      </c>
      <c r="W135" s="16" t="inlineStr"/>
      <c r="X135" s="4" t="inlineStr">
        <is>
          <t>Менеджерская</t>
        </is>
      </c>
      <c r="Y135" s="23" t="inlineStr"/>
    </row>
    <row r="136">
      <c r="A136" s="4" t="n">
        <v>132</v>
      </c>
      <c r="B136" s="5" t="inlineStr">
        <is>
          <t>5. Мелочь — ей добиваем контейнер до 25 тонн</t>
        </is>
      </c>
      <c r="C136" s="4" t="inlineStr">
        <is>
          <t>Ярус 3, ящики</t>
        </is>
      </c>
      <c r="D136" s="4" t="inlineStr">
        <is>
          <t>клапан штуцерный</t>
        </is>
      </c>
      <c r="E136" s="4" t="inlineStr">
        <is>
          <t>Ду15</t>
        </is>
      </c>
      <c r="F136" s="5" t="inlineStr">
        <is>
          <t>Клапан штуцерный угловой Ду15 Ру100</t>
        </is>
      </c>
      <c r="G136" s="4" t="inlineStr">
        <is>
          <t>522-01.500-04</t>
        </is>
      </c>
      <c r="H136" s="16" t="inlineStr"/>
      <c r="I136" s="16" t="inlineStr">
        <is>
          <t>Комплект</t>
        </is>
      </c>
      <c r="J136" s="4" t="inlineStr"/>
      <c r="K136" s="4" t="n">
        <v>3</v>
      </c>
      <c r="L136" s="16" t="n">
        <v>3</v>
      </c>
      <c r="M136" s="16" t="n">
        <v>1</v>
      </c>
      <c r="N136" s="17">
        <f>L136*M136</f>
        <v/>
      </c>
      <c r="O136" s="18" t="n">
        <v>0.005</v>
      </c>
      <c r="P136" s="19">
        <f>IFERROR(IF('Расходы и доставка'!$B$15="по весу",N136/'Расходы и доставка'!$B$19,IF('Расходы и доставка'!$B$15="по объему",O136/'Расходы и доставка'!$B$20,IF('Расходы и доставка'!$B$15="поровну на штуку",L136/'Расходы и доставка'!$B$21,T136/'Расходы и доставка'!$B$22))),0)</f>
        <v/>
      </c>
      <c r="Q136" s="17">
        <f>P136*'Расходы и доставка'!$B$13</f>
        <v/>
      </c>
      <c r="R136" s="20">
        <f>IFERROR(Q136/L136,0)</f>
        <v/>
      </c>
      <c r="S136" s="21" t="n">
        <v>6000</v>
      </c>
      <c r="T136" s="17">
        <f>L136*S136</f>
        <v/>
      </c>
      <c r="U136" s="17">
        <f>S136+R136</f>
        <v/>
      </c>
      <c r="V136" s="22">
        <f>IFERROR(R136/S136,"")</f>
        <v/>
      </c>
      <c r="W136" s="16" t="inlineStr"/>
      <c r="X136" s="4" t="inlineStr">
        <is>
          <t>Менеджерская</t>
        </is>
      </c>
      <c r="Y136" s="23" t="inlineStr"/>
    </row>
    <row r="137">
      <c r="A137" s="4" t="n">
        <v>133</v>
      </c>
      <c r="B137" s="5" t="inlineStr">
        <is>
          <t>5. Мелочь — ей добиваем контейнер до 25 тонн</t>
        </is>
      </c>
      <c r="C137" s="4" t="inlineStr">
        <is>
          <t>Ярус 3, ящики</t>
        </is>
      </c>
      <c r="D137" s="4" t="inlineStr">
        <is>
          <t>клапан штуцерный</t>
        </is>
      </c>
      <c r="E137" s="4" t="inlineStr">
        <is>
          <t>Ду15</t>
        </is>
      </c>
      <c r="F137" s="5" t="inlineStr">
        <is>
          <t>Клапан штуцерный угловой Ду15 Ру100</t>
        </is>
      </c>
      <c r="G137" s="4" t="inlineStr">
        <is>
          <t>521-01.468-01</t>
        </is>
      </c>
      <c r="H137" s="16" t="inlineStr"/>
      <c r="I137" s="16" t="inlineStr">
        <is>
          <t>Комплект</t>
        </is>
      </c>
      <c r="J137" s="4" t="inlineStr"/>
      <c r="K137" s="4" t="n">
        <v>1</v>
      </c>
      <c r="L137" s="16" t="n">
        <v>1</v>
      </c>
      <c r="M137" s="16" t="n">
        <v>1</v>
      </c>
      <c r="N137" s="17">
        <f>L137*M137</f>
        <v/>
      </c>
      <c r="O137" s="18" t="n">
        <v>0.002</v>
      </c>
      <c r="P137" s="19">
        <f>IFERROR(IF('Расходы и доставка'!$B$15="по весу",N137/'Расходы и доставка'!$B$19,IF('Расходы и доставка'!$B$15="по объему",O137/'Расходы и доставка'!$B$20,IF('Расходы и доставка'!$B$15="поровну на штуку",L137/'Расходы и доставка'!$B$21,T137/'Расходы и доставка'!$B$22))),0)</f>
        <v/>
      </c>
      <c r="Q137" s="17">
        <f>P137*'Расходы и доставка'!$B$13</f>
        <v/>
      </c>
      <c r="R137" s="20">
        <f>IFERROR(Q137/L137,0)</f>
        <v/>
      </c>
      <c r="S137" s="21" t="n">
        <v>6000</v>
      </c>
      <c r="T137" s="17">
        <f>L137*S137</f>
        <v/>
      </c>
      <c r="U137" s="17">
        <f>S137+R137</f>
        <v/>
      </c>
      <c r="V137" s="22">
        <f>IFERROR(R137/S137,"")</f>
        <v/>
      </c>
      <c r="W137" s="16" t="inlineStr"/>
      <c r="X137" s="4" t="inlineStr">
        <is>
          <t>Менеджерская</t>
        </is>
      </c>
      <c r="Y137" s="23" t="inlineStr"/>
    </row>
    <row r="138">
      <c r="A138" s="4" t="n">
        <v>134</v>
      </c>
      <c r="B138" s="5" t="inlineStr">
        <is>
          <t>5. Мелочь — ей добиваем контейнер до 25 тонн</t>
        </is>
      </c>
      <c r="C138" s="4" t="inlineStr">
        <is>
          <t>Ярус 3, ящики</t>
        </is>
      </c>
      <c r="D138" s="4" t="inlineStr">
        <is>
          <t>клапан штуцерный</t>
        </is>
      </c>
      <c r="E138" s="4" t="inlineStr">
        <is>
          <t>Ду15</t>
        </is>
      </c>
      <c r="F138" s="5" t="inlineStr">
        <is>
          <t>Клапан штуцерный угловой Ду15 Ру160</t>
        </is>
      </c>
      <c r="G138" s="4" t="inlineStr">
        <is>
          <t>525-03.011</t>
        </is>
      </c>
      <c r="H138" s="16" t="inlineStr"/>
      <c r="I138" s="16" t="inlineStr">
        <is>
          <t>Комплект</t>
        </is>
      </c>
      <c r="J138" s="4" t="inlineStr"/>
      <c r="K138" s="4" t="n">
        <v>4</v>
      </c>
      <c r="L138" s="16" t="n">
        <v>4</v>
      </c>
      <c r="M138" s="16" t="n">
        <v>1</v>
      </c>
      <c r="N138" s="17">
        <f>L138*M138</f>
        <v/>
      </c>
      <c r="O138" s="18" t="n">
        <v>0.006</v>
      </c>
      <c r="P138" s="19">
        <f>IFERROR(IF('Расходы и доставка'!$B$15="по весу",N138/'Расходы и доставка'!$B$19,IF('Расходы и доставка'!$B$15="по объему",O138/'Расходы и доставка'!$B$20,IF('Расходы и доставка'!$B$15="поровну на штуку",L138/'Расходы и доставка'!$B$21,T138/'Расходы и доставка'!$B$22))),0)</f>
        <v/>
      </c>
      <c r="Q138" s="17">
        <f>P138*'Расходы и доставка'!$B$13</f>
        <v/>
      </c>
      <c r="R138" s="20">
        <f>IFERROR(Q138/L138,0)</f>
        <v/>
      </c>
      <c r="S138" s="21" t="n">
        <v>6000</v>
      </c>
      <c r="T138" s="17">
        <f>L138*S138</f>
        <v/>
      </c>
      <c r="U138" s="17">
        <f>S138+R138</f>
        <v/>
      </c>
      <c r="V138" s="22">
        <f>IFERROR(R138/S138,"")</f>
        <v/>
      </c>
      <c r="W138" s="16" t="inlineStr"/>
      <c r="X138" s="4" t="inlineStr">
        <is>
          <t>Менеджерская</t>
        </is>
      </c>
      <c r="Y138" s="23" t="inlineStr"/>
    </row>
    <row r="139">
      <c r="A139" s="4" t="n">
        <v>135</v>
      </c>
      <c r="B139" s="5" t="inlineStr">
        <is>
          <t>5. Мелочь — ей добиваем контейнер до 25 тонн</t>
        </is>
      </c>
      <c r="C139" s="4" t="inlineStr">
        <is>
          <t>Ярус 3, ящики</t>
        </is>
      </c>
      <c r="D139" s="4" t="inlineStr">
        <is>
          <t>клапан штуцерный</t>
        </is>
      </c>
      <c r="E139" s="4" t="inlineStr">
        <is>
          <t>Ду10</t>
        </is>
      </c>
      <c r="F139" s="5" t="inlineStr">
        <is>
          <t>Клапан штуцерный проходной Ду 10 Ру40</t>
        </is>
      </c>
      <c r="G139" s="4" t="inlineStr">
        <is>
          <t>521-01.471-01</t>
        </is>
      </c>
      <c r="H139" s="16" t="inlineStr"/>
      <c r="I139" s="16" t="inlineStr">
        <is>
          <t>Комплект</t>
        </is>
      </c>
      <c r="J139" s="4" t="inlineStr"/>
      <c r="K139" s="4" t="n">
        <v>18</v>
      </c>
      <c r="L139" s="16" t="n">
        <v>18</v>
      </c>
      <c r="M139" s="16" t="n">
        <v>0.6</v>
      </c>
      <c r="N139" s="17">
        <f>L139*M139</f>
        <v/>
      </c>
      <c r="O139" s="18" t="n">
        <v>0.018</v>
      </c>
      <c r="P139" s="19">
        <f>IFERROR(IF('Расходы и доставка'!$B$15="по весу",N139/'Расходы и доставка'!$B$19,IF('Расходы и доставка'!$B$15="по объему",O139/'Расходы и доставка'!$B$20,IF('Расходы и доставка'!$B$15="поровну на штуку",L139/'Расходы и доставка'!$B$21,T139/'Расходы и доставка'!$B$22))),0)</f>
        <v/>
      </c>
      <c r="Q139" s="17">
        <f>P139*'Расходы и доставка'!$B$13</f>
        <v/>
      </c>
      <c r="R139" s="20">
        <f>IFERROR(Q139/L139,0)</f>
        <v/>
      </c>
      <c r="S139" s="21" t="n">
        <v>3000</v>
      </c>
      <c r="T139" s="17">
        <f>L139*S139</f>
        <v/>
      </c>
      <c r="U139" s="17">
        <f>S139+R139</f>
        <v/>
      </c>
      <c r="V139" s="22">
        <f>IFERROR(R139/S139,"")</f>
        <v/>
      </c>
      <c r="W139" s="16" t="inlineStr"/>
      <c r="X139" s="4" t="inlineStr">
        <is>
          <t>Склад 2</t>
        </is>
      </c>
      <c r="Y139" s="23" t="inlineStr"/>
    </row>
    <row r="140">
      <c r="A140" s="4" t="n">
        <v>136</v>
      </c>
      <c r="B140" s="5" t="inlineStr">
        <is>
          <t>5. Мелочь — ей добиваем контейнер до 25 тонн</t>
        </is>
      </c>
      <c r="C140" s="4" t="inlineStr">
        <is>
          <t>Ярус 3, ящики</t>
        </is>
      </c>
      <c r="D140" s="4" t="inlineStr">
        <is>
          <t>клапан педальный</t>
        </is>
      </c>
      <c r="E140" s="4" t="inlineStr">
        <is>
          <t>Ду25</t>
        </is>
      </c>
      <c r="F140" s="5" t="inlineStr">
        <is>
          <t>Клапан педальный Ду25</t>
        </is>
      </c>
      <c r="G140" s="4" t="inlineStr">
        <is>
          <t>М528-03.001</t>
        </is>
      </c>
      <c r="H140" s="16" t="inlineStr"/>
      <c r="I140" s="16" t="inlineStr">
        <is>
          <t>Комплект</t>
        </is>
      </c>
      <c r="J140" s="4" t="inlineStr"/>
      <c r="K140" s="4" t="n">
        <v>1</v>
      </c>
      <c r="L140" s="16" t="n">
        <v>1</v>
      </c>
      <c r="M140" s="16" t="n">
        <v>2.5</v>
      </c>
      <c r="N140" s="17">
        <f>L140*M140</f>
        <v/>
      </c>
      <c r="O140" s="18" t="n">
        <v>0.003</v>
      </c>
      <c r="P140" s="19">
        <f>IFERROR(IF('Расходы и доставка'!$B$15="по весу",N140/'Расходы и доставка'!$B$19,IF('Расходы и доставка'!$B$15="по объему",O140/'Расходы и доставка'!$B$20,IF('Расходы и доставка'!$B$15="поровну на штуку",L140/'Расходы и доставка'!$B$21,T140/'Расходы и доставка'!$B$22))),0)</f>
        <v/>
      </c>
      <c r="Q140" s="17">
        <f>P140*'Расходы и доставка'!$B$13</f>
        <v/>
      </c>
      <c r="R140" s="20">
        <f>IFERROR(Q140/L140,0)</f>
        <v/>
      </c>
      <c r="S140" s="21" t="n">
        <v>12500</v>
      </c>
      <c r="T140" s="17">
        <f>L140*S140</f>
        <v/>
      </c>
      <c r="U140" s="17">
        <f>S140+R140</f>
        <v/>
      </c>
      <c r="V140" s="22">
        <f>IFERROR(R140/S140,"")</f>
        <v/>
      </c>
      <c r="W140" s="16" t="inlineStr"/>
      <c r="X140" s="4" t="inlineStr">
        <is>
          <t>Склад 2</t>
        </is>
      </c>
      <c r="Y140" s="23" t="inlineStr"/>
    </row>
    <row r="141">
      <c r="A141" s="4" t="n">
        <v>137</v>
      </c>
      <c r="B141" s="5" t="inlineStr">
        <is>
          <t>5. Мелочь — ей добиваем контейнер до 25 тонн</t>
        </is>
      </c>
      <c r="C141" s="4" t="inlineStr">
        <is>
          <t>Ярус 3, ящики</t>
        </is>
      </c>
      <c r="D141" s="4" t="inlineStr">
        <is>
          <t>клапан штуцерный</t>
        </is>
      </c>
      <c r="E141" s="4" t="inlineStr">
        <is>
          <t>Ду6</t>
        </is>
      </c>
      <c r="F141" s="5" t="inlineStr">
        <is>
          <t>Клапан штуцерный угловой Ду6Ру100</t>
        </is>
      </c>
      <c r="G141" s="4" t="inlineStr">
        <is>
          <t>521-01.467-02</t>
        </is>
      </c>
      <c r="H141" s="16" t="inlineStr"/>
      <c r="I141" s="16" t="inlineStr">
        <is>
          <t>Комплект</t>
        </is>
      </c>
      <c r="J141" s="4" t="inlineStr"/>
      <c r="K141" s="4" t="n">
        <v>3</v>
      </c>
      <c r="L141" s="16" t="n">
        <v>3</v>
      </c>
      <c r="M141" s="16" t="n">
        <v>0.4</v>
      </c>
      <c r="N141" s="17">
        <f>L141*M141</f>
        <v/>
      </c>
      <c r="O141" s="18" t="n">
        <v>0.002</v>
      </c>
      <c r="P141" s="19">
        <f>IFERROR(IF('Расходы и доставка'!$B$15="по весу",N141/'Расходы и доставка'!$B$19,IF('Расходы и доставка'!$B$15="по объему",O141/'Расходы и доставка'!$B$20,IF('Расходы и доставка'!$B$15="поровну на штуку",L141/'Расходы и доставка'!$B$21,T141/'Расходы и доставка'!$B$22))),0)</f>
        <v/>
      </c>
      <c r="Q141" s="17">
        <f>P141*'Расходы и доставка'!$B$13</f>
        <v/>
      </c>
      <c r="R141" s="20">
        <f>IFERROR(Q141/L141,0)</f>
        <v/>
      </c>
      <c r="S141" s="21" t="n">
        <v>2000</v>
      </c>
      <c r="T141" s="17">
        <f>L141*S141</f>
        <v/>
      </c>
      <c r="U141" s="17">
        <f>S141+R141</f>
        <v/>
      </c>
      <c r="V141" s="22">
        <f>IFERROR(R141/S141,"")</f>
        <v/>
      </c>
      <c r="W141" s="16" t="inlineStr"/>
      <c r="X141" s="4" t="inlineStr">
        <is>
          <t>Склад 2</t>
        </is>
      </c>
      <c r="Y141" s="23" t="inlineStr"/>
    </row>
    <row r="142">
      <c r="A142" s="4" t="n">
        <v>138</v>
      </c>
      <c r="B142" s="5" t="inlineStr">
        <is>
          <t>5. Мелочь — ей добиваем контейнер до 25 тонн</t>
        </is>
      </c>
      <c r="C142" s="4" t="inlineStr">
        <is>
          <t>Ярус 3, ящики</t>
        </is>
      </c>
      <c r="D142" s="4" t="inlineStr">
        <is>
          <t>клапан штуцерный</t>
        </is>
      </c>
      <c r="E142" s="4" t="inlineStr">
        <is>
          <t>Ду20</t>
        </is>
      </c>
      <c r="F142" s="5" t="inlineStr">
        <is>
          <t>Клапан штуцерный проходной Ду 20</t>
        </is>
      </c>
      <c r="G142" s="4" t="inlineStr">
        <is>
          <t>536-3м 5</t>
        </is>
      </c>
      <c r="H142" s="16" t="inlineStr"/>
      <c r="I142" s="16" t="inlineStr">
        <is>
          <t>Комплект</t>
        </is>
      </c>
      <c r="J142" s="4" t="inlineStr"/>
      <c r="K142" s="4" t="n">
        <v>4</v>
      </c>
      <c r="L142" s="16" t="n">
        <v>4</v>
      </c>
      <c r="M142" s="16" t="n">
        <v>1.5</v>
      </c>
      <c r="N142" s="17">
        <f>L142*M142</f>
        <v/>
      </c>
      <c r="O142" s="18" t="n">
        <v>0.008</v>
      </c>
      <c r="P142" s="19">
        <f>IFERROR(IF('Расходы и доставка'!$B$15="по весу",N142/'Расходы и доставка'!$B$19,IF('Расходы и доставка'!$B$15="по объему",O142/'Расходы и доставка'!$B$20,IF('Расходы и доставка'!$B$15="поровну на штуку",L142/'Расходы и доставка'!$B$21,T142/'Расходы и доставка'!$B$22))),0)</f>
        <v/>
      </c>
      <c r="Q142" s="17">
        <f>P142*'Расходы и доставка'!$B$13</f>
        <v/>
      </c>
      <c r="R142" s="20">
        <f>IFERROR(Q142/L142,0)</f>
        <v/>
      </c>
      <c r="S142" s="21" t="n">
        <v>6500</v>
      </c>
      <c r="T142" s="17">
        <f>L142*S142</f>
        <v/>
      </c>
      <c r="U142" s="17">
        <f>S142+R142</f>
        <v/>
      </c>
      <c r="V142" s="22">
        <f>IFERROR(R142/S142,"")</f>
        <v/>
      </c>
      <c r="W142" s="16" t="inlineStr"/>
      <c r="X142" s="4" t="inlineStr">
        <is>
          <t>Менеджерская</t>
        </is>
      </c>
      <c r="Y142" s="23" t="inlineStr"/>
    </row>
    <row r="143">
      <c r="A143" s="4" t="n">
        <v>139</v>
      </c>
      <c r="B143" s="5" t="inlineStr">
        <is>
          <t>5. Мелочь — ей добиваем контейнер до 25 тонн</t>
        </is>
      </c>
      <c r="C143" s="4" t="inlineStr">
        <is>
          <t>Ярус 3, ящики</t>
        </is>
      </c>
      <c r="D143" s="4" t="inlineStr">
        <is>
          <t>клапан штуцерный</t>
        </is>
      </c>
      <c r="E143" s="4" t="inlineStr">
        <is>
          <t>Ду10</t>
        </is>
      </c>
      <c r="F143" s="5" t="inlineStr">
        <is>
          <t>Клапан штуцерный проходной Ду 10 Ру100</t>
        </is>
      </c>
      <c r="G143" s="4" t="inlineStr">
        <is>
          <t>521-01.469-02</t>
        </is>
      </c>
      <c r="H143" s="16" t="inlineStr"/>
      <c r="I143" s="16" t="inlineStr">
        <is>
          <t>Комплект</t>
        </is>
      </c>
      <c r="J143" s="4" t="inlineStr"/>
      <c r="K143" s="4" t="n">
        <v>2</v>
      </c>
      <c r="L143" s="16" t="n">
        <v>2</v>
      </c>
      <c r="M143" s="16" t="n">
        <v>0.6</v>
      </c>
      <c r="N143" s="17">
        <f>L143*M143</f>
        <v/>
      </c>
      <c r="O143" s="18" t="n">
        <v>0.002</v>
      </c>
      <c r="P143" s="19">
        <f>IFERROR(IF('Расходы и доставка'!$B$15="по весу",N143/'Расходы и доставка'!$B$19,IF('Расходы и доставка'!$B$15="по объему",O143/'Расходы и доставка'!$B$20,IF('Расходы и доставка'!$B$15="поровну на штуку",L143/'Расходы и доставка'!$B$21,T143/'Расходы и доставка'!$B$22))),0)</f>
        <v/>
      </c>
      <c r="Q143" s="17">
        <f>P143*'Расходы и доставка'!$B$13</f>
        <v/>
      </c>
      <c r="R143" s="20">
        <f>IFERROR(Q143/L143,0)</f>
        <v/>
      </c>
      <c r="S143" s="21" t="n">
        <v>2500</v>
      </c>
      <c r="T143" s="17">
        <f>L143*S143</f>
        <v/>
      </c>
      <c r="U143" s="17">
        <f>S143+R143</f>
        <v/>
      </c>
      <c r="V143" s="22">
        <f>IFERROR(R143/S143,"")</f>
        <v/>
      </c>
      <c r="W143" s="16" t="inlineStr"/>
      <c r="X143" s="4" t="inlineStr">
        <is>
          <t>Склад 2</t>
        </is>
      </c>
      <c r="Y143" s="23" t="inlineStr"/>
    </row>
    <row r="144">
      <c r="A144" s="4" t="n">
        <v>140</v>
      </c>
      <c r="B144" s="5" t="inlineStr">
        <is>
          <t>5. Мелочь — ей добиваем контейнер до 25 тонн</t>
        </is>
      </c>
      <c r="C144" s="4" t="inlineStr">
        <is>
          <t>Ярус 3, ящики</t>
        </is>
      </c>
      <c r="D144" s="4" t="inlineStr">
        <is>
          <t>кран</t>
        </is>
      </c>
      <c r="E144" s="4" t="inlineStr">
        <is>
          <t>Ду32</t>
        </is>
      </c>
      <c r="F144" s="5" t="inlineStr">
        <is>
          <t>Кран трехходовой штуцерный Ду32 Ру10</t>
        </is>
      </c>
      <c r="G144" s="4" t="inlineStr">
        <is>
          <t>536-35.696</t>
        </is>
      </c>
      <c r="H144" s="16" t="inlineStr"/>
      <c r="I144" s="16" t="inlineStr">
        <is>
          <t>Комплект</t>
        </is>
      </c>
      <c r="J144" s="4" t="inlineStr"/>
      <c r="K144" s="4" t="n">
        <v>2</v>
      </c>
      <c r="L144" s="16" t="n">
        <v>2</v>
      </c>
      <c r="M144" s="16" t="n">
        <v>3.5</v>
      </c>
      <c r="N144" s="17">
        <f>L144*M144</f>
        <v/>
      </c>
      <c r="O144" s="18" t="n">
        <v>0.01</v>
      </c>
      <c r="P144" s="19">
        <f>IFERROR(IF('Расходы и доставка'!$B$15="по весу",N144/'Расходы и доставка'!$B$19,IF('Расходы и доставка'!$B$15="по объему",O144/'Расходы и доставка'!$B$20,IF('Расходы и доставка'!$B$15="поровну на штуку",L144/'Расходы и доставка'!$B$21,T144/'Расходы и доставка'!$B$22))),0)</f>
        <v/>
      </c>
      <c r="Q144" s="17">
        <f>P144*'Расходы и доставка'!$B$13</f>
        <v/>
      </c>
      <c r="R144" s="20">
        <f>IFERROR(Q144/L144,0)</f>
        <v/>
      </c>
      <c r="S144" s="21" t="n">
        <v>14400</v>
      </c>
      <c r="T144" s="17">
        <f>L144*S144</f>
        <v/>
      </c>
      <c r="U144" s="17">
        <f>S144+R144</f>
        <v/>
      </c>
      <c r="V144" s="22">
        <f>IFERROR(R144/S144,"")</f>
        <v/>
      </c>
      <c r="W144" s="16" t="inlineStr"/>
      <c r="X144" s="4" t="inlineStr">
        <is>
          <t>Склад 2</t>
        </is>
      </c>
      <c r="Y144" s="23" t="inlineStr"/>
    </row>
    <row r="145">
      <c r="A145" s="4" t="n">
        <v>141</v>
      </c>
      <c r="B145" s="5" t="inlineStr">
        <is>
          <t>5. Мелочь — ей добиваем контейнер до 25 тонн</t>
        </is>
      </c>
      <c r="C145" s="4" t="inlineStr">
        <is>
          <t>Ярус 3, ящики</t>
        </is>
      </c>
      <c r="D145" s="4" t="inlineStr">
        <is>
          <t>клапан штуцерный</t>
        </is>
      </c>
      <c r="E145" s="4" t="inlineStr">
        <is>
          <t>Ду20</t>
        </is>
      </c>
      <c r="F145" s="5" t="inlineStr">
        <is>
          <t>Клапан невозвратный штуцерный проходной Ду20Ру160</t>
        </is>
      </c>
      <c r="G145" s="4" t="inlineStr">
        <is>
          <t>522-03.089</t>
        </is>
      </c>
      <c r="H145" s="16" t="inlineStr"/>
      <c r="I145" s="16" t="inlineStr">
        <is>
          <t>Комплект</t>
        </is>
      </c>
      <c r="J145" s="4" t="inlineStr"/>
      <c r="K145" s="4" t="n">
        <v>1</v>
      </c>
      <c r="L145" s="16" t="n">
        <v>1</v>
      </c>
      <c r="M145" s="16" t="n">
        <v>1.5</v>
      </c>
      <c r="N145" s="17">
        <f>L145*M145</f>
        <v/>
      </c>
      <c r="O145" s="18" t="n">
        <v>0.002</v>
      </c>
      <c r="P145" s="19">
        <f>IFERROR(IF('Расходы и доставка'!$B$15="по весу",N145/'Расходы и доставка'!$B$19,IF('Расходы и доставка'!$B$15="по объему",O145/'Расходы и доставка'!$B$20,IF('Расходы и доставка'!$B$15="поровну на штуку",L145/'Расходы и доставка'!$B$21,T145/'Расходы и доставка'!$B$22))),0)</f>
        <v/>
      </c>
      <c r="Q145" s="17">
        <f>P145*'Расходы и доставка'!$B$13</f>
        <v/>
      </c>
      <c r="R145" s="20">
        <f>IFERROR(Q145/L145,0)</f>
        <v/>
      </c>
      <c r="S145" s="21" t="n">
        <v>6000</v>
      </c>
      <c r="T145" s="17">
        <f>L145*S145</f>
        <v/>
      </c>
      <c r="U145" s="17">
        <f>S145+R145</f>
        <v/>
      </c>
      <c r="V145" s="22">
        <f>IFERROR(R145/S145,"")</f>
        <v/>
      </c>
      <c r="W145" s="16" t="inlineStr"/>
      <c r="X145" s="4" t="inlineStr">
        <is>
          <t>Склад 2</t>
        </is>
      </c>
      <c r="Y145" s="23" t="inlineStr"/>
    </row>
    <row r="146">
      <c r="A146" s="4" t="n">
        <v>142</v>
      </c>
      <c r="B146" s="5" t="inlineStr">
        <is>
          <t>5. Мелочь — ей добиваем контейнер до 25 тонн</t>
        </is>
      </c>
      <c r="C146" s="4" t="inlineStr">
        <is>
          <t>Ярус 3, ящики</t>
        </is>
      </c>
      <c r="D146" s="4" t="inlineStr">
        <is>
          <t>клапан штуцерный</t>
        </is>
      </c>
      <c r="E146" s="4" t="inlineStr">
        <is>
          <t>Ду20</t>
        </is>
      </c>
      <c r="F146" s="5" t="inlineStr">
        <is>
          <t>Клапан штуцерный проходной Ду 20</t>
        </is>
      </c>
      <c r="G146" s="4" t="inlineStr">
        <is>
          <t>536 3м .333</t>
        </is>
      </c>
      <c r="H146" s="16" t="inlineStr"/>
      <c r="I146" s="16" t="inlineStr">
        <is>
          <t>Комплект</t>
        </is>
      </c>
      <c r="J146" s="4" t="inlineStr"/>
      <c r="K146" s="4" t="n">
        <v>1</v>
      </c>
      <c r="L146" s="16" t="n">
        <v>1</v>
      </c>
      <c r="M146" s="16" t="n">
        <v>1.5</v>
      </c>
      <c r="N146" s="17">
        <f>L146*M146</f>
        <v/>
      </c>
      <c r="O146" s="18" t="n">
        <v>0.002</v>
      </c>
      <c r="P146" s="19">
        <f>IFERROR(IF('Расходы и доставка'!$B$15="по весу",N146/'Расходы и доставка'!$B$19,IF('Расходы и доставка'!$B$15="по объему",O146/'Расходы и доставка'!$B$20,IF('Расходы и доставка'!$B$15="поровну на штуку",L146/'Расходы и доставка'!$B$21,T146/'Расходы и доставка'!$B$22))),0)</f>
        <v/>
      </c>
      <c r="Q146" s="17">
        <f>P146*'Расходы и доставка'!$B$13</f>
        <v/>
      </c>
      <c r="R146" s="20">
        <f>IFERROR(Q146/L146,0)</f>
        <v/>
      </c>
      <c r="S146" s="21" t="n">
        <v>6000</v>
      </c>
      <c r="T146" s="17">
        <f>L146*S146</f>
        <v/>
      </c>
      <c r="U146" s="17">
        <f>S146+R146</f>
        <v/>
      </c>
      <c r="V146" s="22">
        <f>IFERROR(R146/S146,"")</f>
        <v/>
      </c>
      <c r="W146" s="16" t="inlineStr"/>
      <c r="X146" s="4" t="inlineStr">
        <is>
          <t>Менеджерская</t>
        </is>
      </c>
      <c r="Y146" s="23" t="inlineStr"/>
    </row>
    <row r="147">
      <c r="A147" s="4" t="n">
        <v>143</v>
      </c>
      <c r="B147" s="5" t="inlineStr">
        <is>
          <t>5. Мелочь — ей добиваем контейнер до 25 тонн</t>
        </is>
      </c>
      <c r="C147" s="4" t="inlineStr">
        <is>
          <t>Ярус 3, ящики</t>
        </is>
      </c>
      <c r="D147" s="4" t="inlineStr">
        <is>
          <t>клапан штуцерный</t>
        </is>
      </c>
      <c r="E147" s="4" t="inlineStr">
        <is>
          <t>Ду20</t>
        </is>
      </c>
      <c r="F147" s="5" t="inlineStr">
        <is>
          <t>Клапан штуцерный проходной Ду 20 Ру 40</t>
        </is>
      </c>
      <c r="G147" s="4" t="inlineStr">
        <is>
          <t>521 3м 726</t>
        </is>
      </c>
      <c r="H147" s="16" t="inlineStr"/>
      <c r="I147" s="16" t="inlineStr">
        <is>
          <t>Комплект</t>
        </is>
      </c>
      <c r="J147" s="4" t="inlineStr"/>
      <c r="K147" s="4" t="n">
        <v>2</v>
      </c>
      <c r="L147" s="16" t="n">
        <v>2</v>
      </c>
      <c r="M147" s="16" t="n">
        <v>1.5</v>
      </c>
      <c r="N147" s="17">
        <f>L147*M147</f>
        <v/>
      </c>
      <c r="O147" s="18" t="n">
        <v>0.004</v>
      </c>
      <c r="P147" s="19">
        <f>IFERROR(IF('Расходы и доставка'!$B$15="по весу",N147/'Расходы и доставка'!$B$19,IF('Расходы и доставка'!$B$15="по объему",O147/'Расходы и доставка'!$B$20,IF('Расходы и доставка'!$B$15="поровну на штуку",L147/'Расходы и доставка'!$B$21,T147/'Расходы и доставка'!$B$22))),0)</f>
        <v/>
      </c>
      <c r="Q147" s="17">
        <f>P147*'Расходы и доставка'!$B$13</f>
        <v/>
      </c>
      <c r="R147" s="20">
        <f>IFERROR(Q147/L147,0)</f>
        <v/>
      </c>
      <c r="S147" s="21" t="n">
        <v>6000</v>
      </c>
      <c r="T147" s="17">
        <f>L147*S147</f>
        <v/>
      </c>
      <c r="U147" s="17">
        <f>S147+R147</f>
        <v/>
      </c>
      <c r="V147" s="22">
        <f>IFERROR(R147/S147,"")</f>
        <v/>
      </c>
      <c r="W147" s="16" t="inlineStr"/>
      <c r="X147" s="4" t="inlineStr">
        <is>
          <t>Менеджерская</t>
        </is>
      </c>
      <c r="Y147" s="23" t="inlineStr"/>
    </row>
    <row r="148">
      <c r="A148" s="4" t="n">
        <v>144</v>
      </c>
      <c r="B148" s="5" t="inlineStr">
        <is>
          <t>5. Мелочь — ей добиваем контейнер до 25 тонн</t>
        </is>
      </c>
      <c r="C148" s="4" t="inlineStr">
        <is>
          <t>Ярус 3, ящики</t>
        </is>
      </c>
      <c r="D148" s="4" t="inlineStr">
        <is>
          <t>клапан штуцерный</t>
        </is>
      </c>
      <c r="E148" s="4" t="inlineStr">
        <is>
          <t>Ду20</t>
        </is>
      </c>
      <c r="F148" s="5" t="inlineStr">
        <is>
          <t>Клапан штуцерный проходной Ду 20 Ру 40</t>
        </is>
      </c>
      <c r="G148" s="4" t="inlineStr">
        <is>
          <t>521 3м 30</t>
        </is>
      </c>
      <c r="H148" s="16" t="inlineStr"/>
      <c r="I148" s="16" t="inlineStr">
        <is>
          <t>Комплект</t>
        </is>
      </c>
      <c r="J148" s="4" t="inlineStr"/>
      <c r="K148" s="4" t="n">
        <v>1</v>
      </c>
      <c r="L148" s="16" t="n">
        <v>1</v>
      </c>
      <c r="M148" s="16" t="n">
        <v>1.5</v>
      </c>
      <c r="N148" s="17">
        <f>L148*M148</f>
        <v/>
      </c>
      <c r="O148" s="18" t="n">
        <v>0.002</v>
      </c>
      <c r="P148" s="19">
        <f>IFERROR(IF('Расходы и доставка'!$B$15="по весу",N148/'Расходы и доставка'!$B$19,IF('Расходы и доставка'!$B$15="по объему",O148/'Расходы и доставка'!$B$20,IF('Расходы и доставка'!$B$15="поровну на штуку",L148/'Расходы и доставка'!$B$21,T148/'Расходы и доставка'!$B$22))),0)</f>
        <v/>
      </c>
      <c r="Q148" s="17">
        <f>P148*'Расходы и доставка'!$B$13</f>
        <v/>
      </c>
      <c r="R148" s="20">
        <f>IFERROR(Q148/L148,0)</f>
        <v/>
      </c>
      <c r="S148" s="21" t="n">
        <v>6000</v>
      </c>
      <c r="T148" s="17">
        <f>L148*S148</f>
        <v/>
      </c>
      <c r="U148" s="17">
        <f>S148+R148</f>
        <v/>
      </c>
      <c r="V148" s="22">
        <f>IFERROR(R148/S148,"")</f>
        <v/>
      </c>
      <c r="W148" s="16" t="inlineStr"/>
      <c r="X148" s="4" t="inlineStr">
        <is>
          <t>Менеджерская</t>
        </is>
      </c>
      <c r="Y148" s="23" t="inlineStr"/>
    </row>
    <row r="149">
      <c r="A149" s="4" t="n">
        <v>145</v>
      </c>
      <c r="B149" s="5" t="inlineStr">
        <is>
          <t>5. Мелочь — ей добиваем контейнер до 25 тонн</t>
        </is>
      </c>
      <c r="C149" s="4" t="inlineStr">
        <is>
          <t>Ярус 3, ящики</t>
        </is>
      </c>
      <c r="D149" s="4" t="inlineStr">
        <is>
          <t>клапан штуцерный</t>
        </is>
      </c>
      <c r="E149" s="4" t="inlineStr">
        <is>
          <t>Ду10</t>
        </is>
      </c>
      <c r="F149" s="5" t="inlineStr">
        <is>
          <t>Клапан штуцерный проходной Ду 10 Ру6</t>
        </is>
      </c>
      <c r="G149" s="4" t="inlineStr">
        <is>
          <t>521-3м-52</t>
        </is>
      </c>
      <c r="H149" s="16" t="inlineStr"/>
      <c r="I149" s="16" t="inlineStr">
        <is>
          <t>Комплект</t>
        </is>
      </c>
      <c r="J149" s="4" t="inlineStr"/>
      <c r="K149" s="4" t="n">
        <v>1</v>
      </c>
      <c r="L149" s="16" t="n">
        <v>1</v>
      </c>
      <c r="M149" s="16" t="n">
        <v>0.6</v>
      </c>
      <c r="N149" s="17">
        <f>L149*M149</f>
        <v/>
      </c>
      <c r="O149" s="18" t="n">
        <v>0.001</v>
      </c>
      <c r="P149" s="19">
        <f>IFERROR(IF('Расходы и доставка'!$B$15="по весу",N149/'Расходы и доставка'!$B$19,IF('Расходы и доставка'!$B$15="по объему",O149/'Расходы и доставка'!$B$20,IF('Расходы и доставка'!$B$15="поровну на штуку",L149/'Расходы и доставка'!$B$21,T149/'Расходы и доставка'!$B$22))),0)</f>
        <v/>
      </c>
      <c r="Q149" s="17">
        <f>P149*'Расходы и доставка'!$B$13</f>
        <v/>
      </c>
      <c r="R149" s="20">
        <f>IFERROR(Q149/L149,0)</f>
        <v/>
      </c>
      <c r="S149" s="21" t="n">
        <v>2000</v>
      </c>
      <c r="T149" s="17">
        <f>L149*S149</f>
        <v/>
      </c>
      <c r="U149" s="17">
        <f>S149+R149</f>
        <v/>
      </c>
      <c r="V149" s="22">
        <f>IFERROR(R149/S149,"")</f>
        <v/>
      </c>
      <c r="W149" s="16" t="inlineStr"/>
      <c r="X149" s="4" t="inlineStr">
        <is>
          <t>Склад 2</t>
        </is>
      </c>
      <c r="Y149" s="23" t="inlineStr"/>
    </row>
    <row r="150">
      <c r="F150" s="9" t="inlineStr">
        <is>
          <t>ИТОГО</t>
        </is>
      </c>
      <c r="K150" s="24">
        <f>SUM(K5:K149)</f>
        <v/>
      </c>
      <c r="L150" s="24">
        <f>SUM(L5:L149)</f>
        <v/>
      </c>
      <c r="N150" s="24">
        <f>SUM(N5:N149)</f>
        <v/>
      </c>
      <c r="O150" s="25">
        <f>SUM(O5:O149)</f>
        <v/>
      </c>
      <c r="Q150" s="24">
        <f>SUM(Q5:Q149)</f>
        <v/>
      </c>
      <c r="T150" s="24">
        <f>SUM(T5:T149)</f>
        <v/>
      </c>
    </row>
  </sheetData>
  <autoFilter ref="A4:Y149"/>
  <dataValidations count="2">
    <dataValidation sqref="H5:H149" showDropDown="0" showInputMessage="0" showErrorMessage="0" allowBlank="1" type="list">
      <formula1>"Новое,Б/у,Восстановленное"</formula1>
    </dataValidation>
    <dataValidation sqref="I5:I149" showDropDown="0" showInputMessage="0" showErrorMessage="0" allowBlank="1" type="list">
      <formula1>"Комплект,Не комплект,Брак"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4" customWidth="1" min="4" max="4"/>
    <col width="18" customWidth="1" min="5" max="5"/>
    <col width="16" customWidth="1" min="6" max="6"/>
    <col width="20" customWidth="1" min="7" max="7"/>
  </cols>
  <sheetData>
    <row r="1">
      <c r="A1" s="1" t="inlineStr">
        <is>
          <t>Новое и б/у: сколько чего уехало</t>
        </is>
      </c>
    </row>
    <row r="2">
      <c r="A2" s="2" t="inlineStr">
        <is>
          <t>Считается по колонке «Состояние» листа «Отгрузка». Пока она не заполнена, все попадет в строку «не указано».</t>
        </is>
      </c>
    </row>
    <row r="4" ht="30" customHeight="1">
      <c r="A4" s="3" t="inlineStr">
        <is>
          <t>Состояние</t>
        </is>
      </c>
      <c r="B4" s="3" t="inlineStr">
        <is>
          <t>Позиций</t>
        </is>
      </c>
      <c r="C4" s="3" t="inlineStr">
        <is>
          <t>Штук</t>
        </is>
      </c>
      <c r="D4" s="3" t="inlineStr">
        <is>
          <t>Вес, кг</t>
        </is>
      </c>
      <c r="E4" s="3" t="inlineStr">
        <is>
          <t>Стоимость, руб</t>
        </is>
      </c>
      <c r="F4" s="3" t="inlineStr">
        <is>
          <t>Доставка, руб</t>
        </is>
      </c>
      <c r="G4" s="3" t="inlineStr">
        <is>
          <t>Всего с доставкой, руб</t>
        </is>
      </c>
    </row>
    <row r="5">
      <c r="A5" s="6" t="inlineStr">
        <is>
          <t>Новое</t>
        </is>
      </c>
      <c r="B5" s="6">
        <f>COUNTIF('Отгрузка'!H$5:H$149,"Новое")</f>
        <v/>
      </c>
      <c r="C5" s="6">
        <f>SUMIF('Отгрузка'!H$5:H$149,"Новое",'Отгрузка'!L$5:L$149)</f>
        <v/>
      </c>
      <c r="D5" s="26">
        <f>SUMIF('Отгрузка'!H$5:H$149,"Новое",'Отгрузка'!N$5:N$149)</f>
        <v/>
      </c>
      <c r="E5" s="26">
        <f>SUMIF('Отгрузка'!H$5:H$149,"Новое",'Отгрузка'!T$5:T$149)</f>
        <v/>
      </c>
      <c r="F5" s="26">
        <f>SUMIF('Отгрузка'!H$5:H$149,"Новое",'Отгрузка'!Q$5:Q$149)</f>
        <v/>
      </c>
      <c r="G5" s="26">
        <f>E5+F5</f>
        <v/>
      </c>
    </row>
    <row r="6">
      <c r="A6" s="6" t="inlineStr">
        <is>
          <t>Б/у</t>
        </is>
      </c>
      <c r="B6" s="6">
        <f>COUNTIF('Отгрузка'!H$5:H$149,"Б/у")</f>
        <v/>
      </c>
      <c r="C6" s="6">
        <f>SUMIF('Отгрузка'!H$5:H$149,"Б/у",'Отгрузка'!L$5:L$149)</f>
        <v/>
      </c>
      <c r="D6" s="26">
        <f>SUMIF('Отгрузка'!H$5:H$149,"Б/у",'Отгрузка'!N$5:N$149)</f>
        <v/>
      </c>
      <c r="E6" s="26">
        <f>SUMIF('Отгрузка'!H$5:H$149,"Б/у",'Отгрузка'!T$5:T$149)</f>
        <v/>
      </c>
      <c r="F6" s="26">
        <f>SUMIF('Отгрузка'!H$5:H$149,"Б/у",'Отгрузка'!Q$5:Q$149)</f>
        <v/>
      </c>
      <c r="G6" s="26">
        <f>E6+F6</f>
        <v/>
      </c>
    </row>
    <row r="7">
      <c r="A7" s="6" t="inlineStr">
        <is>
          <t>Восстановленное</t>
        </is>
      </c>
      <c r="B7" s="6">
        <f>COUNTIF('Отгрузка'!H$5:H$149,"Восстановленное")</f>
        <v/>
      </c>
      <c r="C7" s="6">
        <f>SUMIF('Отгрузка'!H$5:H$149,"Восстановленное",'Отгрузка'!L$5:L$149)</f>
        <v/>
      </c>
      <c r="D7" s="26">
        <f>SUMIF('Отгрузка'!H$5:H$149,"Восстановленное",'Отгрузка'!N$5:N$149)</f>
        <v/>
      </c>
      <c r="E7" s="26">
        <f>SUMIF('Отгрузка'!H$5:H$149,"Восстановленное",'Отгрузка'!T$5:T$149)</f>
        <v/>
      </c>
      <c r="F7" s="26">
        <f>SUMIF('Отгрузка'!H$5:H$149,"Восстановленное",'Отгрузка'!Q$5:Q$149)</f>
        <v/>
      </c>
      <c r="G7" s="26">
        <f>E7+F7</f>
        <v/>
      </c>
    </row>
    <row r="8">
      <c r="A8" s="6" t="inlineStr">
        <is>
          <t>не указано</t>
        </is>
      </c>
      <c r="B8" s="6">
        <f>COUNTBLANK('Отгрузка'!H$5:H$149)</f>
        <v/>
      </c>
      <c r="C8" s="6">
        <f>SUMIF('Отгрузка'!H$5:H$149,"",'Отгрузка'!L$5:L$149)</f>
        <v/>
      </c>
      <c r="D8" s="26">
        <f>SUMIF('Отгрузка'!H$5:H$149,"",'Отгрузка'!N$5:N$149)</f>
        <v/>
      </c>
      <c r="E8" s="26">
        <f>SUMIF('Отгрузка'!H$5:H$149,"",'Отгрузка'!T$5:T$149)</f>
        <v/>
      </c>
      <c r="F8" s="26">
        <f>SUMIF('Отгрузка'!H$5:H$149,"",'Отгрузка'!Q$5:Q$149)</f>
        <v/>
      </c>
      <c r="G8" s="26">
        <f>E8+F8</f>
        <v/>
      </c>
    </row>
    <row r="9">
      <c r="A9" s="9" t="inlineStr">
        <is>
          <t>ИТОГО</t>
        </is>
      </c>
      <c r="B9" s="24">
        <f>SUM(B5:B8)</f>
        <v/>
      </c>
      <c r="C9" s="24">
        <f>SUM(C5:C8)</f>
        <v/>
      </c>
      <c r="D9" s="24">
        <f>SUM(D5:D8)</f>
        <v/>
      </c>
      <c r="E9" s="24">
        <f>SUM(E5:E8)</f>
        <v/>
      </c>
      <c r="F9" s="24">
        <f>SUM(F5:F8)</f>
        <v/>
      </c>
      <c r="G9" s="24">
        <f>SUM(G5:G8)</f>
        <v/>
      </c>
    </row>
    <row r="11">
      <c r="A11" s="1" t="inlineStr">
        <is>
          <t>Проверка</t>
        </is>
      </c>
    </row>
    <row r="12">
      <c r="A12" s="12" t="inlineStr">
        <is>
          <t>Разнесено доставки, руб</t>
        </is>
      </c>
      <c r="B12" s="24">
        <f>SUM('Отгрузка'!Q$5:Q$149)</f>
        <v/>
      </c>
    </row>
    <row r="13">
      <c r="A13" s="12" t="inlineStr">
        <is>
          <t>Введено расходов, руб</t>
        </is>
      </c>
      <c r="B13" s="24">
        <f>'Расходы и доставка'!$B$13</f>
        <v/>
      </c>
    </row>
    <row r="14">
      <c r="A14" s="12" t="inlineStr">
        <is>
          <t>Расхождение, руб</t>
        </is>
      </c>
      <c r="B14" s="24">
        <f>SUM('Отгрузка'!Q$5:Q$149)-'Расходы и доставка'!$B$13</f>
        <v/>
      </c>
    </row>
    <row r="15">
      <c r="A15" s="27" t="inlineStr">
        <is>
          <t>Расхождение должно быть нулевым. Если не ноль — в отгрузке есть строка без веса или без цены, и доля по ней не посчиталась.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2026-10-12T19:49:02Z</dcterms:created>
  <dcterms:modified xsi:type="dcterms:W3CDTF">2026-10-12T19:49:02Z</dcterms:modified>
</cp:coreProperties>
</file>
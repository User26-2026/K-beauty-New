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апчасти" sheetId="1" state="visible" r:id="rId1"/>
    <sheet name="По оборудованию" sheetId="2" state="visible" r:id="rId2"/>
  </sheets>
  <definedNames>
    <definedName name="_xlnm._FilterDatabase" localSheetId="0" hidden="1">'Запчасти'!$A$4:$I$79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5" fillId="0" borderId="0" pivotButton="0" quotePrefix="0" xfId="0"/>
    <xf numFmtId="3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4" fillId="0" borderId="1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8" customWidth="1" min="3" max="3"/>
    <col width="22" customWidth="1" min="4" max="4"/>
    <col width="10" customWidth="1" min="5" max="5"/>
    <col width="15" customWidth="1" min="6" max="6"/>
    <col width="14" customWidth="1" min="7" max="7"/>
    <col width="13" customWidth="1" min="8" max="8"/>
    <col width="15" customWidth="1" min="9" max="9"/>
  </cols>
  <sheetData>
    <row r="1">
      <c r="A1" s="1" t="inlineStr">
        <is>
          <t>Запчасти и комплектующие на складе</t>
        </is>
      </c>
    </row>
    <row r="2">
      <c r="A2" s="2" t="inlineStr">
        <is>
          <t>Сгруппировано по оборудованию, к которому подходит запчасть. Желтым отмечены позиции без цены — их надо оценить.</t>
        </is>
      </c>
    </row>
    <row r="4" ht="28" customHeight="1">
      <c r="A4" s="3" t="inlineStr">
        <is>
          <t>№</t>
        </is>
      </c>
      <c r="B4" s="3" t="inlineStr">
        <is>
          <t>К какому оборудованию</t>
        </is>
      </c>
      <c r="C4" s="3" t="inlineStr">
        <is>
          <t>Наименование</t>
        </is>
      </c>
      <c r="D4" s="3" t="inlineStr">
        <is>
          <t>Чертеж</t>
        </is>
      </c>
      <c r="E4" s="3" t="inlineStr">
        <is>
          <t>Наличие</t>
        </is>
      </c>
      <c r="F4" s="3" t="inlineStr">
        <is>
          <t>Цена за ед., руб</t>
        </is>
      </c>
      <c r="G4" s="3" t="inlineStr">
        <is>
          <t>Сумма, руб</t>
        </is>
      </c>
      <c r="H4" s="3" t="inlineStr">
        <is>
          <t>Состояние</t>
        </is>
      </c>
      <c r="I4" s="3" t="inlineStr">
        <is>
          <t>Локация</t>
        </is>
      </c>
    </row>
    <row r="5">
      <c r="A5" s="4" t="n">
        <v>1</v>
      </c>
      <c r="B5" s="4" t="inlineStr">
        <is>
          <t>1ЭЦНУ 16/40</t>
        </is>
      </c>
      <c r="C5" s="5" t="inlineStr">
        <is>
          <t>Кольцо для Насос 1ЭЦНУ 16/40 258.5-33-1175</t>
        </is>
      </c>
      <c r="D5" s="4" t="inlineStr">
        <is>
          <t>2</t>
        </is>
      </c>
      <c r="E5" s="4" t="n">
        <v>2</v>
      </c>
      <c r="F5" s="6" t="n"/>
      <c r="G5" s="7" t="n"/>
      <c r="H5" s="4" t="inlineStr">
        <is>
          <t>не указано</t>
        </is>
      </c>
      <c r="I5" s="4" t="inlineStr">
        <is>
          <t>Склад 3</t>
        </is>
      </c>
    </row>
    <row r="6">
      <c r="A6" s="4" t="n">
        <v>2</v>
      </c>
      <c r="B6" s="4" t="inlineStr">
        <is>
          <t>1ЭЦНУ 16/40</t>
        </is>
      </c>
      <c r="C6" s="5" t="inlineStr">
        <is>
          <t>Манжета для Насос 1ЭЦНУ 16/40</t>
        </is>
      </c>
      <c r="D6" s="4" t="inlineStr">
        <is>
          <t>1</t>
        </is>
      </c>
      <c r="E6" s="4" t="n">
        <v>1</v>
      </c>
      <c r="F6" s="6" t="n"/>
      <c r="G6" s="7" t="n"/>
      <c r="H6" s="4" t="inlineStr">
        <is>
          <t>не указано</t>
        </is>
      </c>
      <c r="I6" s="4" t="inlineStr">
        <is>
          <t>Склад 3</t>
        </is>
      </c>
    </row>
    <row r="7">
      <c r="A7" s="4" t="n">
        <v>3</v>
      </c>
      <c r="B7" s="4" t="inlineStr">
        <is>
          <t>1ЭЦНУ 16/40</t>
        </is>
      </c>
      <c r="C7" s="5" t="inlineStr">
        <is>
          <t>Колесо раб.Насос 1ЭЦНУ 16/40</t>
        </is>
      </c>
      <c r="D7" s="4" t="inlineStr">
        <is>
          <t>8</t>
        </is>
      </c>
      <c r="E7" s="4" t="n">
        <v>8</v>
      </c>
      <c r="F7" s="6" t="n"/>
      <c r="G7" s="7" t="n"/>
      <c r="H7" s="4" t="inlineStr">
        <is>
          <t>не указано</t>
        </is>
      </c>
      <c r="I7" s="4" t="inlineStr">
        <is>
          <t>Склад 3</t>
        </is>
      </c>
    </row>
    <row r="8">
      <c r="A8" s="4" t="n">
        <v>4</v>
      </c>
      <c r="B8" s="4" t="inlineStr">
        <is>
          <t>Двигатель 18/22</t>
        </is>
      </c>
      <c r="C8" s="5" t="inlineStr">
        <is>
          <t>Коленвал 18/22</t>
        </is>
      </c>
      <c r="D8" s="4" t="inlineStr"/>
      <c r="E8" s="4" t="n">
        <v>1</v>
      </c>
      <c r="F8" s="7" t="n">
        <v>400000</v>
      </c>
      <c r="G8" s="7" t="n">
        <v>400000</v>
      </c>
      <c r="H8" s="4" t="inlineStr">
        <is>
          <t>не указано</t>
        </is>
      </c>
      <c r="I8" s="4" t="inlineStr">
        <is>
          <t>Гараж 1</t>
        </is>
      </c>
    </row>
    <row r="9">
      <c r="A9" s="4" t="n">
        <v>5</v>
      </c>
      <c r="B9" s="4" t="inlineStr">
        <is>
          <t>Двигатель 3Д12</t>
        </is>
      </c>
      <c r="C9" s="5" t="inlineStr">
        <is>
          <t>Насос ТНВД с регулятором АК-7 327-20-1Н/ АК-7 315-619-2Н</t>
        </is>
      </c>
      <c r="D9" s="4" t="inlineStr">
        <is>
          <t>1</t>
        </is>
      </c>
      <c r="E9" s="4" t="n">
        <v>1</v>
      </c>
      <c r="F9" s="7" t="n">
        <v>40000</v>
      </c>
      <c r="G9" s="7" t="n">
        <v>40000</v>
      </c>
      <c r="H9" s="4" t="inlineStr">
        <is>
          <t>не указано</t>
        </is>
      </c>
      <c r="I9" s="4" t="inlineStr">
        <is>
          <t>Склад 3</t>
        </is>
      </c>
    </row>
    <row r="10">
      <c r="A10" s="4" t="n">
        <v>6</v>
      </c>
      <c r="B10" s="4" t="inlineStr">
        <is>
          <t>Двигатель 6ЧН25/34</t>
        </is>
      </c>
      <c r="C10" s="5" t="inlineStr">
        <is>
          <t>Поршень 6ЧН25/34</t>
        </is>
      </c>
      <c r="D10" s="4" t="inlineStr">
        <is>
          <t>1</t>
        </is>
      </c>
      <c r="E10" s="4" t="n">
        <v>1</v>
      </c>
      <c r="F10" s="7" t="n">
        <v>55000</v>
      </c>
      <c r="G10" s="7" t="n">
        <v>55000</v>
      </c>
      <c r="H10" s="4" t="inlineStr">
        <is>
          <t>не указано</t>
        </is>
      </c>
      <c r="I10" s="4" t="inlineStr">
        <is>
          <t>Склад 3</t>
        </is>
      </c>
    </row>
    <row r="11">
      <c r="A11" s="4" t="n">
        <v>7</v>
      </c>
      <c r="B11" s="4" t="inlineStr">
        <is>
          <t>Двигатель 6ЧН25/34</t>
        </is>
      </c>
      <c r="C11" s="5" t="inlineStr">
        <is>
          <t>Клапан выхлопной</t>
        </is>
      </c>
      <c r="D11" s="4" t="inlineStr">
        <is>
          <t>5</t>
        </is>
      </c>
      <c r="E11" s="4" t="n">
        <v>5</v>
      </c>
      <c r="F11" s="7" t="n">
        <v>6000</v>
      </c>
      <c r="G11" s="7" t="n">
        <v>30000</v>
      </c>
      <c r="H11" s="4" t="inlineStr">
        <is>
          <t>не указано</t>
        </is>
      </c>
      <c r="I11" s="4" t="inlineStr">
        <is>
          <t>Склад 3</t>
        </is>
      </c>
    </row>
    <row r="12">
      <c r="A12" s="4" t="n">
        <v>8</v>
      </c>
      <c r="B12" s="4" t="inlineStr">
        <is>
          <t>Двигатель 6ЧН25/34</t>
        </is>
      </c>
      <c r="C12" s="5" t="inlineStr">
        <is>
          <t>Клапан всасывающий</t>
        </is>
      </c>
      <c r="D12" s="4" t="inlineStr">
        <is>
          <t>2</t>
        </is>
      </c>
      <c r="E12" s="4" t="n">
        <v>2</v>
      </c>
      <c r="F12" s="7" t="n">
        <v>5400</v>
      </c>
      <c r="G12" s="7" t="n">
        <v>10800</v>
      </c>
      <c r="H12" s="4" t="inlineStr">
        <is>
          <t>не указано</t>
        </is>
      </c>
      <c r="I12" s="4" t="inlineStr">
        <is>
          <t>Склад 3</t>
        </is>
      </c>
    </row>
    <row r="13">
      <c r="A13" s="4" t="n">
        <v>9</v>
      </c>
      <c r="B13" s="4" t="inlineStr">
        <is>
          <t>Двигатель 6ЧН25/34</t>
        </is>
      </c>
      <c r="C13" s="5" t="inlineStr">
        <is>
          <t>Клапан пусковой</t>
        </is>
      </c>
      <c r="D13" s="4" t="inlineStr">
        <is>
          <t>1</t>
        </is>
      </c>
      <c r="E13" s="4" t="n">
        <v>1</v>
      </c>
      <c r="F13" s="7" t="n">
        <v>9000</v>
      </c>
      <c r="G13" s="7" t="n">
        <v>9000</v>
      </c>
      <c r="H13" s="4" t="inlineStr">
        <is>
          <t>не указано</t>
        </is>
      </c>
      <c r="I13" s="4" t="inlineStr">
        <is>
          <t>Склад 3</t>
        </is>
      </c>
    </row>
    <row r="14">
      <c r="A14" s="4" t="n">
        <v>10</v>
      </c>
      <c r="B14" s="4" t="inlineStr">
        <is>
          <t>Двигатель 6ЧН25/34</t>
        </is>
      </c>
      <c r="C14" s="5" t="inlineStr">
        <is>
          <t>Плунжерная пара 1ая/2ая модель</t>
        </is>
      </c>
      <c r="D14" s="4" t="inlineStr">
        <is>
          <t>2</t>
        </is>
      </c>
      <c r="E14" s="4" t="n">
        <v>2</v>
      </c>
      <c r="F14" s="7" t="n">
        <v>4000</v>
      </c>
      <c r="G14" s="7" t="n">
        <v>8000</v>
      </c>
      <c r="H14" s="4" t="inlineStr">
        <is>
          <t>не указано</t>
        </is>
      </c>
      <c r="I14" s="4" t="inlineStr">
        <is>
          <t>Склад 3</t>
        </is>
      </c>
    </row>
    <row r="15">
      <c r="A15" s="4" t="n">
        <v>11</v>
      </c>
      <c r="B15" s="4" t="inlineStr">
        <is>
          <t>Двигатель 6ЧН25/34</t>
        </is>
      </c>
      <c r="C15" s="5" t="inlineStr">
        <is>
          <t>Клапан нагнетательный</t>
        </is>
      </c>
      <c r="D15" s="4" t="inlineStr">
        <is>
          <t>6</t>
        </is>
      </c>
      <c r="E15" s="4" t="n">
        <v>6</v>
      </c>
      <c r="F15" s="7" t="n">
        <v>750</v>
      </c>
      <c r="G15" s="7" t="n">
        <v>4500</v>
      </c>
      <c r="H15" s="4" t="inlineStr">
        <is>
          <t>не указано</t>
        </is>
      </c>
      <c r="I15" s="4" t="inlineStr">
        <is>
          <t>Склад 3</t>
        </is>
      </c>
    </row>
    <row r="16">
      <c r="A16" s="4" t="n">
        <v>12</v>
      </c>
      <c r="B16" s="4" t="inlineStr">
        <is>
          <t>Двигатель 6ЧН25/34</t>
        </is>
      </c>
      <c r="C16" s="5" t="inlineStr">
        <is>
          <t>Направляющая клапана</t>
        </is>
      </c>
      <c r="D16" s="4" t="inlineStr">
        <is>
          <t>2</t>
        </is>
      </c>
      <c r="E16" s="4" t="n">
        <v>2</v>
      </c>
      <c r="F16" s="7" t="n">
        <v>2100</v>
      </c>
      <c r="G16" s="7" t="n">
        <v>4200</v>
      </c>
      <c r="H16" s="4" t="inlineStr">
        <is>
          <t>не указано</t>
        </is>
      </c>
      <c r="I16" s="4" t="inlineStr">
        <is>
          <t>Склад 3</t>
        </is>
      </c>
    </row>
    <row r="17">
      <c r="A17" s="4" t="n">
        <v>13</v>
      </c>
      <c r="B17" s="4" t="inlineStr">
        <is>
          <t>Двигатель 6ЧН25/34</t>
        </is>
      </c>
      <c r="C17" s="5" t="inlineStr">
        <is>
          <t>Седло клапана</t>
        </is>
      </c>
      <c r="D17" s="4" t="inlineStr">
        <is>
          <t>1</t>
        </is>
      </c>
      <c r="E17" s="4" t="n">
        <v>1</v>
      </c>
      <c r="F17" s="7" t="n">
        <v>1600</v>
      </c>
      <c r="G17" s="7" t="n">
        <v>1600</v>
      </c>
      <c r="H17" s="4" t="inlineStr">
        <is>
          <t>не указано</t>
        </is>
      </c>
      <c r="I17" s="4" t="inlineStr">
        <is>
          <t>Склад 3</t>
        </is>
      </c>
    </row>
    <row r="18">
      <c r="A18" s="4" t="n">
        <v>14</v>
      </c>
      <c r="B18" s="4" t="inlineStr">
        <is>
          <t>Двигатель 6ЧН25/34</t>
        </is>
      </c>
      <c r="C18" s="5" t="inlineStr">
        <is>
          <t>Кулачковая шайба топливная</t>
        </is>
      </c>
      <c r="D18" s="4" t="inlineStr">
        <is>
          <t>2</t>
        </is>
      </c>
      <c r="E18" s="4" t="n">
        <v>2</v>
      </c>
      <c r="F18" s="7" t="n">
        <v>750</v>
      </c>
      <c r="G18" s="7" t="n">
        <v>1500</v>
      </c>
      <c r="H18" s="4" t="inlineStr">
        <is>
          <t>не указано</t>
        </is>
      </c>
      <c r="I18" s="4" t="inlineStr">
        <is>
          <t>Склад 3</t>
        </is>
      </c>
    </row>
    <row r="19">
      <c r="A19" s="4" t="n">
        <v>15</v>
      </c>
      <c r="B19" s="4" t="inlineStr">
        <is>
          <t>Двигатель 8NVD48A2U</t>
        </is>
      </c>
      <c r="C19" s="5" t="inlineStr">
        <is>
          <t>Крышка цилиндра 8НВД48А2У (голые)</t>
        </is>
      </c>
      <c r="D19" s="4" t="inlineStr"/>
      <c r="E19" s="4" t="n">
        <v>8</v>
      </c>
      <c r="F19" s="7" t="n">
        <v>80000</v>
      </c>
      <c r="G19" s="7" t="n">
        <v>640000</v>
      </c>
      <c r="H19" s="4" t="inlineStr">
        <is>
          <t>не указано</t>
        </is>
      </c>
      <c r="I19" s="4" t="inlineStr">
        <is>
          <t>Склад 1А/1Б</t>
        </is>
      </c>
    </row>
    <row r="20">
      <c r="A20" s="4" t="n">
        <v>16</v>
      </c>
      <c r="B20" s="4" t="inlineStr">
        <is>
          <t>Двигатель 8NVD48A2U</t>
        </is>
      </c>
      <c r="C20" s="5" t="inlineStr">
        <is>
          <t>Корпус выхлопного клапана</t>
        </is>
      </c>
      <c r="D20" s="4" t="inlineStr">
        <is>
          <t>1</t>
        </is>
      </c>
      <c r="E20" s="4" t="n">
        <v>1</v>
      </c>
      <c r="F20" s="7" t="n">
        <v>30000</v>
      </c>
      <c r="G20" s="7" t="n">
        <v>30000</v>
      </c>
      <c r="H20" s="4" t="inlineStr">
        <is>
          <t>не указано</t>
        </is>
      </c>
      <c r="I20" s="4" t="inlineStr">
        <is>
          <t>Склад 3</t>
        </is>
      </c>
    </row>
    <row r="21">
      <c r="A21" s="4" t="n">
        <v>17</v>
      </c>
      <c r="B21" s="4" t="inlineStr">
        <is>
          <t>Двигатель 8NVD48A2U</t>
        </is>
      </c>
      <c r="C21" s="5" t="inlineStr">
        <is>
          <t>Фонарь выхлопной 8NVD48A2U</t>
        </is>
      </c>
      <c r="D21" s="4" t="inlineStr">
        <is>
          <t>1</t>
        </is>
      </c>
      <c r="E21" s="4" t="n">
        <v>1</v>
      </c>
      <c r="F21" s="7" t="n">
        <v>11500</v>
      </c>
      <c r="G21" s="7" t="n">
        <v>11500</v>
      </c>
      <c r="H21" s="4" t="inlineStr">
        <is>
          <t>не указано</t>
        </is>
      </c>
      <c r="I21" s="4" t="inlineStr">
        <is>
          <t>Склад 3</t>
        </is>
      </c>
    </row>
    <row r="22">
      <c r="A22" s="4" t="n">
        <v>18</v>
      </c>
      <c r="B22" s="4" t="inlineStr">
        <is>
          <t>Двигатель Д1.М</t>
        </is>
      </c>
      <c r="C22" s="5" t="inlineStr">
        <is>
          <t>Фильтр</t>
        </is>
      </c>
      <c r="D22" s="4" t="inlineStr">
        <is>
          <t>12</t>
        </is>
      </c>
      <c r="E22" s="4" t="n">
        <v>12</v>
      </c>
      <c r="F22" s="7" t="n">
        <v>390</v>
      </c>
      <c r="G22" s="7" t="n">
        <v>4680</v>
      </c>
      <c r="H22" s="4" t="inlineStr">
        <is>
          <t>не указано</t>
        </is>
      </c>
      <c r="I22" s="4" t="inlineStr">
        <is>
          <t>Склад 3</t>
        </is>
      </c>
    </row>
    <row r="23">
      <c r="A23" s="4" t="n">
        <v>19</v>
      </c>
      <c r="B23" s="4" t="inlineStr">
        <is>
          <t>Двигатель Пилстик</t>
        </is>
      </c>
      <c r="C23" s="5" t="inlineStr">
        <is>
          <t>Крышка цилиндра Пилстик (зеленая) на входе</t>
        </is>
      </c>
      <c r="D23" s="4" t="inlineStr"/>
      <c r="E23" s="4" t="n">
        <v>1</v>
      </c>
      <c r="F23" s="7" t="n">
        <v>550000</v>
      </c>
      <c r="G23" s="7" t="n">
        <v>550000</v>
      </c>
      <c r="H23" s="4" t="inlineStr">
        <is>
          <t>не указано</t>
        </is>
      </c>
      <c r="I23" s="4" t="inlineStr">
        <is>
          <t>Склад 1А/1Б</t>
        </is>
      </c>
    </row>
    <row r="24">
      <c r="A24" s="4" t="n">
        <v>20</v>
      </c>
      <c r="B24" s="4" t="inlineStr">
        <is>
          <t>Двигатель ЭТФ-3</t>
        </is>
      </c>
      <c r="C24" s="5" t="inlineStr">
        <is>
          <t>Фильтр</t>
        </is>
      </c>
      <c r="D24" s="4" t="inlineStr">
        <is>
          <t>12</t>
        </is>
      </c>
      <c r="E24" s="4" t="n">
        <v>12</v>
      </c>
      <c r="F24" s="7" t="n">
        <v>300</v>
      </c>
      <c r="G24" s="7" t="n">
        <v>3600</v>
      </c>
      <c r="H24" s="4" t="inlineStr">
        <is>
          <t>не указано</t>
        </is>
      </c>
      <c r="I24" s="4" t="inlineStr">
        <is>
          <t>Склад 3</t>
        </is>
      </c>
    </row>
    <row r="25">
      <c r="A25" s="4" t="n">
        <v>21</v>
      </c>
      <c r="B25" s="4" t="inlineStr">
        <is>
          <t>Кингстон РС-300</t>
        </is>
      </c>
      <c r="C25" s="5" t="inlineStr">
        <is>
          <t>Сетка на фильтр Ду100 (медь) на кингстон РС-300</t>
        </is>
      </c>
      <c r="D25" s="4" t="inlineStr"/>
      <c r="E25" s="4" t="n">
        <v>2</v>
      </c>
      <c r="F25" s="7" t="n">
        <v>10000</v>
      </c>
      <c r="G25" s="7" t="n">
        <v>20000</v>
      </c>
      <c r="H25" s="4" t="inlineStr">
        <is>
          <t>не указано</t>
        </is>
      </c>
      <c r="I25" s="4" t="inlineStr">
        <is>
          <t>Склад 2</t>
        </is>
      </c>
    </row>
    <row r="26">
      <c r="A26" s="4" t="n">
        <v>22</v>
      </c>
      <c r="B26" s="4" t="inlineStr">
        <is>
          <t>Компрессор ЭКП 70/25</t>
        </is>
      </c>
      <c r="C26" s="5" t="inlineStr">
        <is>
          <t>Клапан компресс. ЭКП 70/25</t>
        </is>
      </c>
      <c r="D26" s="4" t="inlineStr">
        <is>
          <t>4</t>
        </is>
      </c>
      <c r="E26" s="4" t="n">
        <v>4</v>
      </c>
      <c r="F26" s="7" t="n">
        <v>4600</v>
      </c>
      <c r="G26" s="7" t="n">
        <v>18400</v>
      </c>
      <c r="H26" s="4" t="inlineStr">
        <is>
          <t>не указано</t>
        </is>
      </c>
      <c r="I26" s="4" t="inlineStr">
        <is>
          <t>Склад 3</t>
        </is>
      </c>
    </row>
    <row r="27">
      <c r="A27" s="4" t="n">
        <v>23</v>
      </c>
      <c r="B27" s="4" t="inlineStr">
        <is>
          <t>НЦВ 100/30</t>
        </is>
      </c>
      <c r="C27" s="5" t="inlineStr">
        <is>
          <t>Втулка насоса НЦВ 100/30</t>
        </is>
      </c>
      <c r="D27" s="4" t="inlineStr">
        <is>
          <t>4</t>
        </is>
      </c>
      <c r="E27" s="4" t="n">
        <v>4</v>
      </c>
      <c r="F27" s="6" t="n"/>
      <c r="G27" s="7" t="n"/>
      <c r="H27" s="4" t="inlineStr">
        <is>
          <t>не указано</t>
        </is>
      </c>
      <c r="I27" s="4" t="inlineStr">
        <is>
          <t>Склад 3</t>
        </is>
      </c>
    </row>
    <row r="28">
      <c r="A28" s="4" t="n">
        <v>24</v>
      </c>
      <c r="B28" s="4" t="inlineStr">
        <is>
          <t>НЦВ 100/30</t>
        </is>
      </c>
      <c r="C28" s="5" t="inlineStr">
        <is>
          <t>Кольцо для Насоса НЦВ 100/30 у-100х95-1</t>
        </is>
      </c>
      <c r="D28" s="4" t="inlineStr">
        <is>
          <t>1</t>
        </is>
      </c>
      <c r="E28" s="4" t="n">
        <v>1</v>
      </c>
      <c r="F28" s="6" t="n"/>
      <c r="G28" s="7" t="n"/>
      <c r="H28" s="4" t="inlineStr">
        <is>
          <t>не указано</t>
        </is>
      </c>
      <c r="I28" s="4" t="inlineStr">
        <is>
          <t>Склад 3</t>
        </is>
      </c>
    </row>
    <row r="29">
      <c r="A29" s="4" t="n">
        <v>25</v>
      </c>
      <c r="B29" s="4" t="inlineStr">
        <is>
          <t>НЦВ 100/30</t>
        </is>
      </c>
      <c r="C29" s="5" t="inlineStr">
        <is>
          <t>Кольцо для Насоса НЦВ 100/30 у-170х0-1</t>
        </is>
      </c>
      <c r="D29" s="4" t="inlineStr">
        <is>
          <t>1</t>
        </is>
      </c>
      <c r="E29" s="4" t="n">
        <v>1</v>
      </c>
      <c r="F29" s="6" t="n"/>
      <c r="G29" s="7" t="n"/>
      <c r="H29" s="4" t="inlineStr">
        <is>
          <t>не указано</t>
        </is>
      </c>
      <c r="I29" s="4" t="inlineStr">
        <is>
          <t>Склад 3</t>
        </is>
      </c>
    </row>
    <row r="30">
      <c r="A30" s="4" t="n">
        <v>26</v>
      </c>
      <c r="B30" s="4" t="inlineStr">
        <is>
          <t>НЦВ 100/30</t>
        </is>
      </c>
      <c r="C30" s="5" t="inlineStr">
        <is>
          <t>Кольцо уплотнительное верхнее Насос НЦВ 100/30</t>
        </is>
      </c>
      <c r="D30" s="4" t="inlineStr">
        <is>
          <t>2</t>
        </is>
      </c>
      <c r="E30" s="4" t="n">
        <v>2</v>
      </c>
      <c r="F30" s="6" t="n"/>
      <c r="G30" s="7" t="n"/>
      <c r="H30" s="4" t="inlineStr">
        <is>
          <t>не указано</t>
        </is>
      </c>
      <c r="I30" s="4" t="inlineStr">
        <is>
          <t>Склад 3</t>
        </is>
      </c>
    </row>
    <row r="31">
      <c r="A31" s="4" t="n">
        <v>27</v>
      </c>
      <c r="B31" s="4" t="inlineStr">
        <is>
          <t>НЦВ 100/30</t>
        </is>
      </c>
      <c r="C31" s="5" t="inlineStr">
        <is>
          <t>Кольцо уплотнительное нижнее Насос НЦВ 100/30</t>
        </is>
      </c>
      <c r="D31" s="4" t="inlineStr">
        <is>
          <t>2</t>
        </is>
      </c>
      <c r="E31" s="4" t="n">
        <v>2</v>
      </c>
      <c r="F31" s="6" t="n"/>
      <c r="G31" s="7" t="n"/>
      <c r="H31" s="4" t="inlineStr">
        <is>
          <t>не указано</t>
        </is>
      </c>
      <c r="I31" s="4" t="inlineStr">
        <is>
          <t>Склад 3</t>
        </is>
      </c>
    </row>
    <row r="32">
      <c r="A32" s="4" t="n">
        <v>28</v>
      </c>
      <c r="B32" s="4" t="inlineStr">
        <is>
          <t>НЦВ 100/30</t>
        </is>
      </c>
      <c r="C32" s="5" t="inlineStr">
        <is>
          <t>Шайба стопорная для Насос НЦВ 100/30</t>
        </is>
      </c>
      <c r="D32" s="4" t="inlineStr">
        <is>
          <t>1</t>
        </is>
      </c>
      <c r="E32" s="4" t="n">
        <v>1</v>
      </c>
      <c r="F32" s="6" t="n"/>
      <c r="G32" s="7" t="n"/>
      <c r="H32" s="4" t="inlineStr">
        <is>
          <t>не указано</t>
        </is>
      </c>
      <c r="I32" s="4" t="inlineStr">
        <is>
          <t>Склад 3</t>
        </is>
      </c>
    </row>
    <row r="33">
      <c r="A33" s="4" t="n">
        <v>29</v>
      </c>
      <c r="B33" s="4" t="inlineStr">
        <is>
          <t>НЦВ 40/20</t>
        </is>
      </c>
      <c r="C33" s="5" t="inlineStr">
        <is>
          <t>Колесо рабочее для Насос НЦВ 40/20</t>
        </is>
      </c>
      <c r="D33" s="4" t="inlineStr">
        <is>
          <t>1</t>
        </is>
      </c>
      <c r="E33" s="4" t="n">
        <v>1</v>
      </c>
      <c r="F33" s="7" t="n">
        <v>19800</v>
      </c>
      <c r="G33" s="7" t="n">
        <v>19800</v>
      </c>
      <c r="H33" s="4" t="inlineStr">
        <is>
          <t>не указано</t>
        </is>
      </c>
      <c r="I33" s="4" t="inlineStr">
        <is>
          <t>Склад 3</t>
        </is>
      </c>
    </row>
    <row r="34">
      <c r="A34" s="4" t="n">
        <v>30</v>
      </c>
      <c r="B34" s="4" t="inlineStr">
        <is>
          <t>НЦВ 40/20</t>
        </is>
      </c>
      <c r="C34" s="5" t="inlineStr">
        <is>
          <t>Гайка рабочего колеса для Насос НЦВ 40/20</t>
        </is>
      </c>
      <c r="D34" s="4" t="inlineStr">
        <is>
          <t>2</t>
        </is>
      </c>
      <c r="E34" s="4" t="n">
        <v>2</v>
      </c>
      <c r="F34" s="7" t="n">
        <v>2900</v>
      </c>
      <c r="G34" s="7" t="n">
        <v>5800</v>
      </c>
      <c r="H34" s="4" t="inlineStr">
        <is>
          <t>не указано</t>
        </is>
      </c>
      <c r="I34" s="4" t="inlineStr">
        <is>
          <t>Склад 3</t>
        </is>
      </c>
    </row>
    <row r="35">
      <c r="A35" s="4" t="n">
        <v>31</v>
      </c>
      <c r="B35" s="4" t="inlineStr">
        <is>
          <t>НЦВ 40/20</t>
        </is>
      </c>
      <c r="C35" s="5" t="inlineStr">
        <is>
          <t>Кольцо уплотнительное верхнее Насос НЦВ 40/20</t>
        </is>
      </c>
      <c r="D35" s="4" t="inlineStr">
        <is>
          <t>4</t>
        </is>
      </c>
      <c r="E35" s="4" t="n">
        <v>4</v>
      </c>
      <c r="F35" s="6" t="n"/>
      <c r="G35" s="7" t="n"/>
      <c r="H35" s="4" t="inlineStr">
        <is>
          <t>не указано</t>
        </is>
      </c>
      <c r="I35" s="4" t="inlineStr">
        <is>
          <t>Склад 3</t>
        </is>
      </c>
    </row>
    <row r="36">
      <c r="A36" s="4" t="n">
        <v>32</v>
      </c>
      <c r="B36" s="4" t="inlineStr">
        <is>
          <t>НЦВ 40/20</t>
        </is>
      </c>
      <c r="C36" s="5" t="inlineStr">
        <is>
          <t>Кольцо уплотнительное нижнее Насос НЦВ 40/20</t>
        </is>
      </c>
      <c r="D36" s="4" t="inlineStr">
        <is>
          <t>4</t>
        </is>
      </c>
      <c r="E36" s="4" t="n">
        <v>4</v>
      </c>
      <c r="F36" s="6" t="n"/>
      <c r="G36" s="7" t="n"/>
      <c r="H36" s="4" t="inlineStr">
        <is>
          <t>не указано</t>
        </is>
      </c>
      <c r="I36" s="4" t="inlineStr">
        <is>
          <t>Склад 3</t>
        </is>
      </c>
    </row>
    <row r="37">
      <c r="A37" s="4" t="n">
        <v>33</v>
      </c>
      <c r="B37" s="4" t="inlineStr">
        <is>
          <t>НЦВ 40/20</t>
        </is>
      </c>
      <c r="C37" s="5" t="inlineStr">
        <is>
          <t>Шайба стопорная для Насос НЦВ 40/20</t>
        </is>
      </c>
      <c r="D37" s="4" t="inlineStr">
        <is>
          <t>2</t>
        </is>
      </c>
      <c r="E37" s="4" t="n">
        <v>2</v>
      </c>
      <c r="F37" s="6" t="n"/>
      <c r="G37" s="7" t="n"/>
      <c r="H37" s="4" t="inlineStr">
        <is>
          <t>не указано</t>
        </is>
      </c>
      <c r="I37" s="4" t="inlineStr">
        <is>
          <t>Склад 3</t>
        </is>
      </c>
    </row>
    <row r="38">
      <c r="A38" s="4" t="n">
        <v>34</v>
      </c>
      <c r="B38" s="4" t="inlineStr">
        <is>
          <t>НЦВ 40/20</t>
        </is>
      </c>
      <c r="C38" s="5" t="inlineStr">
        <is>
          <t>Кольцо для Насос НЦВ 40/20 165-170-36-16</t>
        </is>
      </c>
      <c r="D38" s="4" t="inlineStr">
        <is>
          <t>4</t>
        </is>
      </c>
      <c r="E38" s="4" t="n">
        <v>4</v>
      </c>
      <c r="F38" s="6" t="n"/>
      <c r="G38" s="7" t="n"/>
      <c r="H38" s="4" t="inlineStr">
        <is>
          <t>не указано</t>
        </is>
      </c>
      <c r="I38" s="4" t="inlineStr">
        <is>
          <t>Склад 3</t>
        </is>
      </c>
    </row>
    <row r="39">
      <c r="A39" s="4" t="n">
        <v>35</v>
      </c>
      <c r="B39" s="4" t="inlineStr">
        <is>
          <t>НЦВ 40/20</t>
        </is>
      </c>
      <c r="C39" s="5" t="inlineStr">
        <is>
          <t>Кольцо резин. Ф90х3,6</t>
        </is>
      </c>
      <c r="D39" s="4" t="inlineStr">
        <is>
          <t>1</t>
        </is>
      </c>
      <c r="E39" s="4" t="n">
        <v>1</v>
      </c>
      <c r="F39" s="6" t="n"/>
      <c r="G39" s="7" t="n"/>
      <c r="H39" s="4" t="inlineStr">
        <is>
          <t>не указано</t>
        </is>
      </c>
      <c r="I39" s="4" t="inlineStr">
        <is>
          <t>Склад 3</t>
        </is>
      </c>
    </row>
    <row r="40">
      <c r="A40" s="4" t="n">
        <v>36</v>
      </c>
      <c r="B40" s="4" t="inlineStr">
        <is>
          <t>НЦВ 40/20</t>
        </is>
      </c>
      <c r="C40" s="5" t="inlineStr">
        <is>
          <t>Кольцо резин. Ф60х3,0</t>
        </is>
      </c>
      <c r="D40" s="4" t="inlineStr">
        <is>
          <t>1</t>
        </is>
      </c>
      <c r="E40" s="4" t="n">
        <v>1</v>
      </c>
      <c r="F40" s="6" t="n"/>
      <c r="G40" s="7" t="n"/>
      <c r="H40" s="4" t="inlineStr">
        <is>
          <t>не указано</t>
        </is>
      </c>
      <c r="I40" s="4" t="inlineStr">
        <is>
          <t>Склад 3</t>
        </is>
      </c>
    </row>
    <row r="41">
      <c r="A41" s="4" t="n">
        <v>37</v>
      </c>
      <c r="B41" s="4" t="inlineStr">
        <is>
          <t>НЦВ 40/20</t>
        </is>
      </c>
      <c r="C41" s="5" t="inlineStr">
        <is>
          <t>Кольцо резин. Ф45х4,0</t>
        </is>
      </c>
      <c r="D41" s="4" t="inlineStr">
        <is>
          <t>1</t>
        </is>
      </c>
      <c r="E41" s="4" t="n">
        <v>1</v>
      </c>
      <c r="F41" s="6" t="n"/>
      <c r="G41" s="7" t="n"/>
      <c r="H41" s="4" t="inlineStr">
        <is>
          <t>не указано</t>
        </is>
      </c>
      <c r="I41" s="4" t="inlineStr">
        <is>
          <t>Склад 3</t>
        </is>
      </c>
    </row>
    <row r="42">
      <c r="A42" s="4" t="n">
        <v>38</v>
      </c>
      <c r="B42" s="4" t="inlineStr">
        <is>
          <t>НЦВ 40/20</t>
        </is>
      </c>
      <c r="C42" s="5" t="inlineStr">
        <is>
          <t>Кольцо резин. Ф30х3,0</t>
        </is>
      </c>
      <c r="D42" s="4" t="inlineStr">
        <is>
          <t>1</t>
        </is>
      </c>
      <c r="E42" s="4" t="n">
        <v>1</v>
      </c>
      <c r="F42" s="6" t="n"/>
      <c r="G42" s="7" t="n"/>
      <c r="H42" s="4" t="inlineStr">
        <is>
          <t>не указано</t>
        </is>
      </c>
      <c r="I42" s="4" t="inlineStr">
        <is>
          <t>Склад 3</t>
        </is>
      </c>
    </row>
    <row r="43">
      <c r="A43" s="4" t="n">
        <v>39</v>
      </c>
      <c r="B43" s="4" t="inlineStr">
        <is>
          <t>НЦВ 40/20</t>
        </is>
      </c>
      <c r="C43" s="5" t="inlineStr">
        <is>
          <t>Кольцо резин. Ф28х3,0</t>
        </is>
      </c>
      <c r="D43" s="4" t="inlineStr">
        <is>
          <t>1</t>
        </is>
      </c>
      <c r="E43" s="4" t="n">
        <v>1</v>
      </c>
      <c r="F43" s="6" t="n"/>
      <c r="G43" s="7" t="n"/>
      <c r="H43" s="4" t="inlineStr">
        <is>
          <t>не указано</t>
        </is>
      </c>
      <c r="I43" s="4" t="inlineStr">
        <is>
          <t>Склад 3</t>
        </is>
      </c>
    </row>
    <row r="44">
      <c r="A44" s="4" t="n">
        <v>40</v>
      </c>
      <c r="B44" s="4" t="inlineStr">
        <is>
          <t>НЦВ 40/20</t>
        </is>
      </c>
      <c r="C44" s="5" t="inlineStr">
        <is>
          <t>Кольцо резин. Ф25х3,6</t>
        </is>
      </c>
      <c r="D44" s="4" t="inlineStr">
        <is>
          <t>1</t>
        </is>
      </c>
      <c r="E44" s="4" t="n">
        <v>1</v>
      </c>
      <c r="F44" s="6" t="n"/>
      <c r="G44" s="7" t="n"/>
      <c r="H44" s="4" t="inlineStr">
        <is>
          <t>не указано</t>
        </is>
      </c>
      <c r="I44" s="4" t="inlineStr">
        <is>
          <t>Склад 3</t>
        </is>
      </c>
    </row>
    <row r="45">
      <c r="A45" s="4" t="n">
        <v>41</v>
      </c>
      <c r="B45" s="4" t="inlineStr">
        <is>
          <t>НЦВ 40/80</t>
        </is>
      </c>
      <c r="C45" s="5" t="inlineStr">
        <is>
          <t>Колесо раб.Насос НЦВ 40/80</t>
        </is>
      </c>
      <c r="D45" s="4" t="inlineStr">
        <is>
          <t>1</t>
        </is>
      </c>
      <c r="E45" s="4" t="n">
        <v>1</v>
      </c>
      <c r="F45" s="6" t="n"/>
      <c r="G45" s="7" t="n"/>
      <c r="H45" s="4" t="inlineStr">
        <is>
          <t>не указано</t>
        </is>
      </c>
      <c r="I45" s="4" t="inlineStr">
        <is>
          <t>Склад 3</t>
        </is>
      </c>
    </row>
    <row r="46">
      <c r="A46" s="4" t="n">
        <v>42</v>
      </c>
      <c r="B46" s="4" t="inlineStr">
        <is>
          <t>НЦВ 63/20</t>
        </is>
      </c>
      <c r="C46" s="5" t="inlineStr">
        <is>
          <t>Уплотнение торц. 6АР 50Е</t>
        </is>
      </c>
      <c r="D46" s="4" t="inlineStr">
        <is>
          <t>8</t>
        </is>
      </c>
      <c r="E46" s="4" t="n">
        <v>8</v>
      </c>
      <c r="F46" s="7" t="n">
        <v>22000</v>
      </c>
      <c r="G46" s="7" t="n">
        <v>176000</v>
      </c>
      <c r="H46" s="4" t="inlineStr">
        <is>
          <t>не указано</t>
        </is>
      </c>
      <c r="I46" s="4" t="inlineStr">
        <is>
          <t>Склад 3</t>
        </is>
      </c>
    </row>
    <row r="47">
      <c r="A47" s="4" t="n">
        <v>43</v>
      </c>
      <c r="B47" s="4" t="inlineStr">
        <is>
          <t>НЦВ160/80</t>
        </is>
      </c>
      <c r="C47" s="5" t="inlineStr">
        <is>
          <t>Колесо раб. Насос НЦВ 160/80</t>
        </is>
      </c>
      <c r="D47" s="4" t="inlineStr">
        <is>
          <t>1</t>
        </is>
      </c>
      <c r="E47" s="4" t="n">
        <v>1</v>
      </c>
      <c r="F47" s="6" t="n"/>
      <c r="G47" s="7" t="n"/>
      <c r="H47" s="4" t="inlineStr">
        <is>
          <t>не указано</t>
        </is>
      </c>
      <c r="I47" s="4" t="inlineStr">
        <is>
          <t>Склад 3</t>
        </is>
      </c>
    </row>
    <row r="48">
      <c r="A48" s="4" t="n">
        <v>44</v>
      </c>
      <c r="B48" s="4" t="inlineStr">
        <is>
          <t>НЦВС 40/20</t>
        </is>
      </c>
      <c r="C48" s="5" t="inlineStr">
        <is>
          <t>Поплавок НЦВС 40/20</t>
        </is>
      </c>
      <c r="D48" s="4" t="inlineStr">
        <is>
          <t>20</t>
        </is>
      </c>
      <c r="E48" s="4" t="n">
        <v>20</v>
      </c>
      <c r="F48" s="7" t="n">
        <v>3500</v>
      </c>
      <c r="G48" s="7" t="n">
        <v>70000</v>
      </c>
      <c r="H48" s="4" t="inlineStr">
        <is>
          <t>не указано</t>
        </is>
      </c>
      <c r="I48" s="4" t="inlineStr">
        <is>
          <t>Склад 3</t>
        </is>
      </c>
    </row>
    <row r="49">
      <c r="A49" s="4" t="n">
        <v>45</v>
      </c>
      <c r="B49" s="4" t="inlineStr">
        <is>
          <t>НЦВС 63/20</t>
        </is>
      </c>
      <c r="C49" s="5" t="inlineStr">
        <is>
          <t>Сальниковая обойма нижняя часть НЦВС 63/20</t>
        </is>
      </c>
      <c r="D49" s="4" t="inlineStr">
        <is>
          <t>2</t>
        </is>
      </c>
      <c r="E49" s="4" t="n">
        <v>2</v>
      </c>
      <c r="F49" s="7" t="n">
        <v>15000</v>
      </c>
      <c r="G49" s="7" t="n">
        <v>30000</v>
      </c>
      <c r="H49" s="4" t="inlineStr">
        <is>
          <t>не указано</t>
        </is>
      </c>
      <c r="I49" s="4" t="inlineStr">
        <is>
          <t>Склад 3</t>
        </is>
      </c>
    </row>
    <row r="50">
      <c r="A50" s="4" t="n">
        <v>46</v>
      </c>
      <c r="B50" s="4" t="inlineStr">
        <is>
          <t>Плита ПКЭ-300</t>
        </is>
      </c>
      <c r="C50" s="5" t="inlineStr">
        <is>
          <t>Вилка к ПКЭ-300</t>
        </is>
      </c>
      <c r="D50" s="4" t="inlineStr">
        <is>
          <t>4</t>
        </is>
      </c>
      <c r="E50" s="4" t="n">
        <v>4</v>
      </c>
      <c r="F50" s="6" t="n"/>
      <c r="G50" s="7" t="n"/>
      <c r="H50" s="4" t="inlineStr">
        <is>
          <t>не указано</t>
        </is>
      </c>
      <c r="I50" s="4" t="inlineStr">
        <is>
          <t>Склад 3</t>
        </is>
      </c>
    </row>
    <row r="51">
      <c r="A51" s="4" t="n">
        <v>47</v>
      </c>
      <c r="B51" s="4" t="inlineStr">
        <is>
          <t>Светильник СС328</t>
        </is>
      </c>
      <c r="C51" s="5" t="inlineStr">
        <is>
          <t>Резинки для СС328</t>
        </is>
      </c>
      <c r="D51" s="4" t="inlineStr">
        <is>
          <t>405</t>
        </is>
      </c>
      <c r="E51" s="4" t="n">
        <v>405</v>
      </c>
      <c r="F51" s="7" t="n">
        <v>190</v>
      </c>
      <c r="G51" s="7" t="n">
        <v>76950</v>
      </c>
      <c r="H51" s="4" t="inlineStr">
        <is>
          <t>не указано</t>
        </is>
      </c>
      <c r="I51" s="4" t="inlineStr">
        <is>
          <t>Склад 3</t>
        </is>
      </c>
    </row>
    <row r="52">
      <c r="A52" s="4" t="n">
        <v>48</v>
      </c>
      <c r="B52" s="4" t="inlineStr">
        <is>
          <t>Светильник СС328</t>
        </is>
      </c>
      <c r="C52" s="5" t="inlineStr">
        <is>
          <t>Светильник СС-328 решетка</t>
        </is>
      </c>
      <c r="D52" s="4" t="inlineStr">
        <is>
          <t>38</t>
        </is>
      </c>
      <c r="E52" s="4" t="n">
        <v>38</v>
      </c>
      <c r="F52" s="7" t="n">
        <v>800</v>
      </c>
      <c r="G52" s="7" t="n">
        <v>30400</v>
      </c>
      <c r="H52" s="4" t="inlineStr">
        <is>
          <t>не указано</t>
        </is>
      </c>
      <c r="I52" s="4" t="inlineStr">
        <is>
          <t>Склад 2</t>
        </is>
      </c>
    </row>
    <row r="53">
      <c r="A53" s="4" t="n">
        <v>49</v>
      </c>
      <c r="B53" s="4" t="inlineStr">
        <is>
          <t>Светильник СС328</t>
        </is>
      </c>
      <c r="C53" s="5" t="inlineStr">
        <is>
          <t>Стекло к светильникам СС-328(прозр.)</t>
        </is>
      </c>
      <c r="D53" s="4" t="inlineStr"/>
      <c r="E53" s="4" t="n">
        <v>53</v>
      </c>
      <c r="F53" s="7" t="n">
        <v>500</v>
      </c>
      <c r="G53" s="7" t="n">
        <v>26500</v>
      </c>
      <c r="H53" s="4" t="inlineStr">
        <is>
          <t>не указано</t>
        </is>
      </c>
      <c r="I53" s="4" t="inlineStr">
        <is>
          <t>Контейнер 1</t>
        </is>
      </c>
    </row>
    <row r="54">
      <c r="A54" s="4" t="n">
        <v>50</v>
      </c>
      <c r="B54" s="4" t="inlineStr">
        <is>
          <t>Светильник СС328</t>
        </is>
      </c>
      <c r="C54" s="5" t="inlineStr">
        <is>
          <t>Светильник СС328 (дно)Украина приход 31.01.14</t>
        </is>
      </c>
      <c r="D54" s="4" t="inlineStr">
        <is>
          <t>23</t>
        </is>
      </c>
      <c r="E54" s="4" t="n">
        <v>23</v>
      </c>
      <c r="F54" s="7" t="n">
        <v>500</v>
      </c>
      <c r="G54" s="7" t="n">
        <v>11500</v>
      </c>
      <c r="H54" s="4" t="inlineStr">
        <is>
          <t>не указано</t>
        </is>
      </c>
      <c r="I54" s="4" t="inlineStr">
        <is>
          <t>Склад 2</t>
        </is>
      </c>
    </row>
    <row r="55">
      <c r="A55" s="4" t="n">
        <v>51</v>
      </c>
      <c r="B55" s="4" t="inlineStr">
        <is>
          <t>Светильник СС328</t>
        </is>
      </c>
      <c r="C55" s="5" t="inlineStr">
        <is>
          <t>Стекло к светильникам СС-328(опал)</t>
        </is>
      </c>
      <c r="D55" s="4" t="inlineStr"/>
      <c r="E55" s="4" t="n">
        <v>3</v>
      </c>
      <c r="F55" s="7" t="n">
        <v>500</v>
      </c>
      <c r="G55" s="7" t="n">
        <v>1500</v>
      </c>
      <c r="H55" s="4" t="inlineStr">
        <is>
          <t>не указано</t>
        </is>
      </c>
      <c r="I55" s="4" t="inlineStr">
        <is>
          <t>Контейнер 1</t>
        </is>
      </c>
    </row>
    <row r="56">
      <c r="A56" s="4" t="n">
        <v>52</v>
      </c>
      <c r="B56" s="4" t="inlineStr">
        <is>
          <t>Светильник СС328</t>
        </is>
      </c>
      <c r="C56" s="5" t="inlineStr">
        <is>
          <t>Стекло к светильникам СС-328 (синий)</t>
        </is>
      </c>
      <c r="D56" s="4" t="inlineStr"/>
      <c r="E56" s="4" t="n">
        <v>2</v>
      </c>
      <c r="F56" s="7" t="n">
        <v>500</v>
      </c>
      <c r="G56" s="7" t="n">
        <v>1000</v>
      </c>
      <c r="H56" s="4" t="inlineStr">
        <is>
          <t>не указано</t>
        </is>
      </c>
      <c r="I56" s="4" t="inlineStr">
        <is>
          <t>Контейнер 1</t>
        </is>
      </c>
    </row>
    <row r="57">
      <c r="A57" s="4" t="n">
        <v>53</v>
      </c>
      <c r="B57" s="4" t="inlineStr">
        <is>
          <t>Светильник СС373</t>
        </is>
      </c>
      <c r="C57" s="5" t="inlineStr">
        <is>
          <t>Светильник СС373 (решетка)</t>
        </is>
      </c>
      <c r="D57" s="4" t="inlineStr">
        <is>
          <t>8</t>
        </is>
      </c>
      <c r="E57" s="4" t="n">
        <v>8</v>
      </c>
      <c r="F57" s="7" t="n">
        <v>1632</v>
      </c>
      <c r="G57" s="7" t="n">
        <v>13056</v>
      </c>
      <c r="H57" s="4" t="inlineStr">
        <is>
          <t>не указано</t>
        </is>
      </c>
      <c r="I57" s="4" t="inlineStr">
        <is>
          <t>Склад 2</t>
        </is>
      </c>
    </row>
    <row r="58">
      <c r="A58" s="4" t="n">
        <v>54</v>
      </c>
      <c r="B58" s="4" t="inlineStr">
        <is>
          <t>Светильник СС373</t>
        </is>
      </c>
      <c r="C58" s="5" t="inlineStr">
        <is>
          <t>Решетка СС373</t>
        </is>
      </c>
      <c r="D58" s="4" t="inlineStr"/>
      <c r="E58" s="4" t="n">
        <v>4</v>
      </c>
      <c r="F58" s="7" t="n">
        <v>2000</v>
      </c>
      <c r="G58" s="7" t="n">
        <v>8000</v>
      </c>
      <c r="H58" s="4" t="inlineStr">
        <is>
          <t>не указано</t>
        </is>
      </c>
      <c r="I58" s="4" t="inlineStr">
        <is>
          <t>Фойе</t>
        </is>
      </c>
    </row>
    <row r="59">
      <c r="A59" s="4" t="n">
        <v>55</v>
      </c>
      <c r="B59" s="4" t="inlineStr">
        <is>
          <t>Светильник СС373</t>
        </is>
      </c>
      <c r="C59" s="5" t="inlineStr">
        <is>
          <t>Решетка СС 373</t>
        </is>
      </c>
      <c r="D59" s="4" t="inlineStr"/>
      <c r="E59" s="4" t="n">
        <v>4</v>
      </c>
      <c r="F59" s="7" t="n">
        <v>2000</v>
      </c>
      <c r="G59" s="7" t="n">
        <v>8000</v>
      </c>
      <c r="H59" s="4" t="inlineStr">
        <is>
          <t>не указано</t>
        </is>
      </c>
      <c r="I59" s="4" t="inlineStr">
        <is>
          <t>Фойе</t>
        </is>
      </c>
    </row>
    <row r="60">
      <c r="A60" s="4" t="n">
        <v>56</v>
      </c>
      <c r="B60" s="4" t="inlineStr">
        <is>
          <t>Светильник СС373</t>
        </is>
      </c>
      <c r="C60" s="5" t="inlineStr">
        <is>
          <t>Патрон к светильнику СС-373</t>
        </is>
      </c>
      <c r="D60" s="4" t="inlineStr">
        <is>
          <t>12</t>
        </is>
      </c>
      <c r="E60" s="4" t="n">
        <v>12</v>
      </c>
      <c r="F60" s="7" t="n">
        <v>500</v>
      </c>
      <c r="G60" s="7" t="n">
        <v>6000</v>
      </c>
      <c r="H60" s="4" t="inlineStr">
        <is>
          <t>не указано</t>
        </is>
      </c>
      <c r="I60" s="4" t="inlineStr">
        <is>
          <t>Склад 3</t>
        </is>
      </c>
    </row>
    <row r="61">
      <c r="A61" s="4" t="n">
        <v>57</v>
      </c>
      <c r="B61" s="4" t="inlineStr">
        <is>
          <t>Светильник СС373</t>
        </is>
      </c>
      <c r="C61" s="5" t="inlineStr">
        <is>
          <t>Светильник СС373 (дно)</t>
        </is>
      </c>
      <c r="D61" s="4" t="inlineStr">
        <is>
          <t>3</t>
        </is>
      </c>
      <c r="E61" s="4" t="n">
        <v>3</v>
      </c>
      <c r="F61" s="7" t="n">
        <v>1500</v>
      </c>
      <c r="G61" s="7" t="n">
        <v>4500</v>
      </c>
      <c r="H61" s="4" t="inlineStr">
        <is>
          <t>не указано</t>
        </is>
      </c>
      <c r="I61" s="4" t="inlineStr">
        <is>
          <t>Склад 2</t>
        </is>
      </c>
    </row>
    <row r="62">
      <c r="A62" s="4" t="n">
        <v>58</v>
      </c>
      <c r="B62" s="4" t="inlineStr">
        <is>
          <t>Светильник импортный</t>
        </is>
      </c>
      <c r="C62" s="5" t="inlineStr">
        <is>
          <t>Стекло с решеткой светильника импортного</t>
        </is>
      </c>
      <c r="D62" s="4" t="inlineStr"/>
      <c r="E62" s="4" t="n">
        <v>15</v>
      </c>
      <c r="F62" s="7" t="n">
        <v>500</v>
      </c>
      <c r="G62" s="7" t="n">
        <v>7500</v>
      </c>
      <c r="H62" s="4" t="inlineStr">
        <is>
          <t>не указано</t>
        </is>
      </c>
      <c r="I62" s="4" t="inlineStr">
        <is>
          <t>Контейнер 1</t>
        </is>
      </c>
    </row>
    <row r="63">
      <c r="A63" s="4" t="n">
        <v>59</v>
      </c>
      <c r="B63" s="4" t="inlineStr">
        <is>
          <t>Светильники СС838-840</t>
        </is>
      </c>
      <c r="C63" s="5" t="inlineStr">
        <is>
          <t>Светильник СС-839 (дно)</t>
        </is>
      </c>
      <c r="D63" s="4" t="inlineStr"/>
      <c r="E63" s="4" t="n">
        <v>54</v>
      </c>
      <c r="F63" s="7" t="n">
        <v>500</v>
      </c>
      <c r="G63" s="7" t="n">
        <v>27000</v>
      </c>
      <c r="H63" s="4" t="inlineStr">
        <is>
          <t>не указано</t>
        </is>
      </c>
      <c r="I63" s="4" t="inlineStr">
        <is>
          <t>Фойе</t>
        </is>
      </c>
    </row>
    <row r="64">
      <c r="A64" s="4" t="n">
        <v>60</v>
      </c>
      <c r="B64" s="4" t="inlineStr">
        <is>
          <t>Светильники СС838-840</t>
        </is>
      </c>
      <c r="C64" s="5" t="inlineStr">
        <is>
          <t>Стекло к светильникам СС-839</t>
        </is>
      </c>
      <c r="D64" s="4" t="inlineStr"/>
      <c r="E64" s="4" t="n">
        <v>20</v>
      </c>
      <c r="F64" s="7" t="n">
        <v>500</v>
      </c>
      <c r="G64" s="7" t="n">
        <v>10000</v>
      </c>
      <c r="H64" s="4" t="inlineStr">
        <is>
          <t>не указано</t>
        </is>
      </c>
      <c r="I64" s="4" t="inlineStr">
        <is>
          <t>Фойе</t>
        </is>
      </c>
    </row>
    <row r="65">
      <c r="A65" s="4" t="n">
        <v>61</v>
      </c>
      <c r="B65" s="4" t="inlineStr">
        <is>
          <t>Светильники СС838-840</t>
        </is>
      </c>
      <c r="C65" s="5" t="inlineStr">
        <is>
          <t>Стекло к светильникам СС-838</t>
        </is>
      </c>
      <c r="D65" s="4" t="inlineStr"/>
      <c r="E65" s="4" t="n">
        <v>2</v>
      </c>
      <c r="F65" s="7" t="n">
        <v>500</v>
      </c>
      <c r="G65" s="7" t="n">
        <v>1000</v>
      </c>
      <c r="H65" s="4" t="inlineStr">
        <is>
          <t>не указано</t>
        </is>
      </c>
      <c r="I65" s="4" t="inlineStr">
        <is>
          <t>Фойе</t>
        </is>
      </c>
    </row>
    <row r="66">
      <c r="A66" s="4" t="n">
        <v>62</v>
      </c>
      <c r="B66" s="4" t="inlineStr">
        <is>
          <t>Светильники СС838-840</t>
        </is>
      </c>
      <c r="C66" s="5" t="inlineStr">
        <is>
          <t>Стекло к светильникам СС-840 брак</t>
        </is>
      </c>
      <c r="D66" s="4" t="inlineStr"/>
      <c r="E66" s="4" t="n">
        <v>2</v>
      </c>
      <c r="F66" s="7" t="n">
        <v>500</v>
      </c>
      <c r="G66" s="7" t="n">
        <v>1000</v>
      </c>
      <c r="H66" s="4" t="inlineStr">
        <is>
          <t>не указано</t>
        </is>
      </c>
      <c r="I66" s="4" t="inlineStr">
        <is>
          <t>Фойе</t>
        </is>
      </c>
    </row>
    <row r="67">
      <c r="A67" s="4" t="n">
        <v>63</v>
      </c>
      <c r="B67" s="4" t="inlineStr">
        <is>
          <t>Сепаратор СЦ-1,5</t>
        </is>
      </c>
      <c r="C67" s="5" t="inlineStr">
        <is>
          <t>Барабан СЦ-1,5 (новые)</t>
        </is>
      </c>
      <c r="D67" s="4" t="inlineStr"/>
      <c r="E67" s="4" t="n">
        <v>5</v>
      </c>
      <c r="F67" s="7" t="n">
        <v>156000</v>
      </c>
      <c r="G67" s="7" t="n">
        <v>780000</v>
      </c>
      <c r="H67" s="4" t="inlineStr">
        <is>
          <t>новый</t>
        </is>
      </c>
      <c r="I67" s="4" t="inlineStr">
        <is>
          <t>Склад 2</t>
        </is>
      </c>
    </row>
    <row r="68">
      <c r="A68" s="4" t="n">
        <v>64</v>
      </c>
      <c r="B68" s="4" t="inlineStr">
        <is>
          <t>Сепаратор СЦ-1,5</t>
        </is>
      </c>
      <c r="C68" s="5" t="inlineStr">
        <is>
          <t>Барабан СЦ-1,5 б/у КОРПУС БАРАБАНА</t>
        </is>
      </c>
      <c r="D68" s="4" t="inlineStr"/>
      <c r="E68" s="4" t="n">
        <v>3</v>
      </c>
      <c r="F68" s="7" t="n">
        <v>70000</v>
      </c>
      <c r="G68" s="7" t="n">
        <v>210000</v>
      </c>
      <c r="H68" s="4" t="inlineStr">
        <is>
          <t>б/у</t>
        </is>
      </c>
      <c r="I68" s="4" t="inlineStr">
        <is>
          <t>Склад 2</t>
        </is>
      </c>
    </row>
    <row r="69">
      <c r="A69" s="4" t="n">
        <v>65</v>
      </c>
      <c r="B69" s="4" t="inlineStr">
        <is>
          <t>Сепаратор СЦ-1,5</t>
        </is>
      </c>
      <c r="C69" s="5" t="inlineStr">
        <is>
          <t>Барабан СЦ-1,5 б/у ( в сборе)</t>
        </is>
      </c>
      <c r="D69" s="4" t="inlineStr"/>
      <c r="E69" s="4" t="n">
        <v>1</v>
      </c>
      <c r="F69" s="7" t="n">
        <v>100000</v>
      </c>
      <c r="G69" s="7" t="n">
        <v>100000</v>
      </c>
      <c r="H69" s="4" t="inlineStr">
        <is>
          <t>б/у</t>
        </is>
      </c>
      <c r="I69" s="4" t="inlineStr">
        <is>
          <t>Склад 2</t>
        </is>
      </c>
    </row>
    <row r="70">
      <c r="A70" s="4" t="n">
        <v>66</v>
      </c>
      <c r="B70" s="4" t="inlineStr">
        <is>
          <t>Сепаратор СЦ-3</t>
        </is>
      </c>
      <c r="C70" s="5" t="inlineStr">
        <is>
          <t>Барабан СЦ-3 б/у КОРПУС БАРАБАНА</t>
        </is>
      </c>
      <c r="D70" s="4" t="inlineStr"/>
      <c r="E70" s="4" t="n">
        <v>2</v>
      </c>
      <c r="F70" s="7" t="n">
        <v>100000</v>
      </c>
      <c r="G70" s="7" t="n">
        <v>200000</v>
      </c>
      <c r="H70" s="4" t="inlineStr">
        <is>
          <t>б/у</t>
        </is>
      </c>
      <c r="I70" s="4" t="inlineStr">
        <is>
          <t>Склад 2</t>
        </is>
      </c>
    </row>
    <row r="71">
      <c r="A71" s="4" t="n">
        <v>67</v>
      </c>
      <c r="B71" s="4" t="inlineStr">
        <is>
          <t>Тормозные диски</t>
        </is>
      </c>
      <c r="C71" s="5" t="inlineStr">
        <is>
          <t>Диски тормозные ТДП-6А Ф400</t>
        </is>
      </c>
      <c r="D71" s="4" t="inlineStr">
        <is>
          <t>7</t>
        </is>
      </c>
      <c r="E71" s="4" t="n">
        <v>7</v>
      </c>
      <c r="F71" s="7" t="n">
        <v>40000</v>
      </c>
      <c r="G71" s="7" t="n">
        <v>280000</v>
      </c>
      <c r="H71" s="4" t="inlineStr">
        <is>
          <t>не указано</t>
        </is>
      </c>
      <c r="I71" s="4" t="inlineStr">
        <is>
          <t>Склад 3</t>
        </is>
      </c>
    </row>
    <row r="72">
      <c r="A72" s="4" t="n">
        <v>68</v>
      </c>
      <c r="B72" s="4" t="inlineStr">
        <is>
          <t>Тормозные диски</t>
        </is>
      </c>
      <c r="C72" s="5" t="inlineStr">
        <is>
          <t>Диски тормозные 225мм</t>
        </is>
      </c>
      <c r="D72" s="4" t="inlineStr">
        <is>
          <t>11</t>
        </is>
      </c>
      <c r="E72" s="4" t="n">
        <v>11</v>
      </c>
      <c r="F72" s="7" t="n">
        <v>4890</v>
      </c>
      <c r="G72" s="7" t="n">
        <v>53790</v>
      </c>
      <c r="H72" s="4" t="inlineStr">
        <is>
          <t>не указано</t>
        </is>
      </c>
      <c r="I72" s="4" t="inlineStr">
        <is>
          <t>Склад 3</t>
        </is>
      </c>
    </row>
    <row r="73">
      <c r="A73" s="4" t="n">
        <v>69</v>
      </c>
      <c r="B73" s="4" t="inlineStr">
        <is>
          <t>Тормозные диски</t>
        </is>
      </c>
      <c r="C73" s="5" t="inlineStr">
        <is>
          <t>Диски тормозные 185мм</t>
        </is>
      </c>
      <c r="D73" s="4" t="inlineStr">
        <is>
          <t>2</t>
        </is>
      </c>
      <c r="E73" s="4" t="n">
        <v>2</v>
      </c>
      <c r="F73" s="7" t="n">
        <v>10000</v>
      </c>
      <c r="G73" s="7" t="n">
        <v>20000</v>
      </c>
      <c r="H73" s="4" t="inlineStr">
        <is>
          <t>не указано</t>
        </is>
      </c>
      <c r="I73" s="4" t="inlineStr">
        <is>
          <t>Склад 3</t>
        </is>
      </c>
    </row>
    <row r="74">
      <c r="A74" s="4" t="n">
        <v>70</v>
      </c>
      <c r="B74" s="4" t="inlineStr">
        <is>
          <t>Тормозные диски</t>
        </is>
      </c>
      <c r="C74" s="5" t="inlineStr">
        <is>
          <t>Диски тормозные 170мм</t>
        </is>
      </c>
      <c r="D74" s="4" t="inlineStr">
        <is>
          <t>4</t>
        </is>
      </c>
      <c r="E74" s="4" t="n">
        <v>4</v>
      </c>
      <c r="F74" s="7" t="n">
        <v>2890</v>
      </c>
      <c r="G74" s="7" t="n">
        <v>11560</v>
      </c>
      <c r="H74" s="4" t="inlineStr">
        <is>
          <t>не указано</t>
        </is>
      </c>
      <c r="I74" s="4" t="inlineStr">
        <is>
          <t>Склад 3</t>
        </is>
      </c>
    </row>
    <row r="75">
      <c r="A75" s="4" t="n">
        <v>71</v>
      </c>
      <c r="B75" s="4" t="inlineStr">
        <is>
          <t>Тормозные диски</t>
        </is>
      </c>
      <c r="C75" s="5" t="inlineStr">
        <is>
          <t>Диски тормозные 310мм</t>
        </is>
      </c>
      <c r="D75" s="4" t="inlineStr">
        <is>
          <t>1</t>
        </is>
      </c>
      <c r="E75" s="4" t="n">
        <v>1</v>
      </c>
      <c r="F75" s="7" t="n">
        <v>9890</v>
      </c>
      <c r="G75" s="7" t="n">
        <v>9890</v>
      </c>
      <c r="H75" s="4" t="inlineStr">
        <is>
          <t>не указано</t>
        </is>
      </c>
      <c r="I75" s="4" t="inlineStr">
        <is>
          <t>Склад 3</t>
        </is>
      </c>
    </row>
    <row r="76">
      <c r="A76" s="4" t="n">
        <v>72</v>
      </c>
      <c r="B76" s="4" t="inlineStr">
        <is>
          <t>Тормозные диски</t>
        </is>
      </c>
      <c r="C76" s="5" t="inlineStr">
        <is>
          <t>Диски тормозные 260мм</t>
        </is>
      </c>
      <c r="D76" s="4" t="inlineStr">
        <is>
          <t>1</t>
        </is>
      </c>
      <c r="E76" s="4" t="n">
        <v>1</v>
      </c>
      <c r="F76" s="7" t="n">
        <v>5100</v>
      </c>
      <c r="G76" s="7" t="n">
        <v>5100</v>
      </c>
      <c r="H76" s="4" t="inlineStr">
        <is>
          <t>не указано</t>
        </is>
      </c>
      <c r="I76" s="4" t="inlineStr">
        <is>
          <t>Склад 3</t>
        </is>
      </c>
    </row>
    <row r="77">
      <c r="A77" s="4" t="n">
        <v>73</v>
      </c>
      <c r="B77" s="4" t="inlineStr">
        <is>
          <t>Фильтры забортной воды</t>
        </is>
      </c>
      <c r="C77" s="5" t="inlineStr">
        <is>
          <t>Сетка на фильтр Ду100 или Ду80</t>
        </is>
      </c>
      <c r="D77" s="4" t="inlineStr"/>
      <c r="E77" s="4" t="n">
        <v>2</v>
      </c>
      <c r="F77" s="7" t="n">
        <v>10000</v>
      </c>
      <c r="G77" s="7" t="n">
        <v>20000</v>
      </c>
      <c r="H77" s="4" t="inlineStr">
        <is>
          <t>не указано</t>
        </is>
      </c>
      <c r="I77" s="4" t="inlineStr">
        <is>
          <t>Склад 2</t>
        </is>
      </c>
    </row>
    <row r="78">
      <c r="A78" s="4" t="n">
        <v>74</v>
      </c>
      <c r="B78" s="4" t="inlineStr">
        <is>
          <t>Фильтры забортной воды</t>
        </is>
      </c>
      <c r="C78" s="5" t="inlineStr">
        <is>
          <t>Сетка на фильтр Ду20 маленькая</t>
        </is>
      </c>
      <c r="D78" s="4" t="inlineStr"/>
      <c r="E78" s="4" t="n">
        <v>1</v>
      </c>
      <c r="F78" s="7" t="n">
        <v>3000</v>
      </c>
      <c r="G78" s="7" t="n">
        <v>3000</v>
      </c>
      <c r="H78" s="4" t="inlineStr">
        <is>
          <t>не указано</t>
        </is>
      </c>
      <c r="I78" s="4" t="inlineStr">
        <is>
          <t>Склад 2</t>
        </is>
      </c>
    </row>
    <row r="79">
      <c r="A79" s="4" t="n">
        <v>75</v>
      </c>
      <c r="B79" s="4" t="inlineStr">
        <is>
          <t>Не определено, нужна дефектовка</t>
        </is>
      </c>
      <c r="C79" s="5" t="inlineStr">
        <is>
          <t>Ротор ?</t>
        </is>
      </c>
      <c r="D79" s="4" t="inlineStr"/>
      <c r="E79" s="4" t="n">
        <v>1</v>
      </c>
      <c r="F79" s="7" t="n">
        <v>200000</v>
      </c>
      <c r="G79" s="7" t="n">
        <v>200000</v>
      </c>
      <c r="H79" s="4" t="inlineStr">
        <is>
          <t>не указано</t>
        </is>
      </c>
      <c r="I79" s="4" t="inlineStr">
        <is>
          <t>Гараж 2</t>
        </is>
      </c>
    </row>
    <row r="80">
      <c r="C80" s="8" t="inlineStr">
        <is>
          <t>ИТОГО</t>
        </is>
      </c>
      <c r="E80" s="9">
        <f>SUM(E5:E79)</f>
        <v/>
      </c>
      <c r="G80" s="9">
        <f>SUM(G5:G79)</f>
        <v/>
      </c>
    </row>
    <row r="81">
      <c r="C81" s="10" t="inlineStr">
        <is>
          <t>Позиций без цены</t>
        </is>
      </c>
      <c r="E81" s="11">
        <f>COUNTBLANK(F5:F79)</f>
        <v/>
      </c>
    </row>
  </sheetData>
  <autoFilter ref="A4:I7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6" customWidth="1" min="4" max="4"/>
    <col width="16" customWidth="1" min="5" max="5"/>
  </cols>
  <sheetData>
    <row r="1">
      <c r="A1" s="1" t="inlineStr">
        <is>
          <t>Сколько запчастей по каждому оборудованию</t>
        </is>
      </c>
    </row>
    <row r="3">
      <c r="A3" s="12" t="inlineStr">
        <is>
          <t>Оборудование</t>
        </is>
      </c>
      <c r="B3" s="12" t="inlineStr">
        <is>
          <t>Позиций</t>
        </is>
      </c>
      <c r="C3" s="12" t="inlineStr">
        <is>
          <t>Единиц</t>
        </is>
      </c>
      <c r="D3" s="12" t="inlineStr">
        <is>
          <t>Сумма, руб</t>
        </is>
      </c>
      <c r="E3" s="12" t="inlineStr">
        <is>
          <t>Из них без цены</t>
        </is>
      </c>
    </row>
    <row r="4">
      <c r="A4" s="13" t="inlineStr">
        <is>
          <t>Сепаратор СЦ-1,5</t>
        </is>
      </c>
      <c r="B4" s="13" t="n">
        <v>3</v>
      </c>
      <c r="C4" s="13" t="n">
        <v>9</v>
      </c>
      <c r="D4" s="14" t="n">
        <v>1090000</v>
      </c>
      <c r="E4" s="13" t="n"/>
    </row>
    <row r="5">
      <c r="A5" s="13" t="inlineStr">
        <is>
          <t>Двигатель 8NVD48A2U</t>
        </is>
      </c>
      <c r="B5" s="13" t="n">
        <v>3</v>
      </c>
      <c r="C5" s="13" t="n">
        <v>10</v>
      </c>
      <c r="D5" s="14" t="n">
        <v>681500</v>
      </c>
      <c r="E5" s="13" t="n"/>
    </row>
    <row r="6">
      <c r="A6" s="13" t="inlineStr">
        <is>
          <t>Двигатель Пилстик</t>
        </is>
      </c>
      <c r="B6" s="13" t="n">
        <v>1</v>
      </c>
      <c r="C6" s="13" t="n">
        <v>1</v>
      </c>
      <c r="D6" s="14" t="n">
        <v>550000</v>
      </c>
      <c r="E6" s="13" t="n"/>
    </row>
    <row r="7">
      <c r="A7" s="13" t="inlineStr">
        <is>
          <t>Двигатель 18/22</t>
        </is>
      </c>
      <c r="B7" s="13" t="n">
        <v>1</v>
      </c>
      <c r="C7" s="13" t="n">
        <v>1</v>
      </c>
      <c r="D7" s="14" t="n">
        <v>400000</v>
      </c>
      <c r="E7" s="13" t="n"/>
    </row>
    <row r="8">
      <c r="A8" s="13" t="inlineStr">
        <is>
          <t>Тормозные диски</t>
        </is>
      </c>
      <c r="B8" s="13" t="n">
        <v>6</v>
      </c>
      <c r="C8" s="13" t="n">
        <v>26</v>
      </c>
      <c r="D8" s="14" t="n">
        <v>380340</v>
      </c>
      <c r="E8" s="13" t="n"/>
    </row>
    <row r="9">
      <c r="A9" s="13" t="inlineStr">
        <is>
          <t>Сепаратор СЦ-3</t>
        </is>
      </c>
      <c r="B9" s="13" t="n">
        <v>1</v>
      </c>
      <c r="C9" s="13" t="n">
        <v>2</v>
      </c>
      <c r="D9" s="14" t="n">
        <v>200000</v>
      </c>
      <c r="E9" s="13" t="n"/>
    </row>
    <row r="10">
      <c r="A10" s="13" t="inlineStr">
        <is>
          <t>Не определено, нужна дефектовка</t>
        </is>
      </c>
      <c r="B10" s="13" t="n">
        <v>1</v>
      </c>
      <c r="C10" s="13" t="n">
        <v>1</v>
      </c>
      <c r="D10" s="14" t="n">
        <v>200000</v>
      </c>
      <c r="E10" s="13" t="n"/>
    </row>
    <row r="11">
      <c r="A11" s="13" t="inlineStr">
        <is>
          <t>НЦВ 63/20</t>
        </is>
      </c>
      <c r="B11" s="13" t="n">
        <v>1</v>
      </c>
      <c r="C11" s="13" t="n">
        <v>8</v>
      </c>
      <c r="D11" s="14" t="n">
        <v>176000</v>
      </c>
      <c r="E11" s="13" t="n"/>
    </row>
    <row r="12">
      <c r="A12" s="13" t="inlineStr">
        <is>
          <t>Светильник СС328</t>
        </is>
      </c>
      <c r="B12" s="13" t="n">
        <v>6</v>
      </c>
      <c r="C12" s="13" t="n">
        <v>524</v>
      </c>
      <c r="D12" s="14" t="n">
        <v>147850</v>
      </c>
      <c r="E12" s="13" t="n"/>
    </row>
    <row r="13">
      <c r="A13" s="13" t="inlineStr">
        <is>
          <t>Двигатель 6ЧН25/34</t>
        </is>
      </c>
      <c r="B13" s="13" t="n">
        <v>9</v>
      </c>
      <c r="C13" s="13" t="n">
        <v>22</v>
      </c>
      <c r="D13" s="14" t="n">
        <v>124600</v>
      </c>
      <c r="E13" s="13" t="n"/>
    </row>
    <row r="14">
      <c r="A14" s="13" t="inlineStr">
        <is>
          <t>НЦВС 40/20</t>
        </is>
      </c>
      <c r="B14" s="13" t="n">
        <v>1</v>
      </c>
      <c r="C14" s="13" t="n">
        <v>20</v>
      </c>
      <c r="D14" s="14" t="n">
        <v>70000</v>
      </c>
      <c r="E14" s="13" t="n"/>
    </row>
    <row r="15">
      <c r="A15" s="13" t="inlineStr">
        <is>
          <t>Двигатель 3Д12</t>
        </is>
      </c>
      <c r="B15" s="13" t="n">
        <v>1</v>
      </c>
      <c r="C15" s="13" t="n">
        <v>1</v>
      </c>
      <c r="D15" s="14" t="n">
        <v>40000</v>
      </c>
      <c r="E15" s="13" t="n"/>
    </row>
    <row r="16">
      <c r="A16" s="13" t="inlineStr">
        <is>
          <t>Светильник СС373</t>
        </is>
      </c>
      <c r="B16" s="13" t="n">
        <v>5</v>
      </c>
      <c r="C16" s="13" t="n">
        <v>31</v>
      </c>
      <c r="D16" s="14" t="n">
        <v>39556</v>
      </c>
      <c r="E16" s="13" t="n"/>
    </row>
    <row r="17">
      <c r="A17" s="13" t="inlineStr">
        <is>
          <t>Светильники СС838-840</t>
        </is>
      </c>
      <c r="B17" s="13" t="n">
        <v>4</v>
      </c>
      <c r="C17" s="13" t="n">
        <v>78</v>
      </c>
      <c r="D17" s="14" t="n">
        <v>39000</v>
      </c>
      <c r="E17" s="13" t="n"/>
    </row>
    <row r="18">
      <c r="A18" s="13" t="inlineStr">
        <is>
          <t>НЦВС 63/20</t>
        </is>
      </c>
      <c r="B18" s="13" t="n">
        <v>1</v>
      </c>
      <c r="C18" s="13" t="n">
        <v>2</v>
      </c>
      <c r="D18" s="14" t="n">
        <v>30000</v>
      </c>
      <c r="E18" s="13" t="n"/>
    </row>
    <row r="19">
      <c r="A19" s="13" t="inlineStr">
        <is>
          <t>НЦВ 40/20</t>
        </is>
      </c>
      <c r="B19" s="13" t="n">
        <v>12</v>
      </c>
      <c r="C19" s="13" t="n">
        <v>23</v>
      </c>
      <c r="D19" s="14" t="n">
        <v>25600</v>
      </c>
      <c r="E19" s="13" t="n">
        <v>10</v>
      </c>
    </row>
    <row r="20">
      <c r="A20" s="13" t="inlineStr">
        <is>
          <t>Фильтры забортной воды</t>
        </is>
      </c>
      <c r="B20" s="13" t="n">
        <v>2</v>
      </c>
      <c r="C20" s="13" t="n">
        <v>3</v>
      </c>
      <c r="D20" s="14" t="n">
        <v>23000</v>
      </c>
      <c r="E20" s="13" t="n"/>
    </row>
    <row r="21">
      <c r="A21" s="13" t="inlineStr">
        <is>
          <t>Кингстон РС-300</t>
        </is>
      </c>
      <c r="B21" s="13" t="n">
        <v>1</v>
      </c>
      <c r="C21" s="13" t="n">
        <v>2</v>
      </c>
      <c r="D21" s="14" t="n">
        <v>20000</v>
      </c>
      <c r="E21" s="13" t="n"/>
    </row>
    <row r="22">
      <c r="A22" s="13" t="inlineStr">
        <is>
          <t>Компрессор ЭКП 70/25</t>
        </is>
      </c>
      <c r="B22" s="13" t="n">
        <v>1</v>
      </c>
      <c r="C22" s="13" t="n">
        <v>4</v>
      </c>
      <c r="D22" s="14" t="n">
        <v>18400</v>
      </c>
      <c r="E22" s="13" t="n"/>
    </row>
    <row r="23">
      <c r="A23" s="13" t="inlineStr">
        <is>
          <t>Светильник импортный</t>
        </is>
      </c>
      <c r="B23" s="13" t="n">
        <v>1</v>
      </c>
      <c r="C23" s="13" t="n">
        <v>15</v>
      </c>
      <c r="D23" s="14" t="n">
        <v>7500</v>
      </c>
      <c r="E23" s="13" t="n"/>
    </row>
    <row r="24">
      <c r="A24" s="13" t="inlineStr">
        <is>
          <t>Двигатель Д1.М</t>
        </is>
      </c>
      <c r="B24" s="13" t="n">
        <v>1</v>
      </c>
      <c r="C24" s="13" t="n">
        <v>12</v>
      </c>
      <c r="D24" s="14" t="n">
        <v>4680</v>
      </c>
      <c r="E24" s="13" t="n"/>
    </row>
    <row r="25">
      <c r="A25" s="13" t="inlineStr">
        <is>
          <t>Двигатель ЭТФ-3</t>
        </is>
      </c>
      <c r="B25" s="13" t="n">
        <v>1</v>
      </c>
      <c r="C25" s="13" t="n">
        <v>12</v>
      </c>
      <c r="D25" s="14" t="n">
        <v>3600</v>
      </c>
      <c r="E25" s="13" t="n"/>
    </row>
    <row r="26">
      <c r="A26" s="13" t="inlineStr">
        <is>
          <t>1ЭЦНУ 16/40</t>
        </is>
      </c>
      <c r="B26" s="13" t="n">
        <v>3</v>
      </c>
      <c r="C26" s="13" t="n">
        <v>11</v>
      </c>
      <c r="D26" s="14" t="n"/>
      <c r="E26" s="13" t="n">
        <v>3</v>
      </c>
    </row>
    <row r="27">
      <c r="A27" s="13" t="inlineStr">
        <is>
          <t>НЦВ 100/30</t>
        </is>
      </c>
      <c r="B27" s="13" t="n">
        <v>6</v>
      </c>
      <c r="C27" s="13" t="n">
        <v>11</v>
      </c>
      <c r="D27" s="14" t="n"/>
      <c r="E27" s="13" t="n">
        <v>6</v>
      </c>
    </row>
    <row r="28">
      <c r="A28" s="13" t="inlineStr">
        <is>
          <t>НЦВ 40/80</t>
        </is>
      </c>
      <c r="B28" s="13" t="n">
        <v>1</v>
      </c>
      <c r="C28" s="13" t="n">
        <v>1</v>
      </c>
      <c r="D28" s="14" t="n"/>
      <c r="E28" s="13" t="n">
        <v>1</v>
      </c>
    </row>
    <row r="29">
      <c r="A29" s="13" t="inlineStr">
        <is>
          <t>НЦВ160/80</t>
        </is>
      </c>
      <c r="B29" s="13" t="n">
        <v>1</v>
      </c>
      <c r="C29" s="13" t="n">
        <v>1</v>
      </c>
      <c r="D29" s="14" t="n"/>
      <c r="E29" s="13" t="n">
        <v>1</v>
      </c>
    </row>
    <row r="30">
      <c r="A30" s="13" t="inlineStr">
        <is>
          <t>Плита ПКЭ-300</t>
        </is>
      </c>
      <c r="B30" s="13" t="n">
        <v>1</v>
      </c>
      <c r="C30" s="13" t="n">
        <v>4</v>
      </c>
      <c r="D30" s="14" t="n"/>
      <c r="E30" s="13" t="n">
        <v>1</v>
      </c>
    </row>
    <row r="31">
      <c r="A31" s="8" t="inlineStr">
        <is>
          <t>ИТОГО</t>
        </is>
      </c>
      <c r="B31" s="15">
        <f>SUM(B4:B30)</f>
        <v/>
      </c>
      <c r="C31" s="15">
        <f>SUM(C4:C30)</f>
        <v/>
      </c>
      <c r="D31" s="15">
        <f>SUM(D4:D30)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2026-09-09T22:14:56Z</dcterms:created>
  <dcterms:modified xsi:type="dcterms:W3CDTF">2026-09-09T22:14:56Z</dcterms:modified>
</cp:coreProperties>
</file>
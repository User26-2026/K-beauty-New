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ды на доставку" sheetId="1" state="visible" r:id="rId1"/>
    <sheet name="Цена на складе в Питере" sheetId="2" state="visible" r:id="rId2"/>
    <sheet name="Итоги по складу" sheetId="3" state="visible" r:id="rId3"/>
    <sheet name="Как работать с файлом" sheetId="4" state="visible" r:id="rId4"/>
  </sheets>
  <definedNames>
    <definedName name="_xlnm._FilterDatabase" localSheetId="1" hidden="1">'Цена на складе в Питере'!$A$4:$S$274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5" fillId="0" borderId="0" pivotButton="0" quotePrefix="0" xfId="0"/>
    <xf numFmtId="3" fontId="5" fillId="4" borderId="1" pivotButton="0" quotePrefix="0" xfId="0"/>
    <xf numFmtId="0" fontId="6" fillId="0" borderId="0" pivotButton="0" quotePrefix="0" xfId="0"/>
    <xf numFmtId="0" fontId="4" fillId="0" borderId="0" pivotButton="0" quotePrefix="0" xfId="0"/>
    <xf numFmtId="3" fontId="4" fillId="0" borderId="1" pivotButton="0" quotePrefix="0" xfId="0"/>
    <xf numFmtId="3" fontId="0" fillId="0" borderId="1" pivotButton="0" quotePrefix="0" xfId="0"/>
    <xf numFmtId="4" fontId="5" fillId="4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3" fontId="4" fillId="4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9" fontId="4" fillId="4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Во что обойдется доставка двух контейнеров</t>
        </is>
      </c>
    </row>
    <row r="2">
      <c r="A2" s="2" t="inlineStr">
        <is>
          <t>Желтое вводим сами: ставок на момент сборки файла нет. Все остальное считается. Цена килограмма отсюда идет в себестоимость каждой позиции.</t>
        </is>
      </c>
    </row>
    <row r="4" ht="24" customHeight="1">
      <c r="A4" s="3" t="inlineStr">
        <is>
          <t>Расход</t>
        </is>
      </c>
      <c r="B4" s="3" t="inlineStr">
        <is>
          <t>Контейнер 1</t>
        </is>
      </c>
      <c r="C4" s="3" t="inlineStr">
        <is>
          <t>Контейнер 2</t>
        </is>
      </c>
      <c r="D4" s="3" t="inlineStr">
        <is>
          <t>Итого</t>
        </is>
      </c>
    </row>
    <row r="5">
      <c r="A5" s="4" t="inlineStr">
        <is>
          <t>Аренда или покупка контейнера</t>
        </is>
      </c>
      <c r="B5" s="5" t="n"/>
      <c r="C5" s="5" t="n"/>
      <c r="D5" s="6">
        <f>B5+C5</f>
        <v/>
      </c>
    </row>
    <row r="6">
      <c r="A6" s="4" t="inlineStr">
        <is>
          <t>Фрахт Владивосток — Петербург</t>
        </is>
      </c>
      <c r="B6" s="5" t="n"/>
      <c r="C6" s="5" t="n"/>
      <c r="D6" s="6">
        <f>B6+C6</f>
        <v/>
      </c>
    </row>
    <row r="7">
      <c r="A7" s="4" t="inlineStr">
        <is>
          <t>Автодоставка до терминала во Владивостоке</t>
        </is>
      </c>
      <c r="B7" s="5" t="n"/>
      <c r="C7" s="5" t="n"/>
      <c r="D7" s="6">
        <f>B7+C7</f>
        <v/>
      </c>
    </row>
    <row r="8">
      <c r="A8" s="4" t="inlineStr">
        <is>
          <t>Погрузка, кран, такелаж</t>
        </is>
      </c>
      <c r="B8" s="5" t="n"/>
      <c r="C8" s="5" t="n"/>
      <c r="D8" s="6">
        <f>B8+C8</f>
        <v/>
      </c>
    </row>
    <row r="9">
      <c r="A9" s="4" t="inlineStr">
        <is>
          <t>Тара: поддоны, доска, брус, ящики</t>
        </is>
      </c>
      <c r="B9" s="5" t="n"/>
      <c r="C9" s="5" t="n"/>
      <c r="D9" s="6">
        <f>B9+C9</f>
        <v/>
      </c>
    </row>
    <row r="10">
      <c r="A10" s="4" t="inlineStr">
        <is>
          <t>Упаковочные материалы</t>
        </is>
      </c>
      <c r="B10" s="5" t="n"/>
      <c r="C10" s="5" t="n"/>
      <c r="D10" s="6">
        <f>B10+C10</f>
        <v/>
      </c>
    </row>
    <row r="11">
      <c r="A11" s="4" t="inlineStr">
        <is>
          <t>Страхование груза</t>
        </is>
      </c>
      <c r="B11" s="5" t="n"/>
      <c r="C11" s="5" t="n"/>
      <c r="D11" s="6">
        <f>B11+C11</f>
        <v/>
      </c>
    </row>
    <row r="12">
      <c r="A12" s="4" t="inlineStr">
        <is>
          <t>Выгрузка и автодоставка на склад в Питере</t>
        </is>
      </c>
      <c r="B12" s="5" t="n"/>
      <c r="C12" s="5" t="n"/>
      <c r="D12" s="6">
        <f>B12+C12</f>
        <v/>
      </c>
    </row>
    <row r="13">
      <c r="A13" s="4" t="inlineStr">
        <is>
          <t>Прочее</t>
        </is>
      </c>
      <c r="B13" s="5" t="n"/>
      <c r="C13" s="5" t="n"/>
      <c r="D13" s="6">
        <f>B13+C13</f>
        <v/>
      </c>
    </row>
    <row r="14">
      <c r="A14" s="7" t="inlineStr">
        <is>
          <t>ИТОГО расходов</t>
        </is>
      </c>
      <c r="B14" s="8">
        <f>SUM(B5:B13)</f>
        <v/>
      </c>
      <c r="C14" s="8">
        <f>SUM(C5:C13)</f>
        <v/>
      </c>
      <c r="D14" s="8">
        <f>SUM(D5:D13)</f>
        <v/>
      </c>
    </row>
    <row r="16">
      <c r="A16" s="9" t="inlineStr">
        <is>
          <t>Что везем</t>
        </is>
      </c>
    </row>
    <row r="17">
      <c r="A17" s="10" t="inlineStr">
        <is>
          <t>Вес груза, кг</t>
        </is>
      </c>
      <c r="B17" s="11" t="n">
        <v>20000</v>
      </c>
      <c r="C17" s="11" t="n">
        <v>12553</v>
      </c>
      <c r="D17" s="12">
        <f>B17+C17</f>
        <v/>
      </c>
    </row>
    <row r="18">
      <c r="A18" s="7" t="inlineStr">
        <is>
          <t>Доставка за килограмм, руб</t>
        </is>
      </c>
      <c r="B18" s="13">
        <f>IFERROR(B14/B17,0)</f>
        <v/>
      </c>
      <c r="C18" s="13">
        <f>IFERROR(C14/C17,0)</f>
        <v/>
      </c>
      <c r="D18" s="13">
        <f>IFERROR(D14/D17,0)</f>
        <v/>
      </c>
    </row>
    <row r="20" ht="28" customHeight="1">
      <c r="A20" s="14" t="inlineStr">
        <is>
          <t>— Для сравнения: транспортная компания по распискам от 24.09.2026 обошлась в 81 руб за килограмм. Контейнер должен выйти в разы дешевле, иначе он не нужен.</t>
        </is>
      </c>
    </row>
    <row r="21" ht="28" customHeight="1">
      <c r="A21" s="14" t="inlineStr">
        <is>
          <t>— Загрузка по весу: Контейнер 1 20.0 т из 20, Контейнер 2 12.6 т из 20.</t>
        </is>
      </c>
    </row>
    <row r="22" ht="28" customHeight="1">
      <c r="A22" s="14" t="inlineStr">
        <is>
          <t>— Хранение в Питере в эти расходы не входит. Если арматура пролежит на складе год-два, хранение может обойтись дороже самой доставки — ставку надо узнать заранее.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0" customWidth="1" min="4" max="4"/>
    <col width="46" customWidth="1" min="5" max="5"/>
    <col width="18" customWidth="1" min="6" max="6"/>
    <col width="13" customWidth="1" min="7" max="7"/>
    <col width="13" customWidth="1" min="8" max="8"/>
    <col width="14" customWidth="1" min="9" max="9"/>
    <col width="12" customWidth="1" min="10" max="10"/>
    <col width="11" customWidth="1" min="11" max="11"/>
    <col width="14" customWidth="1" min="12" max="12"/>
    <col width="14" customWidth="1" min="13" max="13"/>
    <col width="15" customWidth="1" min="14" max="14"/>
    <col width="12" customWidth="1" min="15" max="15"/>
    <col width="15" customWidth="1" min="16" max="16"/>
    <col width="10" customWidth="1" min="17" max="17"/>
    <col width="9" customWidth="1" min="18" max="18"/>
    <col width="26" customWidth="1" min="19" max="19"/>
  </cols>
  <sheetData>
    <row r="1">
      <c r="A1" s="1" t="inlineStr">
        <is>
          <t>Приемка и цена продажи на складе в Петербурге</t>
        </is>
      </c>
    </row>
    <row r="2">
      <c r="A2" s="2" t="inlineStr">
        <is>
          <t>Принимаем груз по колонке «Принято», расхождение считается само. Себестоимость в Питере — цена склада плюс доставка по весу. От нее ставим цену продажи.</t>
        </is>
      </c>
    </row>
    <row r="4" ht="40" customHeight="1">
      <c r="A4" s="3" t="inlineStr">
        <is>
          <t>№</t>
        </is>
      </c>
      <c r="B4" s="3" t="inlineStr">
        <is>
          <t>Контейнер</t>
        </is>
      </c>
      <c r="C4" s="3" t="inlineStr">
        <is>
          <t>Тип</t>
        </is>
      </c>
      <c r="D4" s="3" t="inlineStr">
        <is>
          <t>Диаметр</t>
        </is>
      </c>
      <c r="E4" s="3" t="inlineStr">
        <is>
          <t>Наименование</t>
        </is>
      </c>
      <c r="F4" s="3" t="inlineStr">
        <is>
          <t>Материал</t>
        </is>
      </c>
      <c r="G4" s="3" t="inlineStr">
        <is>
          <t>Состояние</t>
        </is>
      </c>
      <c r="H4" s="3" t="inlineStr">
        <is>
          <t>Отправлено, шт</t>
        </is>
      </c>
      <c r="I4" s="3" t="inlineStr">
        <is>
          <t>Принято в Питере, шт</t>
        </is>
      </c>
      <c r="J4" s="3" t="inlineStr">
        <is>
          <t>Расхождение</t>
        </is>
      </c>
      <c r="K4" s="3" t="inlineStr">
        <is>
          <t>Вес ед., кг</t>
        </is>
      </c>
      <c r="L4" s="3" t="inlineStr">
        <is>
          <t>Доставка на ед., руб</t>
        </is>
      </c>
      <c r="M4" s="3" t="inlineStr">
        <is>
          <t>Цена склада, руб</t>
        </is>
      </c>
      <c r="N4" s="3" t="inlineStr">
        <is>
          <t>Себестоимость в Питере, руб</t>
        </is>
      </c>
      <c r="O4" s="3" t="inlineStr">
        <is>
          <t>Доставка в цене</t>
        </is>
      </c>
      <c r="P4" s="3" t="inlineStr">
        <is>
          <t>Цена продажи в Питере, руб</t>
        </is>
      </c>
      <c r="Q4" s="3" t="inlineStr">
        <is>
          <t>Наценка</t>
        </is>
      </c>
      <c r="R4" s="3" t="inlineStr">
        <is>
          <t>№ места</t>
        </is>
      </c>
      <c r="S4" s="3" t="inlineStr">
        <is>
          <t>Примечание</t>
        </is>
      </c>
    </row>
    <row r="5">
      <c r="A5" s="15" t="n">
        <v>1</v>
      </c>
      <c r="B5" s="15" t="inlineStr">
        <is>
          <t>Контейнер 1</t>
        </is>
      </c>
      <c r="C5" s="15" t="inlineStr">
        <is>
          <t>клинкет (задвижка)</t>
        </is>
      </c>
      <c r="D5" s="15" t="inlineStr">
        <is>
          <t>Ду250</t>
        </is>
      </c>
      <c r="E5" s="16" t="inlineStr">
        <is>
          <t>Клинкет Ду 250</t>
        </is>
      </c>
      <c r="F5" s="15" t="inlineStr">
        <is>
          <t>проверить: везем бронзу и латунь</t>
        </is>
      </c>
      <c r="G5" s="17" t="n"/>
      <c r="H5" s="15" t="n">
        <v>2</v>
      </c>
      <c r="I5" s="17" t="n"/>
      <c r="J5" s="18">
        <f>IF(I5="","",I5-H5)</f>
        <v/>
      </c>
      <c r="K5" s="19" t="n">
        <v>220</v>
      </c>
      <c r="L5" s="20">
        <f>K5*'Расходы на доставку'!$B$18</f>
        <v/>
      </c>
      <c r="M5" s="21" t="n">
        <v>200000</v>
      </c>
      <c r="N5" s="20">
        <f>IF(M5="","",M5+L5)</f>
        <v/>
      </c>
      <c r="O5" s="22">
        <f>IFERROR(L5/N5,"")</f>
        <v/>
      </c>
      <c r="P5" s="21" t="n"/>
      <c r="Q5" s="22">
        <f>IFERROR(P5/N5-1,"")</f>
        <v/>
      </c>
      <c r="R5" s="17" t="n"/>
      <c r="S5" s="23" t="n"/>
    </row>
    <row r="6">
      <c r="A6" s="15" t="n">
        <v>2</v>
      </c>
      <c r="B6" s="15" t="inlineStr">
        <is>
          <t>Контейнер 1</t>
        </is>
      </c>
      <c r="C6" s="15" t="inlineStr">
        <is>
          <t>клинкет (задвижка)</t>
        </is>
      </c>
      <c r="D6" s="15" t="inlineStr">
        <is>
          <t>Ду250</t>
        </is>
      </c>
      <c r="E6" s="16" t="inlineStr">
        <is>
          <t>Клинкет Ду 250 не комплект</t>
        </is>
      </c>
      <c r="F6" s="15" t="inlineStr">
        <is>
          <t>проверить: везем бронзу и латунь</t>
        </is>
      </c>
      <c r="G6" s="17" t="n"/>
      <c r="H6" s="15" t="n">
        <v>2</v>
      </c>
      <c r="I6" s="17" t="n"/>
      <c r="J6" s="18">
        <f>IF(I6="","",I6-H6)</f>
        <v/>
      </c>
      <c r="K6" s="19" t="n">
        <v>220</v>
      </c>
      <c r="L6" s="20">
        <f>K6*'Расходы на доставку'!$B$18</f>
        <v/>
      </c>
      <c r="M6" s="21" t="n">
        <v>200000</v>
      </c>
      <c r="N6" s="20">
        <f>IF(M6="","",M6+L6)</f>
        <v/>
      </c>
      <c r="O6" s="22">
        <f>IFERROR(L6/N6,"")</f>
        <v/>
      </c>
      <c r="P6" s="21" t="n"/>
      <c r="Q6" s="22">
        <f>IFERROR(P6/N6-1,"")</f>
        <v/>
      </c>
      <c r="R6" s="17" t="n"/>
      <c r="S6" s="23" t="n"/>
    </row>
    <row r="7">
      <c r="A7" s="15" t="n">
        <v>3</v>
      </c>
      <c r="B7" s="15" t="inlineStr">
        <is>
          <t>Контейнер 1</t>
        </is>
      </c>
      <c r="C7" s="15" t="inlineStr">
        <is>
          <t>клинкет (задвижка)</t>
        </is>
      </c>
      <c r="D7" s="15" t="inlineStr">
        <is>
          <t>Ду300</t>
        </is>
      </c>
      <c r="E7" s="16" t="inlineStr">
        <is>
          <t>Клинкет Ду 300</t>
        </is>
      </c>
      <c r="F7" s="15" t="inlineStr">
        <is>
          <t>проверить: везем бронзу и латунь</t>
        </is>
      </c>
      <c r="G7" s="17" t="n"/>
      <c r="H7" s="15" t="n">
        <v>16</v>
      </c>
      <c r="I7" s="17" t="n"/>
      <c r="J7" s="18">
        <f>IF(I7="","",I7-H7)</f>
        <v/>
      </c>
      <c r="K7" s="19" t="n">
        <v>300</v>
      </c>
      <c r="L7" s="20">
        <f>K7*'Расходы на доставку'!$B$18</f>
        <v/>
      </c>
      <c r="M7" s="21" t="n">
        <v>250000</v>
      </c>
      <c r="N7" s="20">
        <f>IF(M7="","",M7+L7)</f>
        <v/>
      </c>
      <c r="O7" s="22">
        <f>IFERROR(L7/N7,"")</f>
        <v/>
      </c>
      <c r="P7" s="21" t="n"/>
      <c r="Q7" s="22">
        <f>IFERROR(P7/N7-1,"")</f>
        <v/>
      </c>
      <c r="R7" s="17" t="n"/>
      <c r="S7" s="23" t="n"/>
    </row>
    <row r="8">
      <c r="A8" s="15" t="n">
        <v>4</v>
      </c>
      <c r="B8" s="15" t="inlineStr">
        <is>
          <t>Контейнер 1</t>
        </is>
      </c>
      <c r="C8" s="15" t="inlineStr">
        <is>
          <t>клинкет (задвижка)</t>
        </is>
      </c>
      <c r="D8" s="15" t="inlineStr">
        <is>
          <t>Ду350</t>
        </is>
      </c>
      <c r="E8" s="16" t="inlineStr">
        <is>
          <t>Клинкет Ду 350</t>
        </is>
      </c>
      <c r="F8" s="15" t="inlineStr">
        <is>
          <t>проверить: везем бронзу и латунь</t>
        </is>
      </c>
      <c r="G8" s="17" t="n"/>
      <c r="H8" s="15" t="n">
        <v>1</v>
      </c>
      <c r="I8" s="17" t="n"/>
      <c r="J8" s="18">
        <f>IF(I8="","",I8-H8)</f>
        <v/>
      </c>
      <c r="K8" s="19" t="n">
        <v>400</v>
      </c>
      <c r="L8" s="20">
        <f>K8*'Расходы на доставку'!$B$18</f>
        <v/>
      </c>
      <c r="M8" s="21" t="n">
        <v>300000</v>
      </c>
      <c r="N8" s="20">
        <f>IF(M8="","",M8+L8)</f>
        <v/>
      </c>
      <c r="O8" s="22">
        <f>IFERROR(L8/N8,"")</f>
        <v/>
      </c>
      <c r="P8" s="21" t="n"/>
      <c r="Q8" s="22">
        <f>IFERROR(P8/N8-1,"")</f>
        <v/>
      </c>
      <c r="R8" s="17" t="n"/>
      <c r="S8" s="23" t="n"/>
    </row>
    <row r="9">
      <c r="A9" s="15" t="n">
        <v>5</v>
      </c>
      <c r="B9" s="15" t="inlineStr">
        <is>
          <t>Контейнер 1</t>
        </is>
      </c>
      <c r="C9" s="15" t="inlineStr">
        <is>
          <t>клинкет (задвижка)</t>
        </is>
      </c>
      <c r="D9" s="15" t="inlineStr">
        <is>
          <t>Ду250</t>
        </is>
      </c>
      <c r="E9" s="16" t="inlineStr">
        <is>
          <t>Задвижка клинкетная Ду 250</t>
        </is>
      </c>
      <c r="F9" s="15" t="inlineStr">
        <is>
          <t>проверить: везем бронзу и латунь</t>
        </is>
      </c>
      <c r="G9" s="17" t="n"/>
      <c r="H9" s="15" t="n">
        <v>17</v>
      </c>
      <c r="I9" s="17" t="n"/>
      <c r="J9" s="18">
        <f>IF(I9="","",I9-H9)</f>
        <v/>
      </c>
      <c r="K9" s="19" t="n">
        <v>220</v>
      </c>
      <c r="L9" s="20">
        <f>K9*'Расходы на доставку'!$B$18</f>
        <v/>
      </c>
      <c r="M9" s="21" t="n">
        <v>150000</v>
      </c>
      <c r="N9" s="20">
        <f>IF(M9="","",M9+L9)</f>
        <v/>
      </c>
      <c r="O9" s="22">
        <f>IFERROR(L9/N9,"")</f>
        <v/>
      </c>
      <c r="P9" s="21" t="n"/>
      <c r="Q9" s="22">
        <f>IFERROR(P9/N9-1,"")</f>
        <v/>
      </c>
      <c r="R9" s="17" t="n"/>
      <c r="S9" s="23" t="n"/>
    </row>
    <row r="10">
      <c r="A10" s="15" t="n">
        <v>6</v>
      </c>
      <c r="B10" s="15" t="inlineStr">
        <is>
          <t>Контейнер 1</t>
        </is>
      </c>
      <c r="C10" s="15" t="inlineStr">
        <is>
          <t>клапан фланцевый</t>
        </is>
      </c>
      <c r="D10" s="15" t="inlineStr">
        <is>
          <t>Ду50</t>
        </is>
      </c>
      <c r="E10" s="16" t="inlineStr">
        <is>
          <t>Клапан фланцевый проходной титановые Ду50Ру10</t>
        </is>
      </c>
      <c r="F10" s="15" t="inlineStr">
        <is>
          <t>титан</t>
        </is>
      </c>
      <c r="G10" s="17" t="n"/>
      <c r="H10" s="15" t="n">
        <v>5</v>
      </c>
      <c r="I10" s="17" t="n"/>
      <c r="J10" s="18">
        <f>IF(I10="","",I10-H10)</f>
        <v/>
      </c>
      <c r="K10" s="19" t="n">
        <v>14</v>
      </c>
      <c r="L10" s="20">
        <f>K10*'Расходы на доставку'!$B$18</f>
        <v/>
      </c>
      <c r="M10" s="21" t="n"/>
      <c r="N10" s="20">
        <f>IF(M10="","",M10+L10)</f>
        <v/>
      </c>
      <c r="O10" s="22">
        <f>IFERROR(L10/N10,"")</f>
        <v/>
      </c>
      <c r="P10" s="21" t="n"/>
      <c r="Q10" s="22">
        <f>IFERROR(P10/N10-1,"")</f>
        <v/>
      </c>
      <c r="R10" s="17" t="n"/>
      <c r="S10" s="23" t="n"/>
    </row>
    <row r="11">
      <c r="A11" s="15" t="n">
        <v>7</v>
      </c>
      <c r="B11" s="15" t="inlineStr">
        <is>
          <t>Контейнер 1</t>
        </is>
      </c>
      <c r="C11" s="15" t="inlineStr">
        <is>
          <t>клапан фланцевый</t>
        </is>
      </c>
      <c r="D11" s="15" t="inlineStr">
        <is>
          <t>Ду100</t>
        </is>
      </c>
      <c r="E11" s="16" t="inlineStr">
        <is>
          <t>Клапан фланцевый проходной титановые Ду100Ру10</t>
        </is>
      </c>
      <c r="F11" s="15" t="inlineStr">
        <is>
          <t>титан</t>
        </is>
      </c>
      <c r="G11" s="17" t="n"/>
      <c r="H11" s="15" t="n">
        <v>1</v>
      </c>
      <c r="I11" s="17" t="n"/>
      <c r="J11" s="18">
        <f>IF(I11="","",I11-H11)</f>
        <v/>
      </c>
      <c r="K11" s="19" t="n">
        <v>40</v>
      </c>
      <c r="L11" s="20">
        <f>K11*'Расходы на доставку'!$B$18</f>
        <v/>
      </c>
      <c r="M11" s="21" t="n"/>
      <c r="N11" s="20">
        <f>IF(M11="","",M11+L11)</f>
        <v/>
      </c>
      <c r="O11" s="22">
        <f>IFERROR(L11/N11,"")</f>
        <v/>
      </c>
      <c r="P11" s="21" t="n"/>
      <c r="Q11" s="22">
        <f>IFERROR(P11/N11-1,"")</f>
        <v/>
      </c>
      <c r="R11" s="17" t="n"/>
      <c r="S11" s="23" t="n"/>
    </row>
    <row r="12">
      <c r="A12" s="15" t="n">
        <v>8</v>
      </c>
      <c r="B12" s="15" t="inlineStr">
        <is>
          <t>Контейнер 1</t>
        </is>
      </c>
      <c r="C12" s="15" t="inlineStr">
        <is>
          <t>клапан фланцевый</t>
        </is>
      </c>
      <c r="D12" s="15" t="inlineStr">
        <is>
          <t>Ду25</t>
        </is>
      </c>
      <c r="E12" s="16" t="inlineStr">
        <is>
          <t>Клапан фланцевый угловой Ду25</t>
        </is>
      </c>
      <c r="F12" s="15" t="inlineStr">
        <is>
          <t>бронза/латунь</t>
        </is>
      </c>
      <c r="G12" s="17" t="n"/>
      <c r="H12" s="15" t="n">
        <v>15</v>
      </c>
      <c r="I12" s="17" t="n"/>
      <c r="J12" s="18">
        <f>IF(I12="","",I12-H12)</f>
        <v/>
      </c>
      <c r="K12" s="19" t="n">
        <v>5</v>
      </c>
      <c r="L12" s="20">
        <f>K12*'Расходы на доставку'!$B$18</f>
        <v/>
      </c>
      <c r="M12" s="21" t="n">
        <v>9600</v>
      </c>
      <c r="N12" s="20">
        <f>IF(M12="","",M12+L12)</f>
        <v/>
      </c>
      <c r="O12" s="22">
        <f>IFERROR(L12/N12,"")</f>
        <v/>
      </c>
      <c r="P12" s="21" t="n"/>
      <c r="Q12" s="22">
        <f>IFERROR(P12/N12-1,"")</f>
        <v/>
      </c>
      <c r="R12" s="17" t="n"/>
      <c r="S12" s="23" t="n"/>
    </row>
    <row r="13">
      <c r="A13" s="15" t="n">
        <v>9</v>
      </c>
      <c r="B13" s="15" t="inlineStr">
        <is>
          <t>Контейнер 1</t>
        </is>
      </c>
      <c r="C13" s="15" t="inlineStr">
        <is>
          <t>клапан фланцевый</t>
        </is>
      </c>
      <c r="D13" s="15" t="inlineStr">
        <is>
          <t>Ду40</t>
        </is>
      </c>
      <c r="E13" s="16" t="inlineStr">
        <is>
          <t>Клапан фланцевый угловой Ду40 Ру25</t>
        </is>
      </c>
      <c r="F13" s="15" t="inlineStr">
        <is>
          <t>бронза/латунь</t>
        </is>
      </c>
      <c r="G13" s="17" t="n"/>
      <c r="H13" s="15" t="n">
        <v>1</v>
      </c>
      <c r="I13" s="17" t="n"/>
      <c r="J13" s="18">
        <f>IF(I13="","",I13-H13)</f>
        <v/>
      </c>
      <c r="K13" s="19" t="n">
        <v>10</v>
      </c>
      <c r="L13" s="20">
        <f>K13*'Расходы на доставку'!$B$18</f>
        <v/>
      </c>
      <c r="M13" s="21" t="n">
        <v>18000</v>
      </c>
      <c r="N13" s="20">
        <f>IF(M13="","",M13+L13)</f>
        <v/>
      </c>
      <c r="O13" s="22">
        <f>IFERROR(L13/N13,"")</f>
        <v/>
      </c>
      <c r="P13" s="21" t="n"/>
      <c r="Q13" s="22">
        <f>IFERROR(P13/N13-1,"")</f>
        <v/>
      </c>
      <c r="R13" s="17" t="n"/>
      <c r="S13" s="23" t="n"/>
    </row>
    <row r="14">
      <c r="A14" s="15" t="n">
        <v>10</v>
      </c>
      <c r="B14" s="15" t="inlineStr">
        <is>
          <t>Контейнер 1</t>
        </is>
      </c>
      <c r="C14" s="15" t="inlineStr">
        <is>
          <t>клапан фланцевый</t>
        </is>
      </c>
      <c r="D14" s="15" t="inlineStr">
        <is>
          <t>Ду50</t>
        </is>
      </c>
      <c r="E14" s="16" t="inlineStr">
        <is>
          <t>Клапан фланцевый угловой Ду50 Ру25</t>
        </is>
      </c>
      <c r="F14" s="15" t="inlineStr">
        <is>
          <t>бронза/латунь</t>
        </is>
      </c>
      <c r="G14" s="17" t="n"/>
      <c r="H14" s="15" t="n">
        <v>7</v>
      </c>
      <c r="I14" s="17" t="n"/>
      <c r="J14" s="18">
        <f>IF(I14="","",I14-H14)</f>
        <v/>
      </c>
      <c r="K14" s="19" t="n">
        <v>14</v>
      </c>
      <c r="L14" s="20">
        <f>K14*'Расходы на доставку'!$B$18</f>
        <v/>
      </c>
      <c r="M14" s="21" t="n">
        <v>22500</v>
      </c>
      <c r="N14" s="20">
        <f>IF(M14="","",M14+L14)</f>
        <v/>
      </c>
      <c r="O14" s="22">
        <f>IFERROR(L14/N14,"")</f>
        <v/>
      </c>
      <c r="P14" s="21" t="n"/>
      <c r="Q14" s="22">
        <f>IFERROR(P14/N14-1,"")</f>
        <v/>
      </c>
      <c r="R14" s="17" t="n"/>
      <c r="S14" s="23" t="n"/>
    </row>
    <row r="15">
      <c r="A15" s="15" t="n">
        <v>11</v>
      </c>
      <c r="B15" s="15" t="inlineStr">
        <is>
          <t>Контейнер 1</t>
        </is>
      </c>
      <c r="C15" s="15" t="inlineStr">
        <is>
          <t>клапан фланцевый</t>
        </is>
      </c>
      <c r="D15" s="15" t="inlineStr">
        <is>
          <t>Ду40</t>
        </is>
      </c>
      <c r="E15" s="16" t="inlineStr">
        <is>
          <t>Клапан фланцевый угловой Ду40 Ру10</t>
        </is>
      </c>
      <c r="F15" s="15" t="inlineStr">
        <is>
          <t>бронза/латунь</t>
        </is>
      </c>
      <c r="G15" s="17" t="n"/>
      <c r="H15" s="15" t="n">
        <v>1</v>
      </c>
      <c r="I15" s="17" t="n"/>
      <c r="J15" s="18">
        <f>IF(I15="","",I15-H15)</f>
        <v/>
      </c>
      <c r="K15" s="19" t="n">
        <v>10</v>
      </c>
      <c r="L15" s="20">
        <f>K15*'Расходы на доставку'!$B$18</f>
        <v/>
      </c>
      <c r="M15" s="21" t="n">
        <v>16000</v>
      </c>
      <c r="N15" s="20">
        <f>IF(M15="","",M15+L15)</f>
        <v/>
      </c>
      <c r="O15" s="22">
        <f>IFERROR(L15/N15,"")</f>
        <v/>
      </c>
      <c r="P15" s="21" t="n"/>
      <c r="Q15" s="22">
        <f>IFERROR(P15/N15-1,"")</f>
        <v/>
      </c>
      <c r="R15" s="17" t="n"/>
      <c r="S15" s="23" t="n"/>
    </row>
    <row r="16">
      <c r="A16" s="15" t="n">
        <v>12</v>
      </c>
      <c r="B16" s="15" t="inlineStr">
        <is>
          <t>Контейнер 1</t>
        </is>
      </c>
      <c r="C16" s="15" t="inlineStr">
        <is>
          <t>клинкет (задвижка)</t>
        </is>
      </c>
      <c r="D16" s="15" t="inlineStr">
        <is>
          <t>Ду65</t>
        </is>
      </c>
      <c r="E16" s="16" t="inlineStr">
        <is>
          <t>Задвижка клинкетная Ду65</t>
        </is>
      </c>
      <c r="F16" s="15" t="inlineStr">
        <is>
          <t>бронза/латунь</t>
        </is>
      </c>
      <c r="G16" s="17" t="n"/>
      <c r="H16" s="15" t="n">
        <v>16</v>
      </c>
      <c r="I16" s="17" t="n"/>
      <c r="J16" s="18">
        <f>IF(I16="","",I16-H16)</f>
        <v/>
      </c>
      <c r="K16" s="19" t="n">
        <v>18</v>
      </c>
      <c r="L16" s="20">
        <f>K16*'Расходы на доставку'!$B$18</f>
        <v/>
      </c>
      <c r="M16" s="21" t="n">
        <v>27000</v>
      </c>
      <c r="N16" s="20">
        <f>IF(M16="","",M16+L16)</f>
        <v/>
      </c>
      <c r="O16" s="22">
        <f>IFERROR(L16/N16,"")</f>
        <v/>
      </c>
      <c r="P16" s="21" t="n"/>
      <c r="Q16" s="22">
        <f>IFERROR(P16/N16-1,"")</f>
        <v/>
      </c>
      <c r="R16" s="17" t="n"/>
      <c r="S16" s="23" t="n"/>
    </row>
    <row r="17">
      <c r="A17" s="15" t="n">
        <v>13</v>
      </c>
      <c r="B17" s="15" t="inlineStr">
        <is>
          <t>Контейнер 1</t>
        </is>
      </c>
      <c r="C17" s="15" t="inlineStr">
        <is>
          <t>клапан фланцевый</t>
        </is>
      </c>
      <c r="D17" s="15" t="inlineStr">
        <is>
          <t>Ду65</t>
        </is>
      </c>
      <c r="E17" s="16" t="inlineStr">
        <is>
          <t>Клапан фланцевый угловой Ду65 Ру10</t>
        </is>
      </c>
      <c r="F17" s="15" t="inlineStr">
        <is>
          <t>бронза/латунь</t>
        </is>
      </c>
      <c r="G17" s="17" t="n"/>
      <c r="H17" s="15" t="n">
        <v>6</v>
      </c>
      <c r="I17" s="17" t="n"/>
      <c r="J17" s="18">
        <f>IF(I17="","",I17-H17)</f>
        <v/>
      </c>
      <c r="K17" s="19" t="n">
        <v>20</v>
      </c>
      <c r="L17" s="20">
        <f>K17*'Расходы на доставку'!$B$18</f>
        <v/>
      </c>
      <c r="M17" s="21" t="n">
        <v>27000</v>
      </c>
      <c r="N17" s="20">
        <f>IF(M17="","",M17+L17)</f>
        <v/>
      </c>
      <c r="O17" s="22">
        <f>IFERROR(L17/N17,"")</f>
        <v/>
      </c>
      <c r="P17" s="21" t="n"/>
      <c r="Q17" s="22">
        <f>IFERROR(P17/N17-1,"")</f>
        <v/>
      </c>
      <c r="R17" s="17" t="n"/>
      <c r="S17" s="23" t="n"/>
    </row>
    <row r="18">
      <c r="A18" s="15" t="n">
        <v>14</v>
      </c>
      <c r="B18" s="15" t="inlineStr">
        <is>
          <t>Контейнер 1</t>
        </is>
      </c>
      <c r="C18" s="15" t="inlineStr">
        <is>
          <t>клапан фланцевый</t>
        </is>
      </c>
      <c r="D18" s="15" t="inlineStr">
        <is>
          <t>Ду65</t>
        </is>
      </c>
      <c r="E18" s="16" t="inlineStr">
        <is>
          <t>Клапан фланцевый угловой Ду65 Ру10</t>
        </is>
      </c>
      <c r="F18" s="15" t="inlineStr">
        <is>
          <t>бронза/латунь</t>
        </is>
      </c>
      <c r="G18" s="17" t="n"/>
      <c r="H18" s="15" t="n">
        <v>3</v>
      </c>
      <c r="I18" s="17" t="n"/>
      <c r="J18" s="18">
        <f>IF(I18="","",I18-H18)</f>
        <v/>
      </c>
      <c r="K18" s="19" t="n">
        <v>20</v>
      </c>
      <c r="L18" s="20">
        <f>K18*'Расходы на доставку'!$B$18</f>
        <v/>
      </c>
      <c r="M18" s="21" t="n">
        <v>27000</v>
      </c>
      <c r="N18" s="20">
        <f>IF(M18="","",M18+L18)</f>
        <v/>
      </c>
      <c r="O18" s="22">
        <f>IFERROR(L18/N18,"")</f>
        <v/>
      </c>
      <c r="P18" s="21" t="n"/>
      <c r="Q18" s="22">
        <f>IFERROR(P18/N18-1,"")</f>
        <v/>
      </c>
      <c r="R18" s="17" t="n"/>
      <c r="S18" s="23" t="n"/>
    </row>
    <row r="19">
      <c r="A19" s="15" t="n">
        <v>15</v>
      </c>
      <c r="B19" s="15" t="inlineStr">
        <is>
          <t>Контейнер 1</t>
        </is>
      </c>
      <c r="C19" s="15" t="inlineStr">
        <is>
          <t>клапан фланцевый</t>
        </is>
      </c>
      <c r="D19" s="15" t="inlineStr">
        <is>
          <t>Ду65</t>
        </is>
      </c>
      <c r="E19" s="16" t="inlineStr">
        <is>
          <t>Клапан фланцевый угловой Ду65 Ру10</t>
        </is>
      </c>
      <c r="F19" s="15" t="inlineStr">
        <is>
          <t>бронза/латунь</t>
        </is>
      </c>
      <c r="G19" s="17" t="n"/>
      <c r="H19" s="15" t="n">
        <v>12</v>
      </c>
      <c r="I19" s="17" t="n"/>
      <c r="J19" s="18">
        <f>IF(I19="","",I19-H19)</f>
        <v/>
      </c>
      <c r="K19" s="19" t="n">
        <v>20</v>
      </c>
      <c r="L19" s="20">
        <f>K19*'Расходы на доставку'!$B$18</f>
        <v/>
      </c>
      <c r="M19" s="21" t="n">
        <v>27000</v>
      </c>
      <c r="N19" s="20">
        <f>IF(M19="","",M19+L19)</f>
        <v/>
      </c>
      <c r="O19" s="22">
        <f>IFERROR(L19/N19,"")</f>
        <v/>
      </c>
      <c r="P19" s="21" t="n"/>
      <c r="Q19" s="22">
        <f>IFERROR(P19/N19-1,"")</f>
        <v/>
      </c>
      <c r="R19" s="17" t="n"/>
      <c r="S19" s="23" t="n"/>
    </row>
    <row r="20">
      <c r="A20" s="15" t="n">
        <v>16</v>
      </c>
      <c r="B20" s="15" t="inlineStr">
        <is>
          <t>Контейнер 1</t>
        </is>
      </c>
      <c r="C20" s="15" t="inlineStr">
        <is>
          <t>клинкет (задвижка)</t>
        </is>
      </c>
      <c r="D20" s="15" t="inlineStr">
        <is>
          <t>Ду70</t>
        </is>
      </c>
      <c r="E20" s="16" t="inlineStr">
        <is>
          <t>Задвижка клинкетная фланцевая Ду70 Ру6</t>
        </is>
      </c>
      <c r="F20" s="15" t="inlineStr">
        <is>
          <t>бронза/латунь</t>
        </is>
      </c>
      <c r="G20" s="17" t="n"/>
      <c r="H20" s="15" t="n">
        <v>7</v>
      </c>
      <c r="I20" s="17" t="n"/>
      <c r="J20" s="18">
        <f>IF(I20="","",I20-H20)</f>
        <v/>
      </c>
      <c r="K20" s="19" t="n">
        <v>22</v>
      </c>
      <c r="L20" s="20">
        <f>K20*'Расходы на доставку'!$B$18</f>
        <v/>
      </c>
      <c r="M20" s="21" t="n">
        <v>27000</v>
      </c>
      <c r="N20" s="20">
        <f>IF(M20="","",M20+L20)</f>
        <v/>
      </c>
      <c r="O20" s="22">
        <f>IFERROR(L20/N20,"")</f>
        <v/>
      </c>
      <c r="P20" s="21" t="n"/>
      <c r="Q20" s="22">
        <f>IFERROR(P20/N20-1,"")</f>
        <v/>
      </c>
      <c r="R20" s="17" t="n"/>
      <c r="S20" s="23" t="n"/>
    </row>
    <row r="21">
      <c r="A21" s="15" t="n">
        <v>17</v>
      </c>
      <c r="B21" s="15" t="inlineStr">
        <is>
          <t>Контейнер 1</t>
        </is>
      </c>
      <c r="C21" s="15" t="inlineStr">
        <is>
          <t>клапан фланцевый</t>
        </is>
      </c>
      <c r="D21" s="15" t="inlineStr">
        <is>
          <t>Ду80</t>
        </is>
      </c>
      <c r="E21" s="16" t="inlineStr">
        <is>
          <t>Клапан фланцевый угловой Ду80</t>
        </is>
      </c>
      <c r="F21" s="15" t="inlineStr">
        <is>
          <t>бронза/латунь</t>
        </is>
      </c>
      <c r="G21" s="17" t="n"/>
      <c r="H21" s="15" t="n">
        <v>7</v>
      </c>
      <c r="I21" s="17" t="n"/>
      <c r="J21" s="18">
        <f>IF(I21="","",I21-H21)</f>
        <v/>
      </c>
      <c r="K21" s="19" t="n">
        <v>28</v>
      </c>
      <c r="L21" s="20">
        <f>K21*'Расходы на доставку'!$B$18</f>
        <v/>
      </c>
      <c r="M21" s="21" t="n">
        <v>34000</v>
      </c>
      <c r="N21" s="20">
        <f>IF(M21="","",M21+L21)</f>
        <v/>
      </c>
      <c r="O21" s="22">
        <f>IFERROR(L21/N21,"")</f>
        <v/>
      </c>
      <c r="P21" s="21" t="n"/>
      <c r="Q21" s="22">
        <f>IFERROR(P21/N21-1,"")</f>
        <v/>
      </c>
      <c r="R21" s="17" t="n"/>
      <c r="S21" s="23" t="n"/>
    </row>
    <row r="22">
      <c r="A22" s="15" t="n">
        <v>18</v>
      </c>
      <c r="B22" s="15" t="inlineStr">
        <is>
          <t>Контейнер 1</t>
        </is>
      </c>
      <c r="C22" s="15" t="inlineStr">
        <is>
          <t>клинкет (задвижка)</t>
        </is>
      </c>
      <c r="D22" s="15" t="inlineStr">
        <is>
          <t>Ду80</t>
        </is>
      </c>
      <c r="E22" s="16" t="inlineStr">
        <is>
          <t>Задвижка клинкетная фланцевая Ду80 Ру6</t>
        </is>
      </c>
      <c r="F22" s="15" t="inlineStr">
        <is>
          <t>бронза/латунь</t>
        </is>
      </c>
      <c r="G22" s="17" t="n"/>
      <c r="H22" s="15" t="n">
        <v>18</v>
      </c>
      <c r="I22" s="17" t="n"/>
      <c r="J22" s="18">
        <f>IF(I22="","",I22-H22)</f>
        <v/>
      </c>
      <c r="K22" s="19" t="n">
        <v>28</v>
      </c>
      <c r="L22" s="20">
        <f>K22*'Расходы на доставку'!$B$18</f>
        <v/>
      </c>
      <c r="M22" s="21" t="n">
        <v>32000</v>
      </c>
      <c r="N22" s="20">
        <f>IF(M22="","",M22+L22)</f>
        <v/>
      </c>
      <c r="O22" s="22">
        <f>IFERROR(L22/N22,"")</f>
        <v/>
      </c>
      <c r="P22" s="21" t="n"/>
      <c r="Q22" s="22">
        <f>IFERROR(P22/N22-1,"")</f>
        <v/>
      </c>
      <c r="R22" s="17" t="n"/>
      <c r="S22" s="23" t="n"/>
    </row>
    <row r="23">
      <c r="A23" s="15" t="n">
        <v>19</v>
      </c>
      <c r="B23" s="15" t="inlineStr">
        <is>
          <t>Контейнер 1</t>
        </is>
      </c>
      <c r="C23" s="15" t="inlineStr">
        <is>
          <t>клинкет (задвижка)</t>
        </is>
      </c>
      <c r="D23" s="15" t="inlineStr">
        <is>
          <t>Ду60</t>
        </is>
      </c>
      <c r="E23" s="16" t="inlineStr">
        <is>
          <t>Задвижка клинкетная Ду60</t>
        </is>
      </c>
      <c r="F23" s="15" t="inlineStr">
        <is>
          <t>бронза/латунь</t>
        </is>
      </c>
      <c r="G23" s="17" t="n"/>
      <c r="H23" s="15" t="n">
        <v>1</v>
      </c>
      <c r="I23" s="17" t="n"/>
      <c r="J23" s="18">
        <f>IF(I23="","",I23-H23)</f>
        <v/>
      </c>
      <c r="K23" s="19" t="n">
        <v>16</v>
      </c>
      <c r="L23" s="20">
        <f>K23*'Расходы на доставку'!$B$18</f>
        <v/>
      </c>
      <c r="M23" s="21" t="n">
        <v>18000</v>
      </c>
      <c r="N23" s="20">
        <f>IF(M23="","",M23+L23)</f>
        <v/>
      </c>
      <c r="O23" s="22">
        <f>IFERROR(L23/N23,"")</f>
        <v/>
      </c>
      <c r="P23" s="21" t="n"/>
      <c r="Q23" s="22">
        <f>IFERROR(P23/N23-1,"")</f>
        <v/>
      </c>
      <c r="R23" s="17" t="n"/>
      <c r="S23" s="23" t="n"/>
    </row>
    <row r="24">
      <c r="A24" s="15" t="n">
        <v>20</v>
      </c>
      <c r="B24" s="15" t="inlineStr">
        <is>
          <t>Контейнер 1</t>
        </is>
      </c>
      <c r="C24" s="15" t="inlineStr">
        <is>
          <t>клапан фланцевый</t>
        </is>
      </c>
      <c r="D24" s="15" t="inlineStr">
        <is>
          <t>Ду150</t>
        </is>
      </c>
      <c r="E24" s="16" t="inlineStr">
        <is>
          <t>Клапан фланцевый угловой Ду150 Ру10</t>
        </is>
      </c>
      <c r="F24" s="15" t="inlineStr">
        <is>
          <t>бронза/латунь</t>
        </is>
      </c>
      <c r="G24" s="17" t="n"/>
      <c r="H24" s="15" t="n">
        <v>1</v>
      </c>
      <c r="I24" s="17" t="n"/>
      <c r="J24" s="18">
        <f>IF(I24="","",I24-H24)</f>
        <v/>
      </c>
      <c r="K24" s="19" t="n">
        <v>75</v>
      </c>
      <c r="L24" s="20">
        <f>K24*'Расходы на доставку'!$B$18</f>
        <v/>
      </c>
      <c r="M24" s="21" t="n">
        <v>80000</v>
      </c>
      <c r="N24" s="20">
        <f>IF(M24="","",M24+L24)</f>
        <v/>
      </c>
      <c r="O24" s="22">
        <f>IFERROR(L24/N24,"")</f>
        <v/>
      </c>
      <c r="P24" s="21" t="n"/>
      <c r="Q24" s="22">
        <f>IFERROR(P24/N24-1,"")</f>
        <v/>
      </c>
      <c r="R24" s="17" t="n"/>
      <c r="S24" s="23" t="n"/>
    </row>
    <row r="25">
      <c r="A25" s="15" t="n">
        <v>21</v>
      </c>
      <c r="B25" s="15" t="inlineStr">
        <is>
          <t>Контейнер 1</t>
        </is>
      </c>
      <c r="C25" s="15" t="inlineStr">
        <is>
          <t>клапан фланцевый</t>
        </is>
      </c>
      <c r="D25" s="15" t="inlineStr">
        <is>
          <t>Ду150</t>
        </is>
      </c>
      <c r="E25" s="16" t="inlineStr">
        <is>
          <t>Клапан фланцевый угловой Ду150 Ру10</t>
        </is>
      </c>
      <c r="F25" s="15" t="inlineStr">
        <is>
          <t>бронза/латунь</t>
        </is>
      </c>
      <c r="G25" s="17" t="n"/>
      <c r="H25" s="15" t="n">
        <v>1</v>
      </c>
      <c r="I25" s="17" t="n"/>
      <c r="J25" s="18">
        <f>IF(I25="","",I25-H25)</f>
        <v/>
      </c>
      <c r="K25" s="19" t="n">
        <v>75</v>
      </c>
      <c r="L25" s="20">
        <f>K25*'Расходы на доставку'!$B$18</f>
        <v/>
      </c>
      <c r="M25" s="21" t="n">
        <v>80000</v>
      </c>
      <c r="N25" s="20">
        <f>IF(M25="","",M25+L25)</f>
        <v/>
      </c>
      <c r="O25" s="22">
        <f>IFERROR(L25/N25,"")</f>
        <v/>
      </c>
      <c r="P25" s="21" t="n"/>
      <c r="Q25" s="22">
        <f>IFERROR(P25/N25-1,"")</f>
        <v/>
      </c>
      <c r="R25" s="17" t="n"/>
      <c r="S25" s="23" t="n"/>
    </row>
    <row r="26">
      <c r="A26" s="15" t="n">
        <v>22</v>
      </c>
      <c r="B26" s="15" t="inlineStr">
        <is>
          <t>Контейнер 1</t>
        </is>
      </c>
      <c r="C26" s="15" t="inlineStr">
        <is>
          <t>клинкет (задвижка)</t>
        </is>
      </c>
      <c r="D26" s="15" t="inlineStr">
        <is>
          <t>Ду80</t>
        </is>
      </c>
      <c r="E26" s="16" t="inlineStr">
        <is>
          <t>Задвижка клинкетная Ду 80 БРОНЗА</t>
        </is>
      </c>
      <c r="F26" s="15" t="inlineStr">
        <is>
          <t>бронза/латунь</t>
        </is>
      </c>
      <c r="G26" s="17" t="n"/>
      <c r="H26" s="15" t="n">
        <v>44</v>
      </c>
      <c r="I26" s="17" t="n"/>
      <c r="J26" s="18">
        <f>IF(I26="","",I26-H26)</f>
        <v/>
      </c>
      <c r="K26" s="19" t="n">
        <v>28</v>
      </c>
      <c r="L26" s="20">
        <f>K26*'Расходы на доставку'!$B$18</f>
        <v/>
      </c>
      <c r="M26" s="21" t="n">
        <v>24000</v>
      </c>
      <c r="N26" s="20">
        <f>IF(M26="","",M26+L26)</f>
        <v/>
      </c>
      <c r="O26" s="22">
        <f>IFERROR(L26/N26,"")</f>
        <v/>
      </c>
      <c r="P26" s="21" t="n"/>
      <c r="Q26" s="22">
        <f>IFERROR(P26/N26-1,"")</f>
        <v/>
      </c>
      <c r="R26" s="17" t="n"/>
      <c r="S26" s="23" t="n"/>
    </row>
    <row r="27">
      <c r="A27" s="15" t="n">
        <v>23</v>
      </c>
      <c r="B27" s="15" t="inlineStr">
        <is>
          <t>Контейнер 1</t>
        </is>
      </c>
      <c r="C27" s="15" t="inlineStr">
        <is>
          <t>клинкет (задвижка)</t>
        </is>
      </c>
      <c r="D27" s="15" t="inlineStr">
        <is>
          <t>Ду100</t>
        </is>
      </c>
      <c r="E27" s="16" t="inlineStr">
        <is>
          <t>Задвижка клинкетная Ду100</t>
        </is>
      </c>
      <c r="F27" s="15" t="inlineStr">
        <is>
          <t>бронза/латунь</t>
        </is>
      </c>
      <c r="G27" s="17" t="n"/>
      <c r="H27" s="15" t="n">
        <v>6</v>
      </c>
      <c r="I27" s="17" t="n"/>
      <c r="J27" s="18">
        <f>IF(I27="","",I27-H27)</f>
        <v/>
      </c>
      <c r="K27" s="19" t="n">
        <v>45</v>
      </c>
      <c r="L27" s="20">
        <f>K27*'Расходы на доставку'!$B$18</f>
        <v/>
      </c>
      <c r="M27" s="21" t="n">
        <v>38000</v>
      </c>
      <c r="N27" s="20">
        <f>IF(M27="","",M27+L27)</f>
        <v/>
      </c>
      <c r="O27" s="22">
        <f>IFERROR(L27/N27,"")</f>
        <v/>
      </c>
      <c r="P27" s="21" t="n"/>
      <c r="Q27" s="22">
        <f>IFERROR(P27/N27-1,"")</f>
        <v/>
      </c>
      <c r="R27" s="17" t="n"/>
      <c r="S27" s="23" t="n"/>
    </row>
    <row r="28">
      <c r="A28" s="15" t="n">
        <v>24</v>
      </c>
      <c r="B28" s="15" t="inlineStr">
        <is>
          <t>Контейнер 1</t>
        </is>
      </c>
      <c r="C28" s="15" t="inlineStr">
        <is>
          <t>клинкет (задвижка)</t>
        </is>
      </c>
      <c r="D28" s="15" t="inlineStr">
        <is>
          <t>Ду100</t>
        </is>
      </c>
      <c r="E28" s="16" t="inlineStr">
        <is>
          <t>Задвижка клинкетная Ду100</t>
        </is>
      </c>
      <c r="F28" s="15" t="inlineStr">
        <is>
          <t>бронза/латунь</t>
        </is>
      </c>
      <c r="G28" s="17" t="n"/>
      <c r="H28" s="15" t="n">
        <v>43</v>
      </c>
      <c r="I28" s="17" t="n"/>
      <c r="J28" s="18">
        <f>IF(I28="","",I28-H28)</f>
        <v/>
      </c>
      <c r="K28" s="19" t="n">
        <v>45</v>
      </c>
      <c r="L28" s="20">
        <f>K28*'Расходы на доставку'!$B$18</f>
        <v/>
      </c>
      <c r="M28" s="21" t="n">
        <v>38000</v>
      </c>
      <c r="N28" s="20">
        <f>IF(M28="","",M28+L28)</f>
        <v/>
      </c>
      <c r="O28" s="22">
        <f>IFERROR(L28/N28,"")</f>
        <v/>
      </c>
      <c r="P28" s="21" t="n"/>
      <c r="Q28" s="22">
        <f>IFERROR(P28/N28-1,"")</f>
        <v/>
      </c>
      <c r="R28" s="17" t="n"/>
      <c r="S28" s="23" t="n"/>
    </row>
    <row r="29">
      <c r="A29" s="15" t="n">
        <v>25</v>
      </c>
      <c r="B29" s="15" t="inlineStr">
        <is>
          <t>Контейнер 1</t>
        </is>
      </c>
      <c r="C29" s="15" t="inlineStr">
        <is>
          <t>клинкет (задвижка)</t>
        </is>
      </c>
      <c r="D29" s="15" t="inlineStr">
        <is>
          <t>Ду100</t>
        </is>
      </c>
      <c r="E29" s="16" t="inlineStr">
        <is>
          <t>Задвижка клинкетная Ду 100 БРОНЗА</t>
        </is>
      </c>
      <c r="F29" s="15" t="inlineStr">
        <is>
          <t>бронза/латунь</t>
        </is>
      </c>
      <c r="G29" s="17" t="n"/>
      <c r="H29" s="15" t="n">
        <v>2</v>
      </c>
      <c r="I29" s="17" t="n"/>
      <c r="J29" s="18">
        <f>IF(I29="","",I29-H29)</f>
        <v/>
      </c>
      <c r="K29" s="19" t="n">
        <v>45</v>
      </c>
      <c r="L29" s="20">
        <f>K29*'Расходы на доставку'!$B$18</f>
        <v/>
      </c>
      <c r="M29" s="21" t="n">
        <v>35000</v>
      </c>
      <c r="N29" s="20">
        <f>IF(M29="","",M29+L29)</f>
        <v/>
      </c>
      <c r="O29" s="22">
        <f>IFERROR(L29/N29,"")</f>
        <v/>
      </c>
      <c r="P29" s="21" t="n"/>
      <c r="Q29" s="22">
        <f>IFERROR(P29/N29-1,"")</f>
        <v/>
      </c>
      <c r="R29" s="17" t="n"/>
      <c r="S29" s="23" t="n"/>
    </row>
    <row r="30">
      <c r="A30" s="15" t="n">
        <v>26</v>
      </c>
      <c r="B30" s="15" t="inlineStr">
        <is>
          <t>Контейнер 1</t>
        </is>
      </c>
      <c r="C30" s="15" t="inlineStr">
        <is>
          <t>клапан штуцерный</t>
        </is>
      </c>
      <c r="D30" s="15" t="inlineStr">
        <is>
          <t>Ду10</t>
        </is>
      </c>
      <c r="E30" s="16" t="inlineStr">
        <is>
          <t>Клапан штуцерный угловой Ду10 Ру100</t>
        </is>
      </c>
      <c r="F30" s="15" t="inlineStr"/>
      <c r="G30" s="17" t="n"/>
      <c r="H30" s="15" t="n">
        <v>1</v>
      </c>
      <c r="I30" s="17" t="n"/>
      <c r="J30" s="18">
        <f>IF(I30="","",I30-H30)</f>
        <v/>
      </c>
      <c r="K30" s="19" t="n">
        <v>0.6</v>
      </c>
      <c r="L30" s="20">
        <f>K30*'Расходы на доставку'!$B$18</f>
        <v/>
      </c>
      <c r="M30" s="21" t="n">
        <v>20200</v>
      </c>
      <c r="N30" s="20">
        <f>IF(M30="","",M30+L30)</f>
        <v/>
      </c>
      <c r="O30" s="22">
        <f>IFERROR(L30/N30,"")</f>
        <v/>
      </c>
      <c r="P30" s="21" t="n"/>
      <c r="Q30" s="22">
        <f>IFERROR(P30/N30-1,"")</f>
        <v/>
      </c>
      <c r="R30" s="17" t="n"/>
      <c r="S30" s="23" t="n"/>
    </row>
    <row r="31">
      <c r="A31" s="15" t="n">
        <v>27</v>
      </c>
      <c r="B31" s="15" t="inlineStr">
        <is>
          <t>Контейнер 1</t>
        </is>
      </c>
      <c r="C31" s="15" t="inlineStr">
        <is>
          <t>клапан штуцерный</t>
        </is>
      </c>
      <c r="D31" s="15" t="inlineStr">
        <is>
          <t>Ду6</t>
        </is>
      </c>
      <c r="E31" s="16" t="inlineStr">
        <is>
          <t>Клапан предохранительный штуцерный угловой Ду6,5-9</t>
        </is>
      </c>
      <c r="F31" s="15" t="inlineStr"/>
      <c r="G31" s="17" t="n"/>
      <c r="H31" s="15" t="n">
        <v>1</v>
      </c>
      <c r="I31" s="17" t="n"/>
      <c r="J31" s="18">
        <f>IF(I31="","",I31-H31)</f>
        <v/>
      </c>
      <c r="K31" s="19" t="n">
        <v>0.4</v>
      </c>
      <c r="L31" s="20">
        <f>K31*'Расходы на доставку'!$B$18</f>
        <v/>
      </c>
      <c r="M31" s="21" t="n">
        <v>9000</v>
      </c>
      <c r="N31" s="20">
        <f>IF(M31="","",M31+L31)</f>
        <v/>
      </c>
      <c r="O31" s="22">
        <f>IFERROR(L31/N31,"")</f>
        <v/>
      </c>
      <c r="P31" s="21" t="n"/>
      <c r="Q31" s="22">
        <f>IFERROR(P31/N31-1,"")</f>
        <v/>
      </c>
      <c r="R31" s="17" t="n"/>
      <c r="S31" s="23" t="n"/>
    </row>
    <row r="32">
      <c r="A32" s="15" t="n">
        <v>28</v>
      </c>
      <c r="B32" s="15" t="inlineStr">
        <is>
          <t>Контейнер 1</t>
        </is>
      </c>
      <c r="C32" s="15" t="inlineStr">
        <is>
          <t>клапан штуцерный</t>
        </is>
      </c>
      <c r="D32" s="15" t="inlineStr">
        <is>
          <t>Ду3</t>
        </is>
      </c>
      <c r="E32" s="16" t="inlineStr">
        <is>
          <t>Клапан для манометра штущерный Ду3Ру400 новый</t>
        </is>
      </c>
      <c r="F32" s="15" t="inlineStr"/>
      <c r="G32" s="17" t="n"/>
      <c r="H32" s="15" t="n">
        <v>2</v>
      </c>
      <c r="I32" s="17" t="n"/>
      <c r="J32" s="18">
        <f>IF(I32="","",I32-H32)</f>
        <v/>
      </c>
      <c r="K32" s="19" t="n">
        <v>0.3</v>
      </c>
      <c r="L32" s="20">
        <f>K32*'Расходы на доставку'!$B$18</f>
        <v/>
      </c>
      <c r="M32" s="21" t="n">
        <v>6000</v>
      </c>
      <c r="N32" s="20">
        <f>IF(M32="","",M32+L32)</f>
        <v/>
      </c>
      <c r="O32" s="22">
        <f>IFERROR(L32/N32,"")</f>
        <v/>
      </c>
      <c r="P32" s="21" t="n"/>
      <c r="Q32" s="22">
        <f>IFERROR(P32/N32-1,"")</f>
        <v/>
      </c>
      <c r="R32" s="17" t="n"/>
      <c r="S32" s="23" t="n"/>
    </row>
    <row r="33">
      <c r="A33" s="15" t="n">
        <v>29</v>
      </c>
      <c r="B33" s="15" t="inlineStr">
        <is>
          <t>Контейнер 1</t>
        </is>
      </c>
      <c r="C33" s="15" t="inlineStr">
        <is>
          <t>клапан штуцерный</t>
        </is>
      </c>
      <c r="D33" s="15" t="inlineStr">
        <is>
          <t>Ду10</t>
        </is>
      </c>
      <c r="E33" s="16" t="inlineStr">
        <is>
          <t>Клапан штуцерный проходной Ду 10 Ру40 (СУНДУК)</t>
        </is>
      </c>
      <c r="F33" s="15" t="inlineStr"/>
      <c r="G33" s="17" t="n"/>
      <c r="H33" s="15" t="n">
        <v>798</v>
      </c>
      <c r="I33" s="17" t="n"/>
      <c r="J33" s="18">
        <f>IF(I33="","",I33-H33)</f>
        <v/>
      </c>
      <c r="K33" s="19" t="n">
        <v>0.6</v>
      </c>
      <c r="L33" s="20">
        <f>K33*'Расходы на доставку'!$B$18</f>
        <v/>
      </c>
      <c r="M33" s="21" t="n">
        <v>9000</v>
      </c>
      <c r="N33" s="20">
        <f>IF(M33="","",M33+L33)</f>
        <v/>
      </c>
      <c r="O33" s="22">
        <f>IFERROR(L33/N33,"")</f>
        <v/>
      </c>
      <c r="P33" s="21" t="n"/>
      <c r="Q33" s="22">
        <f>IFERROR(P33/N33-1,"")</f>
        <v/>
      </c>
      <c r="R33" s="17" t="n"/>
      <c r="S33" s="23" t="n"/>
    </row>
    <row r="34">
      <c r="A34" s="15" t="n">
        <v>30</v>
      </c>
      <c r="B34" s="15" t="inlineStr">
        <is>
          <t>Контейнер 1</t>
        </is>
      </c>
      <c r="C34" s="15" t="inlineStr">
        <is>
          <t>клапан штуцерный</t>
        </is>
      </c>
      <c r="D34" s="15" t="inlineStr">
        <is>
          <t>Ду6</t>
        </is>
      </c>
      <c r="E34" s="16" t="inlineStr">
        <is>
          <t>Клапан для манометра штущерный сальниковый Ду6Ру100 новый</t>
        </is>
      </c>
      <c r="F34" s="15" t="inlineStr"/>
      <c r="G34" s="17" t="n"/>
      <c r="H34" s="15" t="n">
        <v>95</v>
      </c>
      <c r="I34" s="17" t="n"/>
      <c r="J34" s="18">
        <f>IF(I34="","",I34-H34)</f>
        <v/>
      </c>
      <c r="K34" s="19" t="n">
        <v>0.4</v>
      </c>
      <c r="L34" s="20">
        <f>K34*'Расходы на доставку'!$B$18</f>
        <v/>
      </c>
      <c r="M34" s="21" t="n">
        <v>4500</v>
      </c>
      <c r="N34" s="20">
        <f>IF(M34="","",M34+L34)</f>
        <v/>
      </c>
      <c r="O34" s="22">
        <f>IFERROR(L34/N34,"")</f>
        <v/>
      </c>
      <c r="P34" s="21" t="n"/>
      <c r="Q34" s="22">
        <f>IFERROR(P34/N34-1,"")</f>
        <v/>
      </c>
      <c r="R34" s="17" t="n"/>
      <c r="S34" s="23" t="n"/>
    </row>
    <row r="35">
      <c r="A35" s="15" t="n">
        <v>31</v>
      </c>
      <c r="B35" s="15" t="inlineStr">
        <is>
          <t>Контейнер 1</t>
        </is>
      </c>
      <c r="C35" s="15" t="inlineStr">
        <is>
          <t>клапан штуцерный</t>
        </is>
      </c>
      <c r="D35" s="15" t="inlineStr">
        <is>
          <t>Ду6</t>
        </is>
      </c>
      <c r="E35" s="16" t="inlineStr">
        <is>
          <t>Клапан для манометра штущерный сальниковый Ду6Ру100 б/у</t>
        </is>
      </c>
      <c r="F35" s="15" t="inlineStr"/>
      <c r="G35" s="17" t="n"/>
      <c r="H35" s="15" t="n">
        <v>1</v>
      </c>
      <c r="I35" s="17" t="n"/>
      <c r="J35" s="18">
        <f>IF(I35="","",I35-H35)</f>
        <v/>
      </c>
      <c r="K35" s="19" t="n">
        <v>0.4</v>
      </c>
      <c r="L35" s="20">
        <f>K35*'Расходы на доставку'!$B$18</f>
        <v/>
      </c>
      <c r="M35" s="21" t="n">
        <v>4500</v>
      </c>
      <c r="N35" s="20">
        <f>IF(M35="","",M35+L35)</f>
        <v/>
      </c>
      <c r="O35" s="22">
        <f>IFERROR(L35/N35,"")</f>
        <v/>
      </c>
      <c r="P35" s="21" t="n"/>
      <c r="Q35" s="22">
        <f>IFERROR(P35/N35-1,"")</f>
        <v/>
      </c>
      <c r="R35" s="17" t="n"/>
      <c r="S35" s="23" t="n"/>
    </row>
    <row r="36">
      <c r="A36" s="15" t="n">
        <v>32</v>
      </c>
      <c r="B36" s="15" t="inlineStr">
        <is>
          <t>Контейнер 1</t>
        </is>
      </c>
      <c r="C36" s="15" t="inlineStr">
        <is>
          <t>клапан штуцерный</t>
        </is>
      </c>
      <c r="D36" s="15" t="inlineStr">
        <is>
          <t>Ду6</t>
        </is>
      </c>
      <c r="E36" s="16" t="inlineStr">
        <is>
          <t>Клапан для манометра штущерный сальниковый Ду6Ру100 б/у</t>
        </is>
      </c>
      <c r="F36" s="15" t="inlineStr"/>
      <c r="G36" s="17" t="n"/>
      <c r="H36" s="15" t="n">
        <v>1</v>
      </c>
      <c r="I36" s="17" t="n"/>
      <c r="J36" s="18">
        <f>IF(I36="","",I36-H36)</f>
        <v/>
      </c>
      <c r="K36" s="19" t="n">
        <v>0.4</v>
      </c>
      <c r="L36" s="20">
        <f>K36*'Расходы на доставку'!$B$18</f>
        <v/>
      </c>
      <c r="M36" s="21" t="n">
        <v>4500</v>
      </c>
      <c r="N36" s="20">
        <f>IF(M36="","",M36+L36)</f>
        <v/>
      </c>
      <c r="O36" s="22">
        <f>IFERROR(L36/N36,"")</f>
        <v/>
      </c>
      <c r="P36" s="21" t="n"/>
      <c r="Q36" s="22">
        <f>IFERROR(P36/N36-1,"")</f>
        <v/>
      </c>
      <c r="R36" s="17" t="n"/>
      <c r="S36" s="23" t="n"/>
    </row>
    <row r="37">
      <c r="A37" s="15" t="n">
        <v>33</v>
      </c>
      <c r="B37" s="15" t="inlineStr">
        <is>
          <t>Контейнер 1</t>
        </is>
      </c>
      <c r="C37" s="15" t="inlineStr">
        <is>
          <t>клапан штуцерный</t>
        </is>
      </c>
      <c r="D37" s="15" t="inlineStr">
        <is>
          <t>Ду6</t>
        </is>
      </c>
      <c r="E37" s="16" t="inlineStr">
        <is>
          <t>Клапан предохранительный штуцерный сигнальный Ду6 Ру100-230</t>
        </is>
      </c>
      <c r="F37" s="15" t="inlineStr"/>
      <c r="G37" s="17" t="n"/>
      <c r="H37" s="15" t="n">
        <v>1</v>
      </c>
      <c r="I37" s="17" t="n"/>
      <c r="J37" s="18">
        <f>IF(I37="","",I37-H37)</f>
        <v/>
      </c>
      <c r="K37" s="19" t="n">
        <v>0.4</v>
      </c>
      <c r="L37" s="20">
        <f>K37*'Расходы на доставку'!$B$18</f>
        <v/>
      </c>
      <c r="M37" s="21" t="n">
        <v>4500</v>
      </c>
      <c r="N37" s="20">
        <f>IF(M37="","",M37+L37)</f>
        <v/>
      </c>
      <c r="O37" s="22">
        <f>IFERROR(L37/N37,"")</f>
        <v/>
      </c>
      <c r="P37" s="21" t="n"/>
      <c r="Q37" s="22">
        <f>IFERROR(P37/N37-1,"")</f>
        <v/>
      </c>
      <c r="R37" s="17" t="n"/>
      <c r="S37" s="23" t="n"/>
    </row>
    <row r="38">
      <c r="A38" s="15" t="n">
        <v>34</v>
      </c>
      <c r="B38" s="15" t="inlineStr">
        <is>
          <t>Контейнер 1</t>
        </is>
      </c>
      <c r="C38" s="15" t="inlineStr">
        <is>
          <t>клапан штуцерный</t>
        </is>
      </c>
      <c r="D38" s="15" t="inlineStr">
        <is>
          <t>Ду6</t>
        </is>
      </c>
      <c r="E38" s="16" t="inlineStr">
        <is>
          <t>Клапан предохранительный штуцерный сигнальный Ду6Ру100-250</t>
        </is>
      </c>
      <c r="F38" s="15" t="inlineStr"/>
      <c r="G38" s="17" t="n"/>
      <c r="H38" s="15" t="n">
        <v>2</v>
      </c>
      <c r="I38" s="17" t="n"/>
      <c r="J38" s="18">
        <f>IF(I38="","",I38-H38)</f>
        <v/>
      </c>
      <c r="K38" s="19" t="n">
        <v>0.4</v>
      </c>
      <c r="L38" s="20">
        <f>K38*'Расходы на доставку'!$B$18</f>
        <v/>
      </c>
      <c r="M38" s="21" t="n">
        <v>4500</v>
      </c>
      <c r="N38" s="20">
        <f>IF(M38="","",M38+L38)</f>
        <v/>
      </c>
      <c r="O38" s="22">
        <f>IFERROR(L38/N38,"")</f>
        <v/>
      </c>
      <c r="P38" s="21" t="n"/>
      <c r="Q38" s="22">
        <f>IFERROR(P38/N38-1,"")</f>
        <v/>
      </c>
      <c r="R38" s="17" t="n"/>
      <c r="S38" s="23" t="n"/>
    </row>
    <row r="39">
      <c r="A39" s="15" t="n">
        <v>35</v>
      </c>
      <c r="B39" s="15" t="inlineStr">
        <is>
          <t>Контейнер 1</t>
        </is>
      </c>
      <c r="C39" s="15" t="inlineStr">
        <is>
          <t>клапан штуцерный</t>
        </is>
      </c>
      <c r="D39" s="15" t="inlineStr">
        <is>
          <t>Ду10</t>
        </is>
      </c>
      <c r="E39" s="16" t="inlineStr">
        <is>
          <t>Клапан штуцерный проходной Ду 10 Ру400</t>
        </is>
      </c>
      <c r="F39" s="15" t="inlineStr"/>
      <c r="G39" s="17" t="n"/>
      <c r="H39" s="15" t="n">
        <v>1</v>
      </c>
      <c r="I39" s="17" t="n"/>
      <c r="J39" s="18">
        <f>IF(I39="","",I39-H39)</f>
        <v/>
      </c>
      <c r="K39" s="19" t="n">
        <v>0.6</v>
      </c>
      <c r="L39" s="20">
        <f>K39*'Расходы на доставку'!$B$18</f>
        <v/>
      </c>
      <c r="M39" s="21" t="n">
        <v>6000</v>
      </c>
      <c r="N39" s="20">
        <f>IF(M39="","",M39+L39)</f>
        <v/>
      </c>
      <c r="O39" s="22">
        <f>IFERROR(L39/N39,"")</f>
        <v/>
      </c>
      <c r="P39" s="21" t="n"/>
      <c r="Q39" s="22">
        <f>IFERROR(P39/N39-1,"")</f>
        <v/>
      </c>
      <c r="R39" s="17" t="n"/>
      <c r="S39" s="23" t="n"/>
    </row>
    <row r="40">
      <c r="A40" s="15" t="n">
        <v>36</v>
      </c>
      <c r="B40" s="15" t="inlineStr">
        <is>
          <t>Контейнер 1</t>
        </is>
      </c>
      <c r="C40" s="15" t="inlineStr">
        <is>
          <t>клапан штуцерный</t>
        </is>
      </c>
      <c r="D40" s="15" t="inlineStr">
        <is>
          <t>Ду10</t>
        </is>
      </c>
      <c r="E40" s="16" t="inlineStr">
        <is>
          <t>Клапан штуцерный проходной Ду 10 Ру400</t>
        </is>
      </c>
      <c r="F40" s="15" t="inlineStr"/>
      <c r="G40" s="17" t="n"/>
      <c r="H40" s="15" t="n">
        <v>2</v>
      </c>
      <c r="I40" s="17" t="n"/>
      <c r="J40" s="18">
        <f>IF(I40="","",I40-H40)</f>
        <v/>
      </c>
      <c r="K40" s="19" t="n">
        <v>0.6</v>
      </c>
      <c r="L40" s="20">
        <f>K40*'Расходы на доставку'!$B$18</f>
        <v/>
      </c>
      <c r="M40" s="21" t="n">
        <v>6000</v>
      </c>
      <c r="N40" s="20">
        <f>IF(M40="","",M40+L40)</f>
        <v/>
      </c>
      <c r="O40" s="22">
        <f>IFERROR(L40/N40,"")</f>
        <v/>
      </c>
      <c r="P40" s="21" t="n"/>
      <c r="Q40" s="22">
        <f>IFERROR(P40/N40-1,"")</f>
        <v/>
      </c>
      <c r="R40" s="17" t="n"/>
      <c r="S40" s="23" t="n"/>
    </row>
    <row r="41">
      <c r="A41" s="15" t="n">
        <v>37</v>
      </c>
      <c r="B41" s="15" t="inlineStr">
        <is>
          <t>Контейнер 1</t>
        </is>
      </c>
      <c r="C41" s="15" t="inlineStr">
        <is>
          <t>клапан штуцерный</t>
        </is>
      </c>
      <c r="D41" s="15" t="inlineStr">
        <is>
          <t>Ду10</t>
        </is>
      </c>
      <c r="E41" s="16" t="inlineStr">
        <is>
          <t>Клапан редукционный штуцерный угловой Ду10Ру200…30 с манометром</t>
        </is>
      </c>
      <c r="F41" s="15" t="inlineStr"/>
      <c r="G41" s="17" t="n"/>
      <c r="H41" s="15" t="n">
        <v>1</v>
      </c>
      <c r="I41" s="17" t="n"/>
      <c r="J41" s="18">
        <f>IF(I41="","",I41-H41)</f>
        <v/>
      </c>
      <c r="K41" s="19" t="n">
        <v>0.6</v>
      </c>
      <c r="L41" s="20">
        <f>K41*'Расходы на доставку'!$B$18</f>
        <v/>
      </c>
      <c r="M41" s="21" t="n">
        <v>6000</v>
      </c>
      <c r="N41" s="20">
        <f>IF(M41="","",M41+L41)</f>
        <v/>
      </c>
      <c r="O41" s="22">
        <f>IFERROR(L41/N41,"")</f>
        <v/>
      </c>
      <c r="P41" s="21" t="n"/>
      <c r="Q41" s="22">
        <f>IFERROR(P41/N41-1,"")</f>
        <v/>
      </c>
      <c r="R41" s="17" t="n"/>
      <c r="S41" s="23" t="n"/>
    </row>
    <row r="42">
      <c r="A42" s="15" t="n">
        <v>38</v>
      </c>
      <c r="B42" s="15" t="inlineStr">
        <is>
          <t>Контейнер 1</t>
        </is>
      </c>
      <c r="C42" s="15" t="inlineStr">
        <is>
          <t>клапан штуцерный</t>
        </is>
      </c>
      <c r="D42" s="15" t="inlineStr">
        <is>
          <t>Ду10</t>
        </is>
      </c>
      <c r="E42" s="16" t="inlineStr">
        <is>
          <t>Клапан редукционный штуцерный угловой Ду10Ру200…30 с манометром</t>
        </is>
      </c>
      <c r="F42" s="15" t="inlineStr"/>
      <c r="G42" s="17" t="n"/>
      <c r="H42" s="15" t="n">
        <v>1</v>
      </c>
      <c r="I42" s="17" t="n"/>
      <c r="J42" s="18">
        <f>IF(I42="","",I42-H42)</f>
        <v/>
      </c>
      <c r="K42" s="19" t="n">
        <v>0.6</v>
      </c>
      <c r="L42" s="20">
        <f>K42*'Расходы на доставку'!$B$18</f>
        <v/>
      </c>
      <c r="M42" s="21" t="n">
        <v>6000</v>
      </c>
      <c r="N42" s="20">
        <f>IF(M42="","",M42+L42)</f>
        <v/>
      </c>
      <c r="O42" s="22">
        <f>IFERROR(L42/N42,"")</f>
        <v/>
      </c>
      <c r="P42" s="21" t="n"/>
      <c r="Q42" s="22">
        <f>IFERROR(P42/N42-1,"")</f>
        <v/>
      </c>
      <c r="R42" s="17" t="n"/>
      <c r="S42" s="23" t="n"/>
    </row>
    <row r="43">
      <c r="A43" s="15" t="n">
        <v>39</v>
      </c>
      <c r="B43" s="15" t="inlineStr">
        <is>
          <t>Контейнер 1</t>
        </is>
      </c>
      <c r="C43" s="15" t="inlineStr">
        <is>
          <t>клапан штуцерный</t>
        </is>
      </c>
      <c r="D43" s="15" t="inlineStr">
        <is>
          <t>Ду10</t>
        </is>
      </c>
      <c r="E43" s="16" t="inlineStr">
        <is>
          <t>Клапан предохранительный штуцерный сигнальный Ду10Ру1,3-6,5</t>
        </is>
      </c>
      <c r="F43" s="15" t="inlineStr"/>
      <c r="G43" s="17" t="n"/>
      <c r="H43" s="15" t="n">
        <v>1</v>
      </c>
      <c r="I43" s="17" t="n"/>
      <c r="J43" s="18">
        <f>IF(I43="","",I43-H43)</f>
        <v/>
      </c>
      <c r="K43" s="19" t="n">
        <v>0.6</v>
      </c>
      <c r="L43" s="20">
        <f>K43*'Расходы на доставку'!$B$18</f>
        <v/>
      </c>
      <c r="M43" s="21" t="n">
        <v>6000</v>
      </c>
      <c r="N43" s="20">
        <f>IF(M43="","",M43+L43)</f>
        <v/>
      </c>
      <c r="O43" s="22">
        <f>IFERROR(L43/N43,"")</f>
        <v/>
      </c>
      <c r="P43" s="21" t="n"/>
      <c r="Q43" s="22">
        <f>IFERROR(P43/N43-1,"")</f>
        <v/>
      </c>
      <c r="R43" s="17" t="n"/>
      <c r="S43" s="23" t="n"/>
    </row>
    <row r="44">
      <c r="A44" s="15" t="n">
        <v>40</v>
      </c>
      <c r="B44" s="15" t="inlineStr">
        <is>
          <t>Контейнер 1</t>
        </is>
      </c>
      <c r="C44" s="15" t="inlineStr">
        <is>
          <t>клапан штуцерный</t>
        </is>
      </c>
      <c r="D44" s="15" t="inlineStr">
        <is>
          <t>Ду10</t>
        </is>
      </c>
      <c r="E44" s="16" t="inlineStr">
        <is>
          <t>Клапан предохранительный штуцерный сигнальный Ду10Ру2,5-6,5</t>
        </is>
      </c>
      <c r="F44" s="15" t="inlineStr"/>
      <c r="G44" s="17" t="n"/>
      <c r="H44" s="15" t="n">
        <v>1</v>
      </c>
      <c r="I44" s="17" t="n"/>
      <c r="J44" s="18">
        <f>IF(I44="","",I44-H44)</f>
        <v/>
      </c>
      <c r="K44" s="19" t="n">
        <v>0.6</v>
      </c>
      <c r="L44" s="20">
        <f>K44*'Расходы на доставку'!$B$18</f>
        <v/>
      </c>
      <c r="M44" s="21" t="n">
        <v>6000</v>
      </c>
      <c r="N44" s="20">
        <f>IF(M44="","",M44+L44)</f>
        <v/>
      </c>
      <c r="O44" s="22">
        <f>IFERROR(L44/N44,"")</f>
        <v/>
      </c>
      <c r="P44" s="21" t="n"/>
      <c r="Q44" s="22">
        <f>IFERROR(P44/N44-1,"")</f>
        <v/>
      </c>
      <c r="R44" s="17" t="n"/>
      <c r="S44" s="23" t="n"/>
    </row>
    <row r="45">
      <c r="A45" s="15" t="n">
        <v>41</v>
      </c>
      <c r="B45" s="15" t="inlineStr">
        <is>
          <t>Контейнер 1</t>
        </is>
      </c>
      <c r="C45" s="15" t="inlineStr">
        <is>
          <t>клапан штуцерный</t>
        </is>
      </c>
      <c r="D45" s="15" t="inlineStr">
        <is>
          <t>Ду15</t>
        </is>
      </c>
      <c r="E45" s="16" t="inlineStr">
        <is>
          <t>Клапан штущерный проходной Ду15</t>
        </is>
      </c>
      <c r="F45" s="15" t="inlineStr"/>
      <c r="G45" s="17" t="n"/>
      <c r="H45" s="15" t="n">
        <v>44</v>
      </c>
      <c r="I45" s="17" t="n"/>
      <c r="J45" s="18">
        <f>IF(I45="","",I45-H45)</f>
        <v/>
      </c>
      <c r="K45" s="19" t="n">
        <v>1</v>
      </c>
      <c r="L45" s="20">
        <f>K45*'Расходы на доставку'!$B$18</f>
        <v/>
      </c>
      <c r="M45" s="21" t="n">
        <v>9500</v>
      </c>
      <c r="N45" s="20">
        <f>IF(M45="","",M45+L45)</f>
        <v/>
      </c>
      <c r="O45" s="22">
        <f>IFERROR(L45/N45,"")</f>
        <v/>
      </c>
      <c r="P45" s="21" t="n"/>
      <c r="Q45" s="22">
        <f>IFERROR(P45/N45-1,"")</f>
        <v/>
      </c>
      <c r="R45" s="17" t="n"/>
      <c r="S45" s="23" t="n"/>
    </row>
    <row r="46">
      <c r="A46" s="15" t="n">
        <v>42</v>
      </c>
      <c r="B46" s="15" t="inlineStr">
        <is>
          <t>Контейнер 1</t>
        </is>
      </c>
      <c r="C46" s="15" t="inlineStr">
        <is>
          <t>клапан штуцерный</t>
        </is>
      </c>
      <c r="D46" s="15" t="inlineStr">
        <is>
          <t>Ду15</t>
        </is>
      </c>
      <c r="E46" s="16" t="inlineStr">
        <is>
          <t>Клапан штуцерный угловой Ду15 Ру160</t>
        </is>
      </c>
      <c r="F46" s="15" t="inlineStr"/>
      <c r="G46" s="17" t="n"/>
      <c r="H46" s="15" t="n">
        <v>4</v>
      </c>
      <c r="I46" s="17" t="n"/>
      <c r="J46" s="18">
        <f>IF(I46="","",I46-H46)</f>
        <v/>
      </c>
      <c r="K46" s="19" t="n">
        <v>1</v>
      </c>
      <c r="L46" s="20">
        <f>K46*'Расходы на доставку'!$B$18</f>
        <v/>
      </c>
      <c r="M46" s="21" t="n">
        <v>9000</v>
      </c>
      <c r="N46" s="20">
        <f>IF(M46="","",M46+L46)</f>
        <v/>
      </c>
      <c r="O46" s="22">
        <f>IFERROR(L46/N46,"")</f>
        <v/>
      </c>
      <c r="P46" s="21" t="n"/>
      <c r="Q46" s="22">
        <f>IFERROR(P46/N46-1,"")</f>
        <v/>
      </c>
      <c r="R46" s="17" t="n"/>
      <c r="S46" s="23" t="n"/>
    </row>
    <row r="47">
      <c r="A47" s="15" t="n">
        <v>43</v>
      </c>
      <c r="B47" s="15" t="inlineStr">
        <is>
          <t>Контейнер 1</t>
        </is>
      </c>
      <c r="C47" s="15" t="inlineStr">
        <is>
          <t>клапан штуцерный</t>
        </is>
      </c>
      <c r="D47" s="15" t="inlineStr">
        <is>
          <t>Ду15</t>
        </is>
      </c>
      <c r="E47" s="16" t="inlineStr">
        <is>
          <t>Клапан штуцерный угловой Ду15</t>
        </is>
      </c>
      <c r="F47" s="15" t="inlineStr"/>
      <c r="G47" s="17" t="n"/>
      <c r="H47" s="15" t="n">
        <v>10</v>
      </c>
      <c r="I47" s="17" t="n"/>
      <c r="J47" s="18">
        <f>IF(I47="","",I47-H47)</f>
        <v/>
      </c>
      <c r="K47" s="19" t="n">
        <v>1</v>
      </c>
      <c r="L47" s="20">
        <f>K47*'Расходы на доставку'!$B$18</f>
        <v/>
      </c>
      <c r="M47" s="21" t="n">
        <v>9000</v>
      </c>
      <c r="N47" s="20">
        <f>IF(M47="","",M47+L47)</f>
        <v/>
      </c>
      <c r="O47" s="22">
        <f>IFERROR(L47/N47,"")</f>
        <v/>
      </c>
      <c r="P47" s="21" t="n"/>
      <c r="Q47" s="22">
        <f>IFERROR(P47/N47-1,"")</f>
        <v/>
      </c>
      <c r="R47" s="17" t="n"/>
      <c r="S47" s="23" t="n"/>
    </row>
    <row r="48">
      <c r="A48" s="15" t="n">
        <v>44</v>
      </c>
      <c r="B48" s="15" t="inlineStr">
        <is>
          <t>Контейнер 1</t>
        </is>
      </c>
      <c r="C48" s="15" t="inlineStr">
        <is>
          <t>клапан штуцерный</t>
        </is>
      </c>
      <c r="D48" s="15" t="inlineStr">
        <is>
          <t>Ду10</t>
        </is>
      </c>
      <c r="E48" s="16" t="inlineStr">
        <is>
          <t>Клапан штуцерный проходной Ду 10 Ру100</t>
        </is>
      </c>
      <c r="F48" s="15" t="inlineStr"/>
      <c r="G48" s="17" t="n"/>
      <c r="H48" s="15" t="n">
        <v>7</v>
      </c>
      <c r="I48" s="17" t="n"/>
      <c r="J48" s="18">
        <f>IF(I48="","",I48-H48)</f>
        <v/>
      </c>
      <c r="K48" s="19" t="n">
        <v>0.6</v>
      </c>
      <c r="L48" s="20">
        <f>K48*'Расходы на доставку'!$B$18</f>
        <v/>
      </c>
      <c r="M48" s="21" t="n">
        <v>4500</v>
      </c>
      <c r="N48" s="20">
        <f>IF(M48="","",M48+L48)</f>
        <v/>
      </c>
      <c r="O48" s="22">
        <f>IFERROR(L48/N48,"")</f>
        <v/>
      </c>
      <c r="P48" s="21" t="n"/>
      <c r="Q48" s="22">
        <f>IFERROR(P48/N48-1,"")</f>
        <v/>
      </c>
      <c r="R48" s="17" t="n"/>
      <c r="S48" s="23" t="n"/>
    </row>
    <row r="49">
      <c r="A49" s="15" t="n">
        <v>45</v>
      </c>
      <c r="B49" s="15" t="inlineStr">
        <is>
          <t>Контейнер 1</t>
        </is>
      </c>
      <c r="C49" s="15" t="inlineStr">
        <is>
          <t>кран</t>
        </is>
      </c>
      <c r="D49" s="15" t="inlineStr">
        <is>
          <t>Ду15</t>
        </is>
      </c>
      <c r="E49" s="16" t="inlineStr">
        <is>
          <t>Кран штуцерный спусковой самозапорный проходной Ду15 Ру25</t>
        </is>
      </c>
      <c r="F49" s="15" t="inlineStr"/>
      <c r="G49" s="17" t="n"/>
      <c r="H49" s="15" t="n">
        <v>4</v>
      </c>
      <c r="I49" s="17" t="n"/>
      <c r="J49" s="18">
        <f>IF(I49="","",I49-H49)</f>
        <v/>
      </c>
      <c r="K49" s="19" t="n">
        <v>1</v>
      </c>
      <c r="L49" s="20">
        <f>K49*'Расходы на доставку'!$B$18</f>
        <v/>
      </c>
      <c r="M49" s="21" t="n">
        <v>7500</v>
      </c>
      <c r="N49" s="20">
        <f>IF(M49="","",M49+L49)</f>
        <v/>
      </c>
      <c r="O49" s="22">
        <f>IFERROR(L49/N49,"")</f>
        <v/>
      </c>
      <c r="P49" s="21" t="n"/>
      <c r="Q49" s="22">
        <f>IFERROR(P49/N49-1,"")</f>
        <v/>
      </c>
      <c r="R49" s="17" t="n"/>
      <c r="S49" s="23" t="n"/>
    </row>
    <row r="50">
      <c r="A50" s="15" t="n">
        <v>46</v>
      </c>
      <c r="B50" s="15" t="inlineStr">
        <is>
          <t>Контейнер 1</t>
        </is>
      </c>
      <c r="C50" s="15" t="inlineStr">
        <is>
          <t>прочая арматура</t>
        </is>
      </c>
      <c r="D50" s="15" t="inlineStr">
        <is>
          <t>Ду125</t>
        </is>
      </c>
      <c r="E50" s="16" t="inlineStr">
        <is>
          <t>Клапан проходной ДУ 125 корпус</t>
        </is>
      </c>
      <c r="F50" s="15" t="inlineStr"/>
      <c r="G50" s="17" t="n"/>
      <c r="H50" s="15" t="n">
        <v>1</v>
      </c>
      <c r="I50" s="17" t="n"/>
      <c r="J50" s="18">
        <f>IF(I50="","",I50-H50)</f>
        <v/>
      </c>
      <c r="K50" s="19" t="n">
        <v>5</v>
      </c>
      <c r="L50" s="20">
        <f>K50*'Расходы на доставку'!$B$18</f>
        <v/>
      </c>
      <c r="M50" s="21" t="n">
        <v>37000</v>
      </c>
      <c r="N50" s="20">
        <f>IF(M50="","",M50+L50)</f>
        <v/>
      </c>
      <c r="O50" s="22">
        <f>IFERROR(L50/N50,"")</f>
        <v/>
      </c>
      <c r="P50" s="21" t="n"/>
      <c r="Q50" s="22">
        <f>IFERROR(P50/N50-1,"")</f>
        <v/>
      </c>
      <c r="R50" s="17" t="n"/>
      <c r="S50" s="23" t="n"/>
    </row>
    <row r="51">
      <c r="A51" s="15" t="n">
        <v>47</v>
      </c>
      <c r="B51" s="15" t="inlineStr">
        <is>
          <t>Контейнер 1</t>
        </is>
      </c>
      <c r="C51" s="15" t="inlineStr">
        <is>
          <t>клапан штуцерный</t>
        </is>
      </c>
      <c r="D51" s="15" t="inlineStr">
        <is>
          <t>Ду10</t>
        </is>
      </c>
      <c r="E51" s="16" t="inlineStr">
        <is>
          <t>Клапан штуцерный проходной невозвратный Ду10Ру100</t>
        </is>
      </c>
      <c r="F51" s="15" t="inlineStr"/>
      <c r="G51" s="17" t="n"/>
      <c r="H51" s="15" t="n">
        <v>5</v>
      </c>
      <c r="I51" s="17" t="n"/>
      <c r="J51" s="18">
        <f>IF(I51="","",I51-H51)</f>
        <v/>
      </c>
      <c r="K51" s="19" t="n">
        <v>0.6</v>
      </c>
      <c r="L51" s="20">
        <f>K51*'Расходы на доставку'!$B$18</f>
        <v/>
      </c>
      <c r="M51" s="21" t="n">
        <v>4000</v>
      </c>
      <c r="N51" s="20">
        <f>IF(M51="","",M51+L51)</f>
        <v/>
      </c>
      <c r="O51" s="22">
        <f>IFERROR(L51/N51,"")</f>
        <v/>
      </c>
      <c r="P51" s="21" t="n"/>
      <c r="Q51" s="22">
        <f>IFERROR(P51/N51-1,"")</f>
        <v/>
      </c>
      <c r="R51" s="17" t="n"/>
      <c r="S51" s="23" t="n"/>
    </row>
    <row r="52">
      <c r="A52" s="15" t="n">
        <v>48</v>
      </c>
      <c r="B52" s="15" t="inlineStr">
        <is>
          <t>Контейнер 1</t>
        </is>
      </c>
      <c r="C52" s="15" t="inlineStr">
        <is>
          <t>клапан штуцерный</t>
        </is>
      </c>
      <c r="D52" s="15" t="inlineStr">
        <is>
          <t>Ду10</t>
        </is>
      </c>
      <c r="E52" s="16" t="inlineStr">
        <is>
          <t>Клапан штуцерный проходной невозвратный Ду10Ру100</t>
        </is>
      </c>
      <c r="F52" s="15" t="inlineStr"/>
      <c r="G52" s="17" t="n"/>
      <c r="H52" s="15" t="n">
        <v>1</v>
      </c>
      <c r="I52" s="17" t="n"/>
      <c r="J52" s="18">
        <f>IF(I52="","",I52-H52)</f>
        <v/>
      </c>
      <c r="K52" s="19" t="n">
        <v>0.6</v>
      </c>
      <c r="L52" s="20">
        <f>K52*'Расходы на доставку'!$B$18</f>
        <v/>
      </c>
      <c r="M52" s="21" t="n">
        <v>4000</v>
      </c>
      <c r="N52" s="20">
        <f>IF(M52="","",M52+L52)</f>
        <v/>
      </c>
      <c r="O52" s="22">
        <f>IFERROR(L52/N52,"")</f>
        <v/>
      </c>
      <c r="P52" s="21" t="n"/>
      <c r="Q52" s="22">
        <f>IFERROR(P52/N52-1,"")</f>
        <v/>
      </c>
      <c r="R52" s="17" t="n"/>
      <c r="S52" s="23" t="n"/>
    </row>
    <row r="53">
      <c r="A53" s="15" t="n">
        <v>49</v>
      </c>
      <c r="B53" s="15" t="inlineStr">
        <is>
          <t>Контейнер 1</t>
        </is>
      </c>
      <c r="C53" s="15" t="inlineStr">
        <is>
          <t>клапан штуцерный</t>
        </is>
      </c>
      <c r="D53" s="15" t="inlineStr">
        <is>
          <t>Ду10</t>
        </is>
      </c>
      <c r="E53" s="16" t="inlineStr">
        <is>
          <t>Клапан запорный штуцерный проходной Ду10 Ру16</t>
        </is>
      </c>
      <c r="F53" s="15" t="inlineStr"/>
      <c r="G53" s="17" t="n"/>
      <c r="H53" s="15" t="n">
        <v>6</v>
      </c>
      <c r="I53" s="17" t="n"/>
      <c r="J53" s="18">
        <f>IF(I53="","",I53-H53)</f>
        <v/>
      </c>
      <c r="K53" s="19" t="n">
        <v>0.6</v>
      </c>
      <c r="L53" s="20">
        <f>K53*'Расходы на доставку'!$B$18</f>
        <v/>
      </c>
      <c r="M53" s="21" t="n">
        <v>4000</v>
      </c>
      <c r="N53" s="20">
        <f>IF(M53="","",M53+L53)</f>
        <v/>
      </c>
      <c r="O53" s="22">
        <f>IFERROR(L53/N53,"")</f>
        <v/>
      </c>
      <c r="P53" s="21" t="n"/>
      <c r="Q53" s="22">
        <f>IFERROR(P53/N53-1,"")</f>
        <v/>
      </c>
      <c r="R53" s="17" t="n"/>
      <c r="S53" s="23" t="n"/>
    </row>
    <row r="54">
      <c r="A54" s="15" t="n">
        <v>50</v>
      </c>
      <c r="B54" s="15" t="inlineStr">
        <is>
          <t>Контейнер 1</t>
        </is>
      </c>
      <c r="C54" s="15" t="inlineStr">
        <is>
          <t>клапан штуцерный</t>
        </is>
      </c>
      <c r="D54" s="15" t="inlineStr">
        <is>
          <t>Ду10</t>
        </is>
      </c>
      <c r="E54" s="16" t="inlineStr">
        <is>
          <t>Клапан штуцерный угловой Ду10 Р160</t>
        </is>
      </c>
      <c r="F54" s="15" t="inlineStr"/>
      <c r="G54" s="17" t="n"/>
      <c r="H54" s="15" t="n">
        <v>6</v>
      </c>
      <c r="I54" s="17" t="n"/>
      <c r="J54" s="18">
        <f>IF(I54="","",I54-H54)</f>
        <v/>
      </c>
      <c r="K54" s="19" t="n">
        <v>0.6</v>
      </c>
      <c r="L54" s="20">
        <f>K54*'Расходы на доставку'!$B$18</f>
        <v/>
      </c>
      <c r="M54" s="21" t="n">
        <v>4000</v>
      </c>
      <c r="N54" s="20">
        <f>IF(M54="","",M54+L54)</f>
        <v/>
      </c>
      <c r="O54" s="22">
        <f>IFERROR(L54/N54,"")</f>
        <v/>
      </c>
      <c r="P54" s="21" t="n"/>
      <c r="Q54" s="22">
        <f>IFERROR(P54/N54-1,"")</f>
        <v/>
      </c>
      <c r="R54" s="17" t="n"/>
      <c r="S54" s="23" t="n"/>
    </row>
    <row r="55">
      <c r="A55" s="15" t="n">
        <v>51</v>
      </c>
      <c r="B55" s="15" t="inlineStr">
        <is>
          <t>Контейнер 1</t>
        </is>
      </c>
      <c r="C55" s="15" t="inlineStr">
        <is>
          <t>клапан штуцерный</t>
        </is>
      </c>
      <c r="D55" s="15" t="inlineStr">
        <is>
          <t>Ду15</t>
        </is>
      </c>
      <c r="E55" s="16" t="inlineStr">
        <is>
          <t>Клапан штуцерный проходной Ду 15 Ру40</t>
        </is>
      </c>
      <c r="F55" s="15" t="inlineStr"/>
      <c r="G55" s="17" t="n"/>
      <c r="H55" s="15" t="n">
        <v>1</v>
      </c>
      <c r="I55" s="17" t="n"/>
      <c r="J55" s="18">
        <f>IF(I55="","",I55-H55)</f>
        <v/>
      </c>
      <c r="K55" s="19" t="n">
        <v>1</v>
      </c>
      <c r="L55" s="20">
        <f>K55*'Расходы на доставку'!$B$18</f>
        <v/>
      </c>
      <c r="M55" s="21" t="n">
        <v>6500</v>
      </c>
      <c r="N55" s="20">
        <f>IF(M55="","",M55+L55)</f>
        <v/>
      </c>
      <c r="O55" s="22">
        <f>IFERROR(L55/N55,"")</f>
        <v/>
      </c>
      <c r="P55" s="21" t="n"/>
      <c r="Q55" s="22">
        <f>IFERROR(P55/N55-1,"")</f>
        <v/>
      </c>
      <c r="R55" s="17" t="n"/>
      <c r="S55" s="23" t="n"/>
    </row>
    <row r="56">
      <c r="A56" s="15" t="n">
        <v>52</v>
      </c>
      <c r="B56" s="15" t="inlineStr">
        <is>
          <t>Контейнер 1</t>
        </is>
      </c>
      <c r="C56" s="15" t="inlineStr">
        <is>
          <t>клапан штуцерный</t>
        </is>
      </c>
      <c r="D56" s="15" t="inlineStr">
        <is>
          <t>Ду15</t>
        </is>
      </c>
      <c r="E56" s="16" t="inlineStr">
        <is>
          <t>Клапан штуцерный проходной Ду 15 Ру40</t>
        </is>
      </c>
      <c r="F56" s="15" t="inlineStr"/>
      <c r="G56" s="17" t="n"/>
      <c r="H56" s="15" t="n">
        <v>1</v>
      </c>
      <c r="I56" s="17" t="n"/>
      <c r="J56" s="18">
        <f>IF(I56="","",I56-H56)</f>
        <v/>
      </c>
      <c r="K56" s="19" t="n">
        <v>1</v>
      </c>
      <c r="L56" s="20">
        <f>K56*'Расходы на доставку'!$B$18</f>
        <v/>
      </c>
      <c r="M56" s="21" t="n">
        <v>6500</v>
      </c>
      <c r="N56" s="20">
        <f>IF(M56="","",M56+L56)</f>
        <v/>
      </c>
      <c r="O56" s="22">
        <f>IFERROR(L56/N56,"")</f>
        <v/>
      </c>
      <c r="P56" s="21" t="n"/>
      <c r="Q56" s="22">
        <f>IFERROR(P56/N56-1,"")</f>
        <v/>
      </c>
      <c r="R56" s="17" t="n"/>
      <c r="S56" s="23" t="n"/>
    </row>
    <row r="57">
      <c r="A57" s="15" t="n">
        <v>53</v>
      </c>
      <c r="B57" s="15" t="inlineStr">
        <is>
          <t>Контейнер 1</t>
        </is>
      </c>
      <c r="C57" s="15" t="inlineStr">
        <is>
          <t>клапан штуцерный</t>
        </is>
      </c>
      <c r="D57" s="15" t="inlineStr">
        <is>
          <t>Ду15</t>
        </is>
      </c>
      <c r="E57" s="16" t="inlineStr">
        <is>
          <t>Клапан штуцерный проходной Ду 15 Ру 40</t>
        </is>
      </c>
      <c r="F57" s="15" t="inlineStr"/>
      <c r="G57" s="17" t="n"/>
      <c r="H57" s="15" t="n">
        <v>2</v>
      </c>
      <c r="I57" s="17" t="n"/>
      <c r="J57" s="18">
        <f>IF(I57="","",I57-H57)</f>
        <v/>
      </c>
      <c r="K57" s="19" t="n">
        <v>1</v>
      </c>
      <c r="L57" s="20">
        <f>K57*'Расходы на доставку'!$B$18</f>
        <v/>
      </c>
      <c r="M57" s="21" t="n">
        <v>6500</v>
      </c>
      <c r="N57" s="20">
        <f>IF(M57="","",M57+L57)</f>
        <v/>
      </c>
      <c r="O57" s="22">
        <f>IFERROR(L57/N57,"")</f>
        <v/>
      </c>
      <c r="P57" s="21" t="n"/>
      <c r="Q57" s="22">
        <f>IFERROR(P57/N57-1,"")</f>
        <v/>
      </c>
      <c r="R57" s="17" t="n"/>
      <c r="S57" s="23" t="n"/>
    </row>
    <row r="58">
      <c r="A58" s="15" t="n">
        <v>54</v>
      </c>
      <c r="B58" s="15" t="inlineStr">
        <is>
          <t>Контейнер 1</t>
        </is>
      </c>
      <c r="C58" s="15" t="inlineStr">
        <is>
          <t>клапан штуцерный</t>
        </is>
      </c>
      <c r="D58" s="15" t="inlineStr">
        <is>
          <t>Ду15</t>
        </is>
      </c>
      <c r="E58" s="16" t="inlineStr">
        <is>
          <t>Клапан штуцерный проходной Ду 15 Ру 40</t>
        </is>
      </c>
      <c r="F58" s="15" t="inlineStr"/>
      <c r="G58" s="17" t="n"/>
      <c r="H58" s="15" t="n">
        <v>1</v>
      </c>
      <c r="I58" s="17" t="n"/>
      <c r="J58" s="18">
        <f>IF(I58="","",I58-H58)</f>
        <v/>
      </c>
      <c r="K58" s="19" t="n">
        <v>1</v>
      </c>
      <c r="L58" s="20">
        <f>K58*'Расходы на доставку'!$B$18</f>
        <v/>
      </c>
      <c r="M58" s="21" t="n">
        <v>6500</v>
      </c>
      <c r="N58" s="20">
        <f>IF(M58="","",M58+L58)</f>
        <v/>
      </c>
      <c r="O58" s="22">
        <f>IFERROR(L58/N58,"")</f>
        <v/>
      </c>
      <c r="P58" s="21" t="n"/>
      <c r="Q58" s="22">
        <f>IFERROR(P58/N58-1,"")</f>
        <v/>
      </c>
      <c r="R58" s="17" t="n"/>
      <c r="S58" s="23" t="n"/>
    </row>
    <row r="59">
      <c r="A59" s="15" t="n">
        <v>55</v>
      </c>
      <c r="B59" s="15" t="inlineStr">
        <is>
          <t>Контейнер 1</t>
        </is>
      </c>
      <c r="C59" s="15" t="inlineStr">
        <is>
          <t>клапан штуцерный</t>
        </is>
      </c>
      <c r="D59" s="15" t="inlineStr">
        <is>
          <t>Ду15</t>
        </is>
      </c>
      <c r="E59" s="16" t="inlineStr">
        <is>
          <t>Клапан штуцерный проходной Ду 15</t>
        </is>
      </c>
      <c r="F59" s="15" t="inlineStr"/>
      <c r="G59" s="17" t="n"/>
      <c r="H59" s="15" t="n">
        <v>1</v>
      </c>
      <c r="I59" s="17" t="n"/>
      <c r="J59" s="18">
        <f>IF(I59="","",I59-H59)</f>
        <v/>
      </c>
      <c r="K59" s="19" t="n">
        <v>1</v>
      </c>
      <c r="L59" s="20">
        <f>K59*'Расходы на доставку'!$B$18</f>
        <v/>
      </c>
      <c r="M59" s="21" t="n">
        <v>6500</v>
      </c>
      <c r="N59" s="20">
        <f>IF(M59="","",M59+L59)</f>
        <v/>
      </c>
      <c r="O59" s="22">
        <f>IFERROR(L59/N59,"")</f>
        <v/>
      </c>
      <c r="P59" s="21" t="n"/>
      <c r="Q59" s="22">
        <f>IFERROR(P59/N59-1,"")</f>
        <v/>
      </c>
      <c r="R59" s="17" t="n"/>
      <c r="S59" s="23" t="n"/>
    </row>
    <row r="60">
      <c r="A60" s="15" t="n">
        <v>56</v>
      </c>
      <c r="B60" s="15" t="inlineStr">
        <is>
          <t>Контейнер 1</t>
        </is>
      </c>
      <c r="C60" s="15" t="inlineStr">
        <is>
          <t>клапан штуцерный</t>
        </is>
      </c>
      <c r="D60" s="15" t="inlineStr">
        <is>
          <t>Ду15</t>
        </is>
      </c>
      <c r="E60" s="16" t="inlineStr">
        <is>
          <t>Клапан штуцерный проходной Ду 15</t>
        </is>
      </c>
      <c r="F60" s="15" t="inlineStr"/>
      <c r="G60" s="17" t="n"/>
      <c r="H60" s="15" t="n">
        <v>1</v>
      </c>
      <c r="I60" s="17" t="n"/>
      <c r="J60" s="18">
        <f>IF(I60="","",I60-H60)</f>
        <v/>
      </c>
      <c r="K60" s="19" t="n">
        <v>1</v>
      </c>
      <c r="L60" s="20">
        <f>K60*'Расходы на доставку'!$B$18</f>
        <v/>
      </c>
      <c r="M60" s="21" t="n">
        <v>6500</v>
      </c>
      <c r="N60" s="20">
        <f>IF(M60="","",M60+L60)</f>
        <v/>
      </c>
      <c r="O60" s="22">
        <f>IFERROR(L60/N60,"")</f>
        <v/>
      </c>
      <c r="P60" s="21" t="n"/>
      <c r="Q60" s="22">
        <f>IFERROR(P60/N60-1,"")</f>
        <v/>
      </c>
      <c r="R60" s="17" t="n"/>
      <c r="S60" s="23" t="n"/>
    </row>
    <row r="61">
      <c r="A61" s="15" t="n">
        <v>57</v>
      </c>
      <c r="B61" s="15" t="inlineStr">
        <is>
          <t>Контейнер 1</t>
        </is>
      </c>
      <c r="C61" s="15" t="inlineStr">
        <is>
          <t>клапан штуцерный</t>
        </is>
      </c>
      <c r="D61" s="15" t="inlineStr">
        <is>
          <t>Ду15</t>
        </is>
      </c>
      <c r="E61" s="16" t="inlineStr">
        <is>
          <t>Клапан штуцерный проходной Ду 15 Ру 100</t>
        </is>
      </c>
      <c r="F61" s="15" t="inlineStr"/>
      <c r="G61" s="17" t="n"/>
      <c r="H61" s="15" t="n">
        <v>2</v>
      </c>
      <c r="I61" s="17" t="n"/>
      <c r="J61" s="18">
        <f>IF(I61="","",I61-H61)</f>
        <v/>
      </c>
      <c r="K61" s="19" t="n">
        <v>1</v>
      </c>
      <c r="L61" s="20">
        <f>K61*'Расходы на доставку'!$B$18</f>
        <v/>
      </c>
      <c r="M61" s="21" t="n">
        <v>6500</v>
      </c>
      <c r="N61" s="20">
        <f>IF(M61="","",M61+L61)</f>
        <v/>
      </c>
      <c r="O61" s="22">
        <f>IFERROR(L61/N61,"")</f>
        <v/>
      </c>
      <c r="P61" s="21" t="n"/>
      <c r="Q61" s="22">
        <f>IFERROR(P61/N61-1,"")</f>
        <v/>
      </c>
      <c r="R61" s="17" t="n"/>
      <c r="S61" s="23" t="n"/>
    </row>
    <row r="62">
      <c r="A62" s="15" t="n">
        <v>58</v>
      </c>
      <c r="B62" s="15" t="inlineStr">
        <is>
          <t>Контейнер 1</t>
        </is>
      </c>
      <c r="C62" s="15" t="inlineStr">
        <is>
          <t>клапан штуцерный</t>
        </is>
      </c>
      <c r="D62" s="15" t="inlineStr">
        <is>
          <t>Ду15</t>
        </is>
      </c>
      <c r="E62" s="16" t="inlineStr">
        <is>
          <t>Клапан штуцерный проходной Ду 15 Ру 100</t>
        </is>
      </c>
      <c r="F62" s="15" t="inlineStr"/>
      <c r="G62" s="17" t="n"/>
      <c r="H62" s="15" t="n">
        <v>1</v>
      </c>
      <c r="I62" s="17" t="n"/>
      <c r="J62" s="18">
        <f>IF(I62="","",I62-H62)</f>
        <v/>
      </c>
      <c r="K62" s="19" t="n">
        <v>1</v>
      </c>
      <c r="L62" s="20">
        <f>K62*'Расходы на доставку'!$B$18</f>
        <v/>
      </c>
      <c r="M62" s="21" t="n">
        <v>6500</v>
      </c>
      <c r="N62" s="20">
        <f>IF(M62="","",M62+L62)</f>
        <v/>
      </c>
      <c r="O62" s="22">
        <f>IFERROR(L62/N62,"")</f>
        <v/>
      </c>
      <c r="P62" s="21" t="n"/>
      <c r="Q62" s="22">
        <f>IFERROR(P62/N62-1,"")</f>
        <v/>
      </c>
      <c r="R62" s="17" t="n"/>
      <c r="S62" s="23" t="n"/>
    </row>
    <row r="63">
      <c r="A63" s="15" t="n">
        <v>59</v>
      </c>
      <c r="B63" s="15" t="inlineStr">
        <is>
          <t>Контейнер 1</t>
        </is>
      </c>
      <c r="C63" s="15" t="inlineStr">
        <is>
          <t>клапан штуцерный</t>
        </is>
      </c>
      <c r="D63" s="15" t="inlineStr">
        <is>
          <t>Ду20</t>
        </is>
      </c>
      <c r="E63" s="16" t="inlineStr">
        <is>
          <t>Клапан штуцерный угловой Ду20 Ру160</t>
        </is>
      </c>
      <c r="F63" s="15" t="inlineStr"/>
      <c r="G63" s="17" t="n"/>
      <c r="H63" s="15" t="n">
        <v>1</v>
      </c>
      <c r="I63" s="17" t="n"/>
      <c r="J63" s="18">
        <f>IF(I63="","",I63-H63)</f>
        <v/>
      </c>
      <c r="K63" s="19" t="n">
        <v>1.5</v>
      </c>
      <c r="L63" s="20">
        <f>K63*'Расходы на доставку'!$B$18</f>
        <v/>
      </c>
      <c r="M63" s="21" t="n">
        <v>9000</v>
      </c>
      <c r="N63" s="20">
        <f>IF(M63="","",M63+L63)</f>
        <v/>
      </c>
      <c r="O63" s="22">
        <f>IFERROR(L63/N63,"")</f>
        <v/>
      </c>
      <c r="P63" s="21" t="n"/>
      <c r="Q63" s="22">
        <f>IFERROR(P63/N63-1,"")</f>
        <v/>
      </c>
      <c r="R63" s="17" t="n"/>
      <c r="S63" s="23" t="n"/>
    </row>
    <row r="64">
      <c r="A64" s="15" t="n">
        <v>60</v>
      </c>
      <c r="B64" s="15" t="inlineStr">
        <is>
          <t>Контейнер 1</t>
        </is>
      </c>
      <c r="C64" s="15" t="inlineStr">
        <is>
          <t>кран</t>
        </is>
      </c>
      <c r="D64" s="15" t="inlineStr">
        <is>
          <t>Ду20</t>
        </is>
      </c>
      <c r="E64" s="16" t="inlineStr">
        <is>
          <t>Кран штуцерный спусковой самозапорный проходной Ду20 Ру10</t>
        </is>
      </c>
      <c r="F64" s="15" t="inlineStr"/>
      <c r="G64" s="17" t="n"/>
      <c r="H64" s="15" t="n">
        <v>36</v>
      </c>
      <c r="I64" s="17" t="n"/>
      <c r="J64" s="18">
        <f>IF(I64="","",I64-H64)</f>
        <v/>
      </c>
      <c r="K64" s="19" t="n">
        <v>1.5</v>
      </c>
      <c r="L64" s="20">
        <f>K64*'Расходы на доставку'!$B$18</f>
        <v/>
      </c>
      <c r="M64" s="21" t="n">
        <v>9000</v>
      </c>
      <c r="N64" s="20">
        <f>IF(M64="","",M64+L64)</f>
        <v/>
      </c>
      <c r="O64" s="22">
        <f>IFERROR(L64/N64,"")</f>
        <v/>
      </c>
      <c r="P64" s="21" t="n"/>
      <c r="Q64" s="22">
        <f>IFERROR(P64/N64-1,"")</f>
        <v/>
      </c>
      <c r="R64" s="17" t="n"/>
      <c r="S64" s="23" t="n"/>
    </row>
    <row r="65">
      <c r="A65" s="15" t="n">
        <v>61</v>
      </c>
      <c r="B65" s="15" t="inlineStr">
        <is>
          <t>Контейнер 1</t>
        </is>
      </c>
      <c r="C65" s="15" t="inlineStr">
        <is>
          <t>кран</t>
        </is>
      </c>
      <c r="D65" s="15" t="inlineStr">
        <is>
          <t>Ду20</t>
        </is>
      </c>
      <c r="E65" s="16" t="inlineStr">
        <is>
          <t>Кран трехходовой штуцерный Ду20 Ру16</t>
        </is>
      </c>
      <c r="F65" s="15" t="inlineStr"/>
      <c r="G65" s="17" t="n"/>
      <c r="H65" s="15" t="n">
        <v>7</v>
      </c>
      <c r="I65" s="17" t="n"/>
      <c r="J65" s="18">
        <f>IF(I65="","",I65-H65)</f>
        <v/>
      </c>
      <c r="K65" s="19" t="n">
        <v>1.5</v>
      </c>
      <c r="L65" s="20">
        <f>K65*'Расходы на доставку'!$B$18</f>
        <v/>
      </c>
      <c r="M65" s="21" t="n">
        <v>9000</v>
      </c>
      <c r="N65" s="20">
        <f>IF(M65="","",M65+L65)</f>
        <v/>
      </c>
      <c r="O65" s="22">
        <f>IFERROR(L65/N65,"")</f>
        <v/>
      </c>
      <c r="P65" s="21" t="n"/>
      <c r="Q65" s="22">
        <f>IFERROR(P65/N65-1,"")</f>
        <v/>
      </c>
      <c r="R65" s="17" t="n"/>
      <c r="S65" s="23" t="n"/>
    </row>
    <row r="66">
      <c r="A66" s="15" t="n">
        <v>62</v>
      </c>
      <c r="B66" s="15" t="inlineStr">
        <is>
          <t>Контейнер 1</t>
        </is>
      </c>
      <c r="C66" s="15" t="inlineStr">
        <is>
          <t>клапан штуцерный</t>
        </is>
      </c>
      <c r="D66" s="15" t="inlineStr">
        <is>
          <t>Ду15</t>
        </is>
      </c>
      <c r="E66" s="16" t="inlineStr">
        <is>
          <t>Клапан штуцерный угловой Ду15Ру40</t>
        </is>
      </c>
      <c r="F66" s="15" t="inlineStr"/>
      <c r="G66" s="17" t="n"/>
      <c r="H66" s="15" t="n">
        <v>2</v>
      </c>
      <c r="I66" s="17" t="n"/>
      <c r="J66" s="18">
        <f>IF(I66="","",I66-H66)</f>
        <v/>
      </c>
      <c r="K66" s="19" t="n">
        <v>1</v>
      </c>
      <c r="L66" s="20">
        <f>K66*'Расходы на доставку'!$B$18</f>
        <v/>
      </c>
      <c r="M66" s="21" t="n">
        <v>6000</v>
      </c>
      <c r="N66" s="20">
        <f>IF(M66="","",M66+L66)</f>
        <v/>
      </c>
      <c r="O66" s="22">
        <f>IFERROR(L66/N66,"")</f>
        <v/>
      </c>
      <c r="P66" s="21" t="n"/>
      <c r="Q66" s="22">
        <f>IFERROR(P66/N66-1,"")</f>
        <v/>
      </c>
      <c r="R66" s="17" t="n"/>
      <c r="S66" s="23" t="n"/>
    </row>
    <row r="67">
      <c r="A67" s="15" t="n">
        <v>63</v>
      </c>
      <c r="B67" s="15" t="inlineStr">
        <is>
          <t>Контейнер 1</t>
        </is>
      </c>
      <c r="C67" s="15" t="inlineStr">
        <is>
          <t>клапан штуцерный</t>
        </is>
      </c>
      <c r="D67" s="15" t="inlineStr">
        <is>
          <t>Ду15</t>
        </is>
      </c>
      <c r="E67" s="16" t="inlineStr">
        <is>
          <t>Клапан штуцерный угловой Ду15Ру100</t>
        </is>
      </c>
      <c r="F67" s="15" t="inlineStr"/>
      <c r="G67" s="17" t="n"/>
      <c r="H67" s="15" t="n">
        <v>3</v>
      </c>
      <c r="I67" s="17" t="n"/>
      <c r="J67" s="18">
        <f>IF(I67="","",I67-H67)</f>
        <v/>
      </c>
      <c r="K67" s="19" t="n">
        <v>1</v>
      </c>
      <c r="L67" s="20">
        <f>K67*'Расходы на доставку'!$B$18</f>
        <v/>
      </c>
      <c r="M67" s="21" t="n">
        <v>6000</v>
      </c>
      <c r="N67" s="20">
        <f>IF(M67="","",M67+L67)</f>
        <v/>
      </c>
      <c r="O67" s="22">
        <f>IFERROR(L67/N67,"")</f>
        <v/>
      </c>
      <c r="P67" s="21" t="n"/>
      <c r="Q67" s="22">
        <f>IFERROR(P67/N67-1,"")</f>
        <v/>
      </c>
      <c r="R67" s="17" t="n"/>
      <c r="S67" s="23" t="n"/>
    </row>
    <row r="68">
      <c r="A68" s="15" t="n">
        <v>64</v>
      </c>
      <c r="B68" s="15" t="inlineStr">
        <is>
          <t>Контейнер 1</t>
        </is>
      </c>
      <c r="C68" s="15" t="inlineStr">
        <is>
          <t>клапан штуцерный</t>
        </is>
      </c>
      <c r="D68" s="15" t="inlineStr">
        <is>
          <t>Ду15</t>
        </is>
      </c>
      <c r="E68" s="16" t="inlineStr">
        <is>
          <t>Клапан штуцерный угловой Ду15Ру100</t>
        </is>
      </c>
      <c r="F68" s="15" t="inlineStr"/>
      <c r="G68" s="17" t="n"/>
      <c r="H68" s="15" t="n">
        <v>6</v>
      </c>
      <c r="I68" s="17" t="n"/>
      <c r="J68" s="18">
        <f>IF(I68="","",I68-H68)</f>
        <v/>
      </c>
      <c r="K68" s="19" t="n">
        <v>1</v>
      </c>
      <c r="L68" s="20">
        <f>K68*'Расходы на доставку'!$B$18</f>
        <v/>
      </c>
      <c r="M68" s="21" t="n">
        <v>6000</v>
      </c>
      <c r="N68" s="20">
        <f>IF(M68="","",M68+L68)</f>
        <v/>
      </c>
      <c r="O68" s="22">
        <f>IFERROR(L68/N68,"")</f>
        <v/>
      </c>
      <c r="P68" s="21" t="n"/>
      <c r="Q68" s="22">
        <f>IFERROR(P68/N68-1,"")</f>
        <v/>
      </c>
      <c r="R68" s="17" t="n"/>
      <c r="S68" s="23" t="n"/>
    </row>
    <row r="69">
      <c r="A69" s="15" t="n">
        <v>65</v>
      </c>
      <c r="B69" s="15" t="inlineStr">
        <is>
          <t>Контейнер 1</t>
        </is>
      </c>
      <c r="C69" s="15" t="inlineStr">
        <is>
          <t>клапан штуцерный</t>
        </is>
      </c>
      <c r="D69" s="15" t="inlineStr">
        <is>
          <t>Ду15</t>
        </is>
      </c>
      <c r="E69" s="16" t="inlineStr">
        <is>
          <t>Клапан штуцерный угловой Ду15Ру100</t>
        </is>
      </c>
      <c r="F69" s="15" t="inlineStr"/>
      <c r="G69" s="17" t="n"/>
      <c r="H69" s="15" t="n">
        <v>7</v>
      </c>
      <c r="I69" s="17" t="n"/>
      <c r="J69" s="18">
        <f>IF(I69="","",I69-H69)</f>
        <v/>
      </c>
      <c r="K69" s="19" t="n">
        <v>1</v>
      </c>
      <c r="L69" s="20">
        <f>K69*'Расходы на доставку'!$B$18</f>
        <v/>
      </c>
      <c r="M69" s="21" t="n">
        <v>6000</v>
      </c>
      <c r="N69" s="20">
        <f>IF(M69="","",M69+L69)</f>
        <v/>
      </c>
      <c r="O69" s="22">
        <f>IFERROR(L69/N69,"")</f>
        <v/>
      </c>
      <c r="P69" s="21" t="n"/>
      <c r="Q69" s="22">
        <f>IFERROR(P69/N69-1,"")</f>
        <v/>
      </c>
      <c r="R69" s="17" t="n"/>
      <c r="S69" s="23" t="n"/>
    </row>
    <row r="70">
      <c r="A70" s="15" t="n">
        <v>66</v>
      </c>
      <c r="B70" s="15" t="inlineStr">
        <is>
          <t>Контейнер 1</t>
        </is>
      </c>
      <c r="C70" s="15" t="inlineStr">
        <is>
          <t>клапан штуцерный</t>
        </is>
      </c>
      <c r="D70" s="15" t="inlineStr">
        <is>
          <t>Ду15</t>
        </is>
      </c>
      <c r="E70" s="16" t="inlineStr">
        <is>
          <t>Клапан штуцерный угловой Ду15 Ру100</t>
        </is>
      </c>
      <c r="F70" s="15" t="inlineStr"/>
      <c r="G70" s="17" t="n"/>
      <c r="H70" s="15" t="n">
        <v>15</v>
      </c>
      <c r="I70" s="17" t="n"/>
      <c r="J70" s="18">
        <f>IF(I70="","",I70-H70)</f>
        <v/>
      </c>
      <c r="K70" s="19" t="n">
        <v>1</v>
      </c>
      <c r="L70" s="20">
        <f>K70*'Расходы на доставку'!$B$18</f>
        <v/>
      </c>
      <c r="M70" s="21" t="n">
        <v>6000</v>
      </c>
      <c r="N70" s="20">
        <f>IF(M70="","",M70+L70)</f>
        <v/>
      </c>
      <c r="O70" s="22">
        <f>IFERROR(L70/N70,"")</f>
        <v/>
      </c>
      <c r="P70" s="21" t="n"/>
      <c r="Q70" s="22">
        <f>IFERROR(P70/N70-1,"")</f>
        <v/>
      </c>
      <c r="R70" s="17" t="n"/>
      <c r="S70" s="23" t="n"/>
    </row>
    <row r="71">
      <c r="A71" s="15" t="n">
        <v>67</v>
      </c>
      <c r="B71" s="15" t="inlineStr">
        <is>
          <t>Контейнер 1</t>
        </is>
      </c>
      <c r="C71" s="15" t="inlineStr">
        <is>
          <t>клапан штуцерный</t>
        </is>
      </c>
      <c r="D71" s="15" t="inlineStr">
        <is>
          <t>Ду15</t>
        </is>
      </c>
      <c r="E71" s="16" t="inlineStr">
        <is>
          <t>Клапан штуцерный угловой Ду15 Ру100</t>
        </is>
      </c>
      <c r="F71" s="15" t="inlineStr"/>
      <c r="G71" s="17" t="n"/>
      <c r="H71" s="15" t="n">
        <v>2</v>
      </c>
      <c r="I71" s="17" t="n"/>
      <c r="J71" s="18">
        <f>IF(I71="","",I71-H71)</f>
        <v/>
      </c>
      <c r="K71" s="19" t="n">
        <v>1</v>
      </c>
      <c r="L71" s="20">
        <f>K71*'Расходы на доставку'!$B$18</f>
        <v/>
      </c>
      <c r="M71" s="21" t="n">
        <v>6000</v>
      </c>
      <c r="N71" s="20">
        <f>IF(M71="","",M71+L71)</f>
        <v/>
      </c>
      <c r="O71" s="22">
        <f>IFERROR(L71/N71,"")</f>
        <v/>
      </c>
      <c r="P71" s="21" t="n"/>
      <c r="Q71" s="22">
        <f>IFERROR(P71/N71-1,"")</f>
        <v/>
      </c>
      <c r="R71" s="17" t="n"/>
      <c r="S71" s="23" t="n"/>
    </row>
    <row r="72">
      <c r="A72" s="15" t="n">
        <v>68</v>
      </c>
      <c r="B72" s="15" t="inlineStr">
        <is>
          <t>Контейнер 1</t>
        </is>
      </c>
      <c r="C72" s="15" t="inlineStr">
        <is>
          <t>клапан штуцерный</t>
        </is>
      </c>
      <c r="D72" s="15" t="inlineStr">
        <is>
          <t>Ду15</t>
        </is>
      </c>
      <c r="E72" s="16" t="inlineStr">
        <is>
          <t>Клапан штуцерный угловой Ду15 Ру100</t>
        </is>
      </c>
      <c r="F72" s="15" t="inlineStr"/>
      <c r="G72" s="17" t="n"/>
      <c r="H72" s="15" t="n">
        <v>1</v>
      </c>
      <c r="I72" s="17" t="n"/>
      <c r="J72" s="18">
        <f>IF(I72="","",I72-H72)</f>
        <v/>
      </c>
      <c r="K72" s="19" t="n">
        <v>1</v>
      </c>
      <c r="L72" s="20">
        <f>K72*'Расходы на доставку'!$B$18</f>
        <v/>
      </c>
      <c r="M72" s="21" t="n">
        <v>6000</v>
      </c>
      <c r="N72" s="20">
        <f>IF(M72="","",M72+L72)</f>
        <v/>
      </c>
      <c r="O72" s="22">
        <f>IFERROR(L72/N72,"")</f>
        <v/>
      </c>
      <c r="P72" s="21" t="n"/>
      <c r="Q72" s="22">
        <f>IFERROR(P72/N72-1,"")</f>
        <v/>
      </c>
      <c r="R72" s="17" t="n"/>
      <c r="S72" s="23" t="n"/>
    </row>
    <row r="73">
      <c r="A73" s="15" t="n">
        <v>69</v>
      </c>
      <c r="B73" s="15" t="inlineStr">
        <is>
          <t>Контейнер 1</t>
        </is>
      </c>
      <c r="C73" s="15" t="inlineStr">
        <is>
          <t>клапан штуцерный</t>
        </is>
      </c>
      <c r="D73" s="15" t="inlineStr">
        <is>
          <t>Ду15</t>
        </is>
      </c>
      <c r="E73" s="16" t="inlineStr">
        <is>
          <t>Клапан штуцерный угловой Ду15 Ру100</t>
        </is>
      </c>
      <c r="F73" s="15" t="inlineStr"/>
      <c r="G73" s="17" t="n"/>
      <c r="H73" s="15" t="n">
        <v>3</v>
      </c>
      <c r="I73" s="17" t="n"/>
      <c r="J73" s="18">
        <f>IF(I73="","",I73-H73)</f>
        <v/>
      </c>
      <c r="K73" s="19" t="n">
        <v>1</v>
      </c>
      <c r="L73" s="20">
        <f>K73*'Расходы на доставку'!$B$18</f>
        <v/>
      </c>
      <c r="M73" s="21" t="n">
        <v>6000</v>
      </c>
      <c r="N73" s="20">
        <f>IF(M73="","",M73+L73)</f>
        <v/>
      </c>
      <c r="O73" s="22">
        <f>IFERROR(L73/N73,"")</f>
        <v/>
      </c>
      <c r="P73" s="21" t="n"/>
      <c r="Q73" s="22">
        <f>IFERROR(P73/N73-1,"")</f>
        <v/>
      </c>
      <c r="R73" s="17" t="n"/>
      <c r="S73" s="23" t="n"/>
    </row>
    <row r="74">
      <c r="A74" s="15" t="n">
        <v>70</v>
      </c>
      <c r="B74" s="15" t="inlineStr">
        <is>
          <t>Контейнер 1</t>
        </is>
      </c>
      <c r="C74" s="15" t="inlineStr">
        <is>
          <t>клапан штуцерный</t>
        </is>
      </c>
      <c r="D74" s="15" t="inlineStr">
        <is>
          <t>Ду15</t>
        </is>
      </c>
      <c r="E74" s="16" t="inlineStr">
        <is>
          <t>Клапан штуцерный угловой Ду15 Ру100</t>
        </is>
      </c>
      <c r="F74" s="15" t="inlineStr"/>
      <c r="G74" s="17" t="n"/>
      <c r="H74" s="15" t="n">
        <v>3</v>
      </c>
      <c r="I74" s="17" t="n"/>
      <c r="J74" s="18">
        <f>IF(I74="","",I74-H74)</f>
        <v/>
      </c>
      <c r="K74" s="19" t="n">
        <v>1</v>
      </c>
      <c r="L74" s="20">
        <f>K74*'Расходы на доставку'!$B$18</f>
        <v/>
      </c>
      <c r="M74" s="21" t="n">
        <v>6000</v>
      </c>
      <c r="N74" s="20">
        <f>IF(M74="","",M74+L74)</f>
        <v/>
      </c>
      <c r="O74" s="22">
        <f>IFERROR(L74/N74,"")</f>
        <v/>
      </c>
      <c r="P74" s="21" t="n"/>
      <c r="Q74" s="22">
        <f>IFERROR(P74/N74-1,"")</f>
        <v/>
      </c>
      <c r="R74" s="17" t="n"/>
      <c r="S74" s="23" t="n"/>
    </row>
    <row r="75">
      <c r="A75" s="15" t="n">
        <v>71</v>
      </c>
      <c r="B75" s="15" t="inlineStr">
        <is>
          <t>Контейнер 1</t>
        </is>
      </c>
      <c r="C75" s="15" t="inlineStr">
        <is>
          <t>клапан штуцерный</t>
        </is>
      </c>
      <c r="D75" s="15" t="inlineStr">
        <is>
          <t>Ду15</t>
        </is>
      </c>
      <c r="E75" s="16" t="inlineStr">
        <is>
          <t>Клапан штуцерный угловой Ду15 Ру100</t>
        </is>
      </c>
      <c r="F75" s="15" t="inlineStr"/>
      <c r="G75" s="17" t="n"/>
      <c r="H75" s="15" t="n">
        <v>1</v>
      </c>
      <c r="I75" s="17" t="n"/>
      <c r="J75" s="18">
        <f>IF(I75="","",I75-H75)</f>
        <v/>
      </c>
      <c r="K75" s="19" t="n">
        <v>1</v>
      </c>
      <c r="L75" s="20">
        <f>K75*'Расходы на доставку'!$B$18</f>
        <v/>
      </c>
      <c r="M75" s="21" t="n">
        <v>6000</v>
      </c>
      <c r="N75" s="20">
        <f>IF(M75="","",M75+L75)</f>
        <v/>
      </c>
      <c r="O75" s="22">
        <f>IFERROR(L75/N75,"")</f>
        <v/>
      </c>
      <c r="P75" s="21" t="n"/>
      <c r="Q75" s="22">
        <f>IFERROR(P75/N75-1,"")</f>
        <v/>
      </c>
      <c r="R75" s="17" t="n"/>
      <c r="S75" s="23" t="n"/>
    </row>
    <row r="76">
      <c r="A76" s="15" t="n">
        <v>72</v>
      </c>
      <c r="B76" s="15" t="inlineStr">
        <is>
          <t>Контейнер 1</t>
        </is>
      </c>
      <c r="C76" s="15" t="inlineStr">
        <is>
          <t>клапан штуцерный</t>
        </is>
      </c>
      <c r="D76" s="15" t="inlineStr">
        <is>
          <t>Ду15</t>
        </is>
      </c>
      <c r="E76" s="16" t="inlineStr">
        <is>
          <t>Клапан штуцерный угловой Ду15 Ру160</t>
        </is>
      </c>
      <c r="F76" s="15" t="inlineStr"/>
      <c r="G76" s="17" t="n"/>
      <c r="H76" s="15" t="n">
        <v>4</v>
      </c>
      <c r="I76" s="17" t="n"/>
      <c r="J76" s="18">
        <f>IF(I76="","",I76-H76)</f>
        <v/>
      </c>
      <c r="K76" s="19" t="n">
        <v>1</v>
      </c>
      <c r="L76" s="20">
        <f>K76*'Расходы на доставку'!$B$18</f>
        <v/>
      </c>
      <c r="M76" s="21" t="n">
        <v>6000</v>
      </c>
      <c r="N76" s="20">
        <f>IF(M76="","",M76+L76)</f>
        <v/>
      </c>
      <c r="O76" s="22">
        <f>IFERROR(L76/N76,"")</f>
        <v/>
      </c>
      <c r="P76" s="21" t="n"/>
      <c r="Q76" s="22">
        <f>IFERROR(P76/N76-1,"")</f>
        <v/>
      </c>
      <c r="R76" s="17" t="n"/>
      <c r="S76" s="23" t="n"/>
    </row>
    <row r="77">
      <c r="A77" s="15" t="n">
        <v>73</v>
      </c>
      <c r="B77" s="15" t="inlineStr">
        <is>
          <t>Контейнер 1</t>
        </is>
      </c>
      <c r="C77" s="15" t="inlineStr">
        <is>
          <t>клапан штуцерный</t>
        </is>
      </c>
      <c r="D77" s="15" t="inlineStr">
        <is>
          <t>Ду10</t>
        </is>
      </c>
      <c r="E77" s="16" t="inlineStr">
        <is>
          <t>Клапан штуцерный проходной Ду 10</t>
        </is>
      </c>
      <c r="F77" s="15" t="inlineStr"/>
      <c r="G77" s="17" t="n"/>
      <c r="H77" s="15" t="n">
        <v>83</v>
      </c>
      <c r="I77" s="17" t="n"/>
      <c r="J77" s="18">
        <f>IF(I77="","",I77-H77)</f>
        <v/>
      </c>
      <c r="K77" s="19" t="n">
        <v>0.6</v>
      </c>
      <c r="L77" s="20">
        <f>K77*'Расходы на доставку'!$B$18</f>
        <v/>
      </c>
      <c r="M77" s="21" t="n">
        <v>3500</v>
      </c>
      <c r="N77" s="20">
        <f>IF(M77="","",M77+L77)</f>
        <v/>
      </c>
      <c r="O77" s="22">
        <f>IFERROR(L77/N77,"")</f>
        <v/>
      </c>
      <c r="P77" s="21" t="n"/>
      <c r="Q77" s="22">
        <f>IFERROR(P77/N77-1,"")</f>
        <v/>
      </c>
      <c r="R77" s="17" t="n"/>
      <c r="S77" s="23" t="n"/>
    </row>
    <row r="78">
      <c r="A78" s="15" t="n">
        <v>74</v>
      </c>
      <c r="B78" s="15" t="inlineStr">
        <is>
          <t>Контейнер 1</t>
        </is>
      </c>
      <c r="C78" s="15" t="inlineStr">
        <is>
          <t>клапан штуцерный</t>
        </is>
      </c>
      <c r="D78" s="15" t="inlineStr">
        <is>
          <t>Ду10</t>
        </is>
      </c>
      <c r="E78" s="16" t="inlineStr">
        <is>
          <t>Клапан штуцерный проходной Ду 10 Ру40</t>
        </is>
      </c>
      <c r="F78" s="15" t="inlineStr"/>
      <c r="G78" s="17" t="n"/>
      <c r="H78" s="15" t="n">
        <v>18</v>
      </c>
      <c r="I78" s="17" t="n"/>
      <c r="J78" s="18">
        <f>IF(I78="","",I78-H78)</f>
        <v/>
      </c>
      <c r="K78" s="19" t="n">
        <v>0.6</v>
      </c>
      <c r="L78" s="20">
        <f>K78*'Расходы на доставку'!$B$18</f>
        <v/>
      </c>
      <c r="M78" s="21" t="n">
        <v>3000</v>
      </c>
      <c r="N78" s="20">
        <f>IF(M78="","",M78+L78)</f>
        <v/>
      </c>
      <c r="O78" s="22">
        <f>IFERROR(L78/N78,"")</f>
        <v/>
      </c>
      <c r="P78" s="21" t="n"/>
      <c r="Q78" s="22">
        <f>IFERROR(P78/N78-1,"")</f>
        <v/>
      </c>
      <c r="R78" s="17" t="n"/>
      <c r="S78" s="23" t="n"/>
    </row>
    <row r="79">
      <c r="A79" s="15" t="n">
        <v>75</v>
      </c>
      <c r="B79" s="15" t="inlineStr">
        <is>
          <t>Контейнер 1</t>
        </is>
      </c>
      <c r="C79" s="15" t="inlineStr">
        <is>
          <t>клапан штуцерный</t>
        </is>
      </c>
      <c r="D79" s="15" t="inlineStr">
        <is>
          <t>Ду25</t>
        </is>
      </c>
      <c r="E79" s="16" t="inlineStr">
        <is>
          <t>Клапан педальный Ду25</t>
        </is>
      </c>
      <c r="F79" s="15" t="inlineStr"/>
      <c r="G79" s="17" t="n"/>
      <c r="H79" s="15" t="n">
        <v>1</v>
      </c>
      <c r="I79" s="17" t="n"/>
      <c r="J79" s="18">
        <f>IF(I79="","",I79-H79)</f>
        <v/>
      </c>
      <c r="K79" s="19" t="n">
        <v>2.5</v>
      </c>
      <c r="L79" s="20">
        <f>K79*'Расходы на доставку'!$B$18</f>
        <v/>
      </c>
      <c r="M79" s="21" t="n">
        <v>12500</v>
      </c>
      <c r="N79" s="20">
        <f>IF(M79="","",M79+L79)</f>
        <v/>
      </c>
      <c r="O79" s="22">
        <f>IFERROR(L79/N79,"")</f>
        <v/>
      </c>
      <c r="P79" s="21" t="n"/>
      <c r="Q79" s="22">
        <f>IFERROR(P79/N79-1,"")</f>
        <v/>
      </c>
      <c r="R79" s="17" t="n"/>
      <c r="S79" s="23" t="n"/>
    </row>
    <row r="80">
      <c r="A80" s="15" t="n">
        <v>76</v>
      </c>
      <c r="B80" s="15" t="inlineStr">
        <is>
          <t>Контейнер 1</t>
        </is>
      </c>
      <c r="C80" s="15" t="inlineStr">
        <is>
          <t>клапан штуцерный</t>
        </is>
      </c>
      <c r="D80" s="15" t="inlineStr">
        <is>
          <t>Ду25</t>
        </is>
      </c>
      <c r="E80" s="16" t="inlineStr">
        <is>
          <t>Клапан педальный Ду25 Китай</t>
        </is>
      </c>
      <c r="F80" s="15" t="inlineStr"/>
      <c r="G80" s="17" t="n"/>
      <c r="H80" s="15" t="n">
        <v>62</v>
      </c>
      <c r="I80" s="17" t="n"/>
      <c r="J80" s="18">
        <f>IF(I80="","",I80-H80)</f>
        <v/>
      </c>
      <c r="K80" s="19" t="n">
        <v>2.5</v>
      </c>
      <c r="L80" s="20">
        <f>K80*'Расходы на доставку'!$B$18</f>
        <v/>
      </c>
      <c r="M80" s="21" t="n">
        <v>12500</v>
      </c>
      <c r="N80" s="20">
        <f>IF(M80="","",M80+L80)</f>
        <v/>
      </c>
      <c r="O80" s="22">
        <f>IFERROR(L80/N80,"")</f>
        <v/>
      </c>
      <c r="P80" s="21" t="n"/>
      <c r="Q80" s="22">
        <f>IFERROR(P80/N80-1,"")</f>
        <v/>
      </c>
      <c r="R80" s="17" t="n"/>
      <c r="S80" s="23" t="n"/>
    </row>
    <row r="81">
      <c r="A81" s="15" t="n">
        <v>77</v>
      </c>
      <c r="B81" s="15" t="inlineStr">
        <is>
          <t>Контейнер 1</t>
        </is>
      </c>
      <c r="C81" s="15" t="inlineStr">
        <is>
          <t>клапан штуцерный</t>
        </is>
      </c>
      <c r="D81" s="15" t="inlineStr">
        <is>
          <t>Ду20</t>
        </is>
      </c>
      <c r="E81" s="16" t="inlineStr">
        <is>
          <t>Клапан штуцерный проходной Ду 20</t>
        </is>
      </c>
      <c r="F81" s="15" t="inlineStr"/>
      <c r="G81" s="17" t="n"/>
      <c r="H81" s="15" t="n">
        <v>100</v>
      </c>
      <c r="I81" s="17" t="n"/>
      <c r="J81" s="18">
        <f>IF(I81="","",I81-H81)</f>
        <v/>
      </c>
      <c r="K81" s="19" t="n">
        <v>1.5</v>
      </c>
      <c r="L81" s="20">
        <f>K81*'Расходы на доставку'!$B$18</f>
        <v/>
      </c>
      <c r="M81" s="21" t="n">
        <v>7500</v>
      </c>
      <c r="N81" s="20">
        <f>IF(M81="","",M81+L81)</f>
        <v/>
      </c>
      <c r="O81" s="22">
        <f>IFERROR(L81/N81,"")</f>
        <v/>
      </c>
      <c r="P81" s="21" t="n"/>
      <c r="Q81" s="22">
        <f>IFERROR(P81/N81-1,"")</f>
        <v/>
      </c>
      <c r="R81" s="17" t="n"/>
      <c r="S81" s="23" t="n"/>
    </row>
    <row r="82">
      <c r="A82" s="15" t="n">
        <v>78</v>
      </c>
      <c r="B82" s="15" t="inlineStr">
        <is>
          <t>Контейнер 1</t>
        </is>
      </c>
      <c r="C82" s="15" t="inlineStr">
        <is>
          <t>клапан штуцерный</t>
        </is>
      </c>
      <c r="D82" s="15" t="inlineStr">
        <is>
          <t>Ду6</t>
        </is>
      </c>
      <c r="E82" s="16" t="inlineStr">
        <is>
          <t>Клапан штуцерный угловой Ду6Ру100</t>
        </is>
      </c>
      <c r="F82" s="15" t="inlineStr"/>
      <c r="G82" s="17" t="n"/>
      <c r="H82" s="15" t="n">
        <v>3</v>
      </c>
      <c r="I82" s="17" t="n"/>
      <c r="J82" s="18">
        <f>IF(I82="","",I82-H82)</f>
        <v/>
      </c>
      <c r="K82" s="19" t="n">
        <v>0.4</v>
      </c>
      <c r="L82" s="20">
        <f>K82*'Расходы на доставку'!$B$18</f>
        <v/>
      </c>
      <c r="M82" s="21" t="n">
        <v>2000</v>
      </c>
      <c r="N82" s="20">
        <f>IF(M82="","",M82+L82)</f>
        <v/>
      </c>
      <c r="O82" s="22">
        <f>IFERROR(L82/N82,"")</f>
        <v/>
      </c>
      <c r="P82" s="21" t="n"/>
      <c r="Q82" s="22">
        <f>IFERROR(P82/N82-1,"")</f>
        <v/>
      </c>
      <c r="R82" s="17" t="n"/>
      <c r="S82" s="23" t="n"/>
    </row>
    <row r="83">
      <c r="A83" s="15" t="n">
        <v>79</v>
      </c>
      <c r="B83" s="15" t="inlineStr">
        <is>
          <t>Контейнер 1</t>
        </is>
      </c>
      <c r="C83" s="15" t="inlineStr">
        <is>
          <t>клапан штуцерный</t>
        </is>
      </c>
      <c r="D83" s="15" t="inlineStr">
        <is>
          <t>Ду20</t>
        </is>
      </c>
      <c r="E83" s="16" t="inlineStr">
        <is>
          <t>Клапан штуцерный проходной Ду 20</t>
        </is>
      </c>
      <c r="F83" s="15" t="inlineStr"/>
      <c r="G83" s="17" t="n"/>
      <c r="H83" s="15" t="n">
        <v>4</v>
      </c>
      <c r="I83" s="17" t="n"/>
      <c r="J83" s="18">
        <f>IF(I83="","",I83-H83)</f>
        <v/>
      </c>
      <c r="K83" s="19" t="n">
        <v>1.5</v>
      </c>
      <c r="L83" s="20">
        <f>K83*'Расходы на доставку'!$B$18</f>
        <v/>
      </c>
      <c r="M83" s="21" t="n">
        <v>6500</v>
      </c>
      <c r="N83" s="20">
        <f>IF(M83="","",M83+L83)</f>
        <v/>
      </c>
      <c r="O83" s="22">
        <f>IFERROR(L83/N83,"")</f>
        <v/>
      </c>
      <c r="P83" s="21" t="n"/>
      <c r="Q83" s="22">
        <f>IFERROR(P83/N83-1,"")</f>
        <v/>
      </c>
      <c r="R83" s="17" t="n"/>
      <c r="S83" s="23" t="n"/>
    </row>
    <row r="84">
      <c r="A84" s="15" t="n">
        <v>80</v>
      </c>
      <c r="B84" s="15" t="inlineStr">
        <is>
          <t>Контейнер 1</t>
        </is>
      </c>
      <c r="C84" s="15" t="inlineStr">
        <is>
          <t>клапан штуцерный</t>
        </is>
      </c>
      <c r="D84" s="15" t="inlineStr">
        <is>
          <t>Ду10</t>
        </is>
      </c>
      <c r="E84" s="16" t="inlineStr">
        <is>
          <t>Клапан штуцерный проходной Ду 10 Ру100</t>
        </is>
      </c>
      <c r="F84" s="15" t="inlineStr"/>
      <c r="G84" s="17" t="n"/>
      <c r="H84" s="15" t="n">
        <v>2</v>
      </c>
      <c r="I84" s="17" t="n"/>
      <c r="J84" s="18">
        <f>IF(I84="","",I84-H84)</f>
        <v/>
      </c>
      <c r="K84" s="19" t="n">
        <v>0.6</v>
      </c>
      <c r="L84" s="20">
        <f>K84*'Расходы на доставку'!$B$18</f>
        <v/>
      </c>
      <c r="M84" s="21" t="n">
        <v>2500</v>
      </c>
      <c r="N84" s="20">
        <f>IF(M84="","",M84+L84)</f>
        <v/>
      </c>
      <c r="O84" s="22">
        <f>IFERROR(L84/N84,"")</f>
        <v/>
      </c>
      <c r="P84" s="21" t="n"/>
      <c r="Q84" s="22">
        <f>IFERROR(P84/N84-1,"")</f>
        <v/>
      </c>
      <c r="R84" s="17" t="n"/>
      <c r="S84" s="23" t="n"/>
    </row>
    <row r="85">
      <c r="A85" s="15" t="n">
        <v>81</v>
      </c>
      <c r="B85" s="15" t="inlineStr">
        <is>
          <t>Контейнер 1</t>
        </is>
      </c>
      <c r="C85" s="15" t="inlineStr">
        <is>
          <t>кран</t>
        </is>
      </c>
      <c r="D85" s="15" t="inlineStr">
        <is>
          <t>Ду32</t>
        </is>
      </c>
      <c r="E85" s="16" t="inlineStr">
        <is>
          <t>Кран трехходовой штуцерный Ду32 Ру10</t>
        </is>
      </c>
      <c r="F85" s="15" t="inlineStr"/>
      <c r="G85" s="17" t="n"/>
      <c r="H85" s="15" t="n">
        <v>2</v>
      </c>
      <c r="I85" s="17" t="n"/>
      <c r="J85" s="18">
        <f>IF(I85="","",I85-H85)</f>
        <v/>
      </c>
      <c r="K85" s="19" t="n">
        <v>3.5</v>
      </c>
      <c r="L85" s="20">
        <f>K85*'Расходы на доставку'!$B$18</f>
        <v/>
      </c>
      <c r="M85" s="21" t="n">
        <v>14400</v>
      </c>
      <c r="N85" s="20">
        <f>IF(M85="","",M85+L85)</f>
        <v/>
      </c>
      <c r="O85" s="22">
        <f>IFERROR(L85/N85,"")</f>
        <v/>
      </c>
      <c r="P85" s="21" t="n"/>
      <c r="Q85" s="22">
        <f>IFERROR(P85/N85-1,"")</f>
        <v/>
      </c>
      <c r="R85" s="17" t="n"/>
      <c r="S85" s="23" t="n"/>
    </row>
    <row r="86">
      <c r="A86" s="15" t="n">
        <v>82</v>
      </c>
      <c r="B86" s="15" t="inlineStr">
        <is>
          <t>Контейнер 1</t>
        </is>
      </c>
      <c r="C86" s="15" t="inlineStr">
        <is>
          <t>фильтр забортной воды</t>
        </is>
      </c>
      <c r="D86" s="15" t="inlineStr">
        <is>
          <t>Ду50</t>
        </is>
      </c>
      <c r="E86" s="16" t="inlineStr">
        <is>
          <t>Фильтр забортной воды Ду 50</t>
        </is>
      </c>
      <c r="F86" s="15" t="inlineStr"/>
      <c r="G86" s="17" t="n"/>
      <c r="H86" s="15" t="n">
        <v>1</v>
      </c>
      <c r="I86" s="17" t="n"/>
      <c r="J86" s="18">
        <f>IF(I86="","",I86-H86)</f>
        <v/>
      </c>
      <c r="K86" s="19" t="n">
        <v>15</v>
      </c>
      <c r="L86" s="20">
        <f>K86*'Расходы на доставку'!$B$18</f>
        <v/>
      </c>
      <c r="M86" s="21" t="n">
        <v>60000</v>
      </c>
      <c r="N86" s="20">
        <f>IF(M86="","",M86+L86)</f>
        <v/>
      </c>
      <c r="O86" s="22">
        <f>IFERROR(L86/N86,"")</f>
        <v/>
      </c>
      <c r="P86" s="21" t="n"/>
      <c r="Q86" s="22">
        <f>IFERROR(P86/N86-1,"")</f>
        <v/>
      </c>
      <c r="R86" s="17" t="n"/>
      <c r="S86" s="23" t="n"/>
    </row>
    <row r="87">
      <c r="A87" s="15" t="n">
        <v>83</v>
      </c>
      <c r="B87" s="15" t="inlineStr">
        <is>
          <t>Контейнер 1</t>
        </is>
      </c>
      <c r="C87" s="15" t="inlineStr">
        <is>
          <t>клапан штуцерный</t>
        </is>
      </c>
      <c r="D87" s="15" t="inlineStr">
        <is>
          <t>Ду20</t>
        </is>
      </c>
      <c r="E87" s="16" t="inlineStr">
        <is>
          <t>Клапан невозвратный штуцерный проходной Ду20Ру160</t>
        </is>
      </c>
      <c r="F87" s="15" t="inlineStr"/>
      <c r="G87" s="17" t="n"/>
      <c r="H87" s="15" t="n">
        <v>1</v>
      </c>
      <c r="I87" s="17" t="n"/>
      <c r="J87" s="18">
        <f>IF(I87="","",I87-H87)</f>
        <v/>
      </c>
      <c r="K87" s="19" t="n">
        <v>1.5</v>
      </c>
      <c r="L87" s="20">
        <f>K87*'Расходы на доставку'!$B$18</f>
        <v/>
      </c>
      <c r="M87" s="21" t="n">
        <v>6000</v>
      </c>
      <c r="N87" s="20">
        <f>IF(M87="","",M87+L87)</f>
        <v/>
      </c>
      <c r="O87" s="22">
        <f>IFERROR(L87/N87,"")</f>
        <v/>
      </c>
      <c r="P87" s="21" t="n"/>
      <c r="Q87" s="22">
        <f>IFERROR(P87/N87-1,"")</f>
        <v/>
      </c>
      <c r="R87" s="17" t="n"/>
      <c r="S87" s="23" t="n"/>
    </row>
    <row r="88">
      <c r="A88" s="15" t="n">
        <v>84</v>
      </c>
      <c r="B88" s="15" t="inlineStr">
        <is>
          <t>Контейнер 1</t>
        </is>
      </c>
      <c r="C88" s="15" t="inlineStr">
        <is>
          <t>клапан штуцерный</t>
        </is>
      </c>
      <c r="D88" s="15" t="inlineStr">
        <is>
          <t>Ду20</t>
        </is>
      </c>
      <c r="E88" s="16" t="inlineStr">
        <is>
          <t>Клапан штуцерный проходной Ду 20</t>
        </is>
      </c>
      <c r="F88" s="15" t="inlineStr"/>
      <c r="G88" s="17" t="n"/>
      <c r="H88" s="15" t="n">
        <v>1</v>
      </c>
      <c r="I88" s="17" t="n"/>
      <c r="J88" s="18">
        <f>IF(I88="","",I88-H88)</f>
        <v/>
      </c>
      <c r="K88" s="19" t="n">
        <v>1.5</v>
      </c>
      <c r="L88" s="20">
        <f>K88*'Расходы на доставку'!$B$18</f>
        <v/>
      </c>
      <c r="M88" s="21" t="n">
        <v>6000</v>
      </c>
      <c r="N88" s="20">
        <f>IF(M88="","",M88+L88)</f>
        <v/>
      </c>
      <c r="O88" s="22">
        <f>IFERROR(L88/N88,"")</f>
        <v/>
      </c>
      <c r="P88" s="21" t="n"/>
      <c r="Q88" s="22">
        <f>IFERROR(P88/N88-1,"")</f>
        <v/>
      </c>
      <c r="R88" s="17" t="n"/>
      <c r="S88" s="23" t="n"/>
    </row>
    <row r="89">
      <c r="A89" s="15" t="n">
        <v>85</v>
      </c>
      <c r="B89" s="15" t="inlineStr">
        <is>
          <t>Контейнер 1</t>
        </is>
      </c>
      <c r="C89" s="15" t="inlineStr">
        <is>
          <t>клапан штуцерный</t>
        </is>
      </c>
      <c r="D89" s="15" t="inlineStr">
        <is>
          <t>Ду20</t>
        </is>
      </c>
      <c r="E89" s="16" t="inlineStr">
        <is>
          <t>Клапан штуцерный проходной Ду 20 Ру 40</t>
        </is>
      </c>
      <c r="F89" s="15" t="inlineStr"/>
      <c r="G89" s="17" t="n"/>
      <c r="H89" s="15" t="n">
        <v>2</v>
      </c>
      <c r="I89" s="17" t="n"/>
      <c r="J89" s="18">
        <f>IF(I89="","",I89-H89)</f>
        <v/>
      </c>
      <c r="K89" s="19" t="n">
        <v>1.5</v>
      </c>
      <c r="L89" s="20">
        <f>K89*'Расходы на доставку'!$B$18</f>
        <v/>
      </c>
      <c r="M89" s="21" t="n">
        <v>6000</v>
      </c>
      <c r="N89" s="20">
        <f>IF(M89="","",M89+L89)</f>
        <v/>
      </c>
      <c r="O89" s="22">
        <f>IFERROR(L89/N89,"")</f>
        <v/>
      </c>
      <c r="P89" s="21" t="n"/>
      <c r="Q89" s="22">
        <f>IFERROR(P89/N89-1,"")</f>
        <v/>
      </c>
      <c r="R89" s="17" t="n"/>
      <c r="S89" s="23" t="n"/>
    </row>
    <row r="90">
      <c r="A90" s="15" t="n">
        <v>86</v>
      </c>
      <c r="B90" s="15" t="inlineStr">
        <is>
          <t>Контейнер 1</t>
        </is>
      </c>
      <c r="C90" s="15" t="inlineStr">
        <is>
          <t>клапан штуцерный</t>
        </is>
      </c>
      <c r="D90" s="15" t="inlineStr">
        <is>
          <t>Ду20</t>
        </is>
      </c>
      <c r="E90" s="16" t="inlineStr">
        <is>
          <t>Клапан штуцерный проходной Ду 20 Ру 40</t>
        </is>
      </c>
      <c r="F90" s="15" t="inlineStr"/>
      <c r="G90" s="17" t="n"/>
      <c r="H90" s="15" t="n">
        <v>1</v>
      </c>
      <c r="I90" s="17" t="n"/>
      <c r="J90" s="18">
        <f>IF(I90="","",I90-H90)</f>
        <v/>
      </c>
      <c r="K90" s="19" t="n">
        <v>1.5</v>
      </c>
      <c r="L90" s="20">
        <f>K90*'Расходы на доставку'!$B$18</f>
        <v/>
      </c>
      <c r="M90" s="21" t="n">
        <v>6000</v>
      </c>
      <c r="N90" s="20">
        <f>IF(M90="","",M90+L90)</f>
        <v/>
      </c>
      <c r="O90" s="22">
        <f>IFERROR(L90/N90,"")</f>
        <v/>
      </c>
      <c r="P90" s="21" t="n"/>
      <c r="Q90" s="22">
        <f>IFERROR(P90/N90-1,"")</f>
        <v/>
      </c>
      <c r="R90" s="17" t="n"/>
      <c r="S90" s="23" t="n"/>
    </row>
    <row r="91">
      <c r="A91" s="15" t="n">
        <v>87</v>
      </c>
      <c r="B91" s="15" t="inlineStr">
        <is>
          <t>Контейнер 1</t>
        </is>
      </c>
      <c r="C91" s="15" t="inlineStr">
        <is>
          <t>клапан штуцерный</t>
        </is>
      </c>
      <c r="D91" s="15" t="inlineStr">
        <is>
          <t>Ду25</t>
        </is>
      </c>
      <c r="E91" s="16" t="inlineStr">
        <is>
          <t>Клапан штуцерный проходной Ду 25 (Китай)</t>
        </is>
      </c>
      <c r="F91" s="15" t="inlineStr"/>
      <c r="G91" s="17" t="n"/>
      <c r="H91" s="15" t="n">
        <v>79</v>
      </c>
      <c r="I91" s="17" t="n"/>
      <c r="J91" s="18">
        <f>IF(I91="","",I91-H91)</f>
        <v/>
      </c>
      <c r="K91" s="19" t="n">
        <v>2.5</v>
      </c>
      <c r="L91" s="20">
        <f>K91*'Расходы на доставку'!$B$18</f>
        <v/>
      </c>
      <c r="M91" s="21" t="n">
        <v>10000</v>
      </c>
      <c r="N91" s="20">
        <f>IF(M91="","",M91+L91)</f>
        <v/>
      </c>
      <c r="O91" s="22">
        <f>IFERROR(L91/N91,"")</f>
        <v/>
      </c>
      <c r="P91" s="21" t="n"/>
      <c r="Q91" s="22">
        <f>IFERROR(P91/N91-1,"")</f>
        <v/>
      </c>
      <c r="R91" s="17" t="n"/>
      <c r="S91" s="23" t="n"/>
    </row>
    <row r="92">
      <c r="A92" s="15" t="n">
        <v>88</v>
      </c>
      <c r="B92" s="15" t="inlineStr">
        <is>
          <t>Контейнер 1</t>
        </is>
      </c>
      <c r="C92" s="15" t="inlineStr">
        <is>
          <t>клапан штуцерный</t>
        </is>
      </c>
      <c r="D92" s="15" t="inlineStr">
        <is>
          <t>Ду20</t>
        </is>
      </c>
      <c r="E92" s="16" t="inlineStr">
        <is>
          <t>Клапан штуцерный проходной Ду 20 Ру10</t>
        </is>
      </c>
      <c r="F92" s="15" t="inlineStr"/>
      <c r="G92" s="17" t="n"/>
      <c r="H92" s="15" t="n">
        <v>5</v>
      </c>
      <c r="I92" s="17" t="n"/>
      <c r="J92" s="18">
        <f>IF(I92="","",I92-H92)</f>
        <v/>
      </c>
      <c r="K92" s="19" t="n">
        <v>1.5</v>
      </c>
      <c r="L92" s="20">
        <f>K92*'Расходы на доставку'!$B$18</f>
        <v/>
      </c>
      <c r="M92" s="21" t="n">
        <v>6000</v>
      </c>
      <c r="N92" s="20">
        <f>IF(M92="","",M92+L92)</f>
        <v/>
      </c>
      <c r="O92" s="22">
        <f>IFERROR(L92/N92,"")</f>
        <v/>
      </c>
      <c r="P92" s="21" t="n"/>
      <c r="Q92" s="22">
        <f>IFERROR(P92/N92-1,"")</f>
        <v/>
      </c>
      <c r="R92" s="17" t="n"/>
      <c r="S92" s="23" t="n"/>
    </row>
    <row r="93">
      <c r="A93" s="15" t="n">
        <v>89</v>
      </c>
      <c r="B93" s="15" t="inlineStr">
        <is>
          <t>Контейнер 1</t>
        </is>
      </c>
      <c r="C93" s="15" t="inlineStr">
        <is>
          <t>клапан штуцерный</t>
        </is>
      </c>
      <c r="D93" s="15" t="inlineStr">
        <is>
          <t>Ду20</t>
        </is>
      </c>
      <c r="E93" s="16" t="inlineStr">
        <is>
          <t>Клапан штуцерный проходной Ду 20 Ру 40</t>
        </is>
      </c>
      <c r="F93" s="15" t="inlineStr"/>
      <c r="G93" s="17" t="n"/>
      <c r="H93" s="15" t="n">
        <v>4</v>
      </c>
      <c r="I93" s="17" t="n"/>
      <c r="J93" s="18">
        <f>IF(I93="","",I93-H93)</f>
        <v/>
      </c>
      <c r="K93" s="19" t="n">
        <v>1.5</v>
      </c>
      <c r="L93" s="20">
        <f>K93*'Расходы на доставку'!$B$18</f>
        <v/>
      </c>
      <c r="M93" s="21" t="n">
        <v>6000</v>
      </c>
      <c r="N93" s="20">
        <f>IF(M93="","",M93+L93)</f>
        <v/>
      </c>
      <c r="O93" s="22">
        <f>IFERROR(L93/N93,"")</f>
        <v/>
      </c>
      <c r="P93" s="21" t="n"/>
      <c r="Q93" s="22">
        <f>IFERROR(P93/N93-1,"")</f>
        <v/>
      </c>
      <c r="R93" s="17" t="n"/>
      <c r="S93" s="23" t="n"/>
    </row>
    <row r="94">
      <c r="A94" s="15" t="n">
        <v>90</v>
      </c>
      <c r="B94" s="15" t="inlineStr">
        <is>
          <t>Контейнер 1</t>
        </is>
      </c>
      <c r="C94" s="15" t="inlineStr">
        <is>
          <t>клапан штуцерный</t>
        </is>
      </c>
      <c r="D94" s="15" t="inlineStr">
        <is>
          <t>Ду20</t>
        </is>
      </c>
      <c r="E94" s="16" t="inlineStr">
        <is>
          <t>Клапан штуцерный проходной Ду 20 Ру 40</t>
        </is>
      </c>
      <c r="F94" s="15" t="inlineStr"/>
      <c r="G94" s="17" t="n"/>
      <c r="H94" s="15" t="n">
        <v>72</v>
      </c>
      <c r="I94" s="17" t="n"/>
      <c r="J94" s="18">
        <f>IF(I94="","",I94-H94)</f>
        <v/>
      </c>
      <c r="K94" s="19" t="n">
        <v>1.5</v>
      </c>
      <c r="L94" s="20">
        <f>K94*'Расходы на доставку'!$B$18</f>
        <v/>
      </c>
      <c r="M94" s="21" t="n">
        <v>6000</v>
      </c>
      <c r="N94" s="20">
        <f>IF(M94="","",M94+L94)</f>
        <v/>
      </c>
      <c r="O94" s="22">
        <f>IFERROR(L94/N94,"")</f>
        <v/>
      </c>
      <c r="P94" s="21" t="n"/>
      <c r="Q94" s="22">
        <f>IFERROR(P94/N94-1,"")</f>
        <v/>
      </c>
      <c r="R94" s="17" t="n"/>
      <c r="S94" s="23" t="n"/>
    </row>
    <row r="95">
      <c r="A95" s="15" t="n">
        <v>91</v>
      </c>
      <c r="B95" s="15" t="inlineStr">
        <is>
          <t>Контейнер 1</t>
        </is>
      </c>
      <c r="C95" s="15" t="inlineStr">
        <is>
          <t>клапан штуцерный</t>
        </is>
      </c>
      <c r="D95" s="15" t="inlineStr">
        <is>
          <t>Ду20</t>
        </is>
      </c>
      <c r="E95" s="16" t="inlineStr">
        <is>
          <t>Клапан штуцерный проходной Ду 20 Ру 40</t>
        </is>
      </c>
      <c r="F95" s="15" t="inlineStr"/>
      <c r="G95" s="17" t="n"/>
      <c r="H95" s="15" t="n">
        <v>11</v>
      </c>
      <c r="I95" s="17" t="n"/>
      <c r="J95" s="18">
        <f>IF(I95="","",I95-H95)</f>
        <v/>
      </c>
      <c r="K95" s="19" t="n">
        <v>1.5</v>
      </c>
      <c r="L95" s="20">
        <f>K95*'Расходы на доставку'!$B$18</f>
        <v/>
      </c>
      <c r="M95" s="21" t="n">
        <v>6000</v>
      </c>
      <c r="N95" s="20">
        <f>IF(M95="","",M95+L95)</f>
        <v/>
      </c>
      <c r="O95" s="22">
        <f>IFERROR(L95/N95,"")</f>
        <v/>
      </c>
      <c r="P95" s="21" t="n"/>
      <c r="Q95" s="22">
        <f>IFERROR(P95/N95-1,"")</f>
        <v/>
      </c>
      <c r="R95" s="17" t="n"/>
      <c r="S95" s="23" t="n"/>
    </row>
    <row r="96">
      <c r="A96" s="15" t="n">
        <v>92</v>
      </c>
      <c r="B96" s="15" t="inlineStr">
        <is>
          <t>Контейнер 1</t>
        </is>
      </c>
      <c r="C96" s="15" t="inlineStr">
        <is>
          <t>клапан штуцерный</t>
        </is>
      </c>
      <c r="D96" s="15" t="inlineStr">
        <is>
          <t>Ду20</t>
        </is>
      </c>
      <c r="E96" s="16" t="inlineStr">
        <is>
          <t>Клапан штуцерный проходной Ду 20 Ру 40</t>
        </is>
      </c>
      <c r="F96" s="15" t="inlineStr"/>
      <c r="G96" s="17" t="n"/>
      <c r="H96" s="15" t="n">
        <v>11</v>
      </c>
      <c r="I96" s="17" t="n"/>
      <c r="J96" s="18">
        <f>IF(I96="","",I96-H96)</f>
        <v/>
      </c>
      <c r="K96" s="19" t="n">
        <v>1.5</v>
      </c>
      <c r="L96" s="20">
        <f>K96*'Расходы на доставку'!$B$18</f>
        <v/>
      </c>
      <c r="M96" s="21" t="n">
        <v>6000</v>
      </c>
      <c r="N96" s="20">
        <f>IF(M96="","",M96+L96)</f>
        <v/>
      </c>
      <c r="O96" s="22">
        <f>IFERROR(L96/N96,"")</f>
        <v/>
      </c>
      <c r="P96" s="21" t="n"/>
      <c r="Q96" s="22">
        <f>IFERROR(P96/N96-1,"")</f>
        <v/>
      </c>
      <c r="R96" s="17" t="n"/>
      <c r="S96" s="23" t="n"/>
    </row>
    <row r="97">
      <c r="A97" s="15" t="n">
        <v>93</v>
      </c>
      <c r="B97" s="15" t="inlineStr">
        <is>
          <t>Контейнер 1</t>
        </is>
      </c>
      <c r="C97" s="15" t="inlineStr">
        <is>
          <t>клапан штуцерный</t>
        </is>
      </c>
      <c r="D97" s="15" t="inlineStr">
        <is>
          <t>Ду20</t>
        </is>
      </c>
      <c r="E97" s="16" t="inlineStr">
        <is>
          <t>Клапан штуцерный проходной Ду 20 Ру 40</t>
        </is>
      </c>
      <c r="F97" s="15" t="inlineStr"/>
      <c r="G97" s="17" t="n"/>
      <c r="H97" s="15" t="n">
        <v>23</v>
      </c>
      <c r="I97" s="17" t="n"/>
      <c r="J97" s="18">
        <f>IF(I97="","",I97-H97)</f>
        <v/>
      </c>
      <c r="K97" s="19" t="n">
        <v>1.5</v>
      </c>
      <c r="L97" s="20">
        <f>K97*'Расходы на доставку'!$B$18</f>
        <v/>
      </c>
      <c r="M97" s="21" t="n">
        <v>6000</v>
      </c>
      <c r="N97" s="20">
        <f>IF(M97="","",M97+L97)</f>
        <v/>
      </c>
      <c r="O97" s="22">
        <f>IFERROR(L97/N97,"")</f>
        <v/>
      </c>
      <c r="P97" s="21" t="n"/>
      <c r="Q97" s="22">
        <f>IFERROR(P97/N97-1,"")</f>
        <v/>
      </c>
      <c r="R97" s="17" t="n"/>
      <c r="S97" s="23" t="n"/>
    </row>
    <row r="98">
      <c r="A98" s="15" t="n">
        <v>94</v>
      </c>
      <c r="B98" s="15" t="inlineStr">
        <is>
          <t>Контейнер 1</t>
        </is>
      </c>
      <c r="C98" s="15" t="inlineStr">
        <is>
          <t>клапан штуцерный</t>
        </is>
      </c>
      <c r="D98" s="15" t="inlineStr">
        <is>
          <t>Ду20</t>
        </is>
      </c>
      <c r="E98" s="16" t="inlineStr">
        <is>
          <t>Клапан штуцерный проходной Ду 20 Ру 40</t>
        </is>
      </c>
      <c r="F98" s="15" t="inlineStr"/>
      <c r="G98" s="17" t="n"/>
      <c r="H98" s="15" t="n">
        <v>3</v>
      </c>
      <c r="I98" s="17" t="n"/>
      <c r="J98" s="18">
        <f>IF(I98="","",I98-H98)</f>
        <v/>
      </c>
      <c r="K98" s="19" t="n">
        <v>1.5</v>
      </c>
      <c r="L98" s="20">
        <f>K98*'Расходы на доставку'!$B$18</f>
        <v/>
      </c>
      <c r="M98" s="21" t="n">
        <v>6000</v>
      </c>
      <c r="N98" s="20">
        <f>IF(M98="","",M98+L98)</f>
        <v/>
      </c>
      <c r="O98" s="22">
        <f>IFERROR(L98/N98,"")</f>
        <v/>
      </c>
      <c r="P98" s="21" t="n"/>
      <c r="Q98" s="22">
        <f>IFERROR(P98/N98-1,"")</f>
        <v/>
      </c>
      <c r="R98" s="17" t="n"/>
      <c r="S98" s="23" t="n"/>
    </row>
    <row r="99">
      <c r="A99" s="15" t="n">
        <v>95</v>
      </c>
      <c r="B99" s="15" t="inlineStr">
        <is>
          <t>Контейнер 1</t>
        </is>
      </c>
      <c r="C99" s="15" t="inlineStr">
        <is>
          <t>клапан штуцерный</t>
        </is>
      </c>
      <c r="D99" s="15" t="inlineStr">
        <is>
          <t>Ду20</t>
        </is>
      </c>
      <c r="E99" s="16" t="inlineStr">
        <is>
          <t>Клапан штуцерный проходной Ду 20 Ру 64</t>
        </is>
      </c>
      <c r="F99" s="15" t="inlineStr"/>
      <c r="G99" s="17" t="n"/>
      <c r="H99" s="15" t="n">
        <v>1</v>
      </c>
      <c r="I99" s="17" t="n"/>
      <c r="J99" s="18">
        <f>IF(I99="","",I99-H99)</f>
        <v/>
      </c>
      <c r="K99" s="19" t="n">
        <v>1.5</v>
      </c>
      <c r="L99" s="20">
        <f>K99*'Расходы на доставку'!$B$18</f>
        <v/>
      </c>
      <c r="M99" s="21" t="n">
        <v>6000</v>
      </c>
      <c r="N99" s="20">
        <f>IF(M99="","",M99+L99)</f>
        <v/>
      </c>
      <c r="O99" s="22">
        <f>IFERROR(L99/N99,"")</f>
        <v/>
      </c>
      <c r="P99" s="21" t="n"/>
      <c r="Q99" s="22">
        <f>IFERROR(P99/N99-1,"")</f>
        <v/>
      </c>
      <c r="R99" s="17" t="n"/>
      <c r="S99" s="23" t="n"/>
    </row>
    <row r="100">
      <c r="A100" s="15" t="n">
        <v>96</v>
      </c>
      <c r="B100" s="15" t="inlineStr">
        <is>
          <t>Контейнер 1</t>
        </is>
      </c>
      <c r="C100" s="15" t="inlineStr">
        <is>
          <t>клапан штуцерный</t>
        </is>
      </c>
      <c r="D100" s="15" t="inlineStr">
        <is>
          <t>Ду20</t>
        </is>
      </c>
      <c r="E100" s="16" t="inlineStr">
        <is>
          <t>Клапан штуцерный проходной Ду 20 Ру 100</t>
        </is>
      </c>
      <c r="F100" s="15" t="inlineStr"/>
      <c r="G100" s="17" t="n"/>
      <c r="H100" s="15" t="n">
        <v>1</v>
      </c>
      <c r="I100" s="17" t="n"/>
      <c r="J100" s="18">
        <f>IF(I100="","",I100-H100)</f>
        <v/>
      </c>
      <c r="K100" s="19" t="n">
        <v>1.5</v>
      </c>
      <c r="L100" s="20">
        <f>K100*'Расходы на доставку'!$B$18</f>
        <v/>
      </c>
      <c r="M100" s="21" t="n">
        <v>6000</v>
      </c>
      <c r="N100" s="20">
        <f>IF(M100="","",M100+L100)</f>
        <v/>
      </c>
      <c r="O100" s="22">
        <f>IFERROR(L100/N100,"")</f>
        <v/>
      </c>
      <c r="P100" s="21" t="n"/>
      <c r="Q100" s="22">
        <f>IFERROR(P100/N100-1,"")</f>
        <v/>
      </c>
      <c r="R100" s="17" t="n"/>
      <c r="S100" s="23" t="n"/>
    </row>
    <row r="101">
      <c r="A101" s="15" t="n">
        <v>97</v>
      </c>
      <c r="B101" s="15" t="inlineStr">
        <is>
          <t>Контейнер 1</t>
        </is>
      </c>
      <c r="C101" s="15" t="inlineStr">
        <is>
          <t>клапан штуцерный</t>
        </is>
      </c>
      <c r="D101" s="15" t="inlineStr">
        <is>
          <t>Ду20</t>
        </is>
      </c>
      <c r="E101" s="16" t="inlineStr">
        <is>
          <t>Клапан штуцерный проходной Ду 20 Ру 100</t>
        </is>
      </c>
      <c r="F101" s="15" t="inlineStr"/>
      <c r="G101" s="17" t="n"/>
      <c r="H101" s="15" t="n">
        <v>13</v>
      </c>
      <c r="I101" s="17" t="n"/>
      <c r="J101" s="18">
        <f>IF(I101="","",I101-H101)</f>
        <v/>
      </c>
      <c r="K101" s="19" t="n">
        <v>1.5</v>
      </c>
      <c r="L101" s="20">
        <f>K101*'Расходы на доставку'!$B$18</f>
        <v/>
      </c>
      <c r="M101" s="21" t="n">
        <v>6000</v>
      </c>
      <c r="N101" s="20">
        <f>IF(M101="","",M101+L101)</f>
        <v/>
      </c>
      <c r="O101" s="22">
        <f>IFERROR(L101/N101,"")</f>
        <v/>
      </c>
      <c r="P101" s="21" t="n"/>
      <c r="Q101" s="22">
        <f>IFERROR(P101/N101-1,"")</f>
        <v/>
      </c>
      <c r="R101" s="17" t="n"/>
      <c r="S101" s="23" t="n"/>
    </row>
    <row r="102">
      <c r="A102" s="15" t="n">
        <v>98</v>
      </c>
      <c r="B102" s="15" t="inlineStr">
        <is>
          <t>Контейнер 1</t>
        </is>
      </c>
      <c r="C102" s="15" t="inlineStr">
        <is>
          <t>клапан штуцерный</t>
        </is>
      </c>
      <c r="D102" s="15" t="inlineStr">
        <is>
          <t>Ду20</t>
        </is>
      </c>
      <c r="E102" s="16" t="inlineStr">
        <is>
          <t>Клапан штуцерный проходной Ду 20 Ру 100</t>
        </is>
      </c>
      <c r="F102" s="15" t="inlineStr"/>
      <c r="G102" s="17" t="n"/>
      <c r="H102" s="15" t="n">
        <v>102</v>
      </c>
      <c r="I102" s="17" t="n"/>
      <c r="J102" s="18">
        <f>IF(I102="","",I102-H102)</f>
        <v/>
      </c>
      <c r="K102" s="19" t="n">
        <v>1.5</v>
      </c>
      <c r="L102" s="20">
        <f>K102*'Расходы на доставку'!$B$18</f>
        <v/>
      </c>
      <c r="M102" s="21" t="n">
        <v>6000</v>
      </c>
      <c r="N102" s="20">
        <f>IF(M102="","",M102+L102)</f>
        <v/>
      </c>
      <c r="O102" s="22">
        <f>IFERROR(L102/N102,"")</f>
        <v/>
      </c>
      <c r="P102" s="21" t="n"/>
      <c r="Q102" s="22">
        <f>IFERROR(P102/N102-1,"")</f>
        <v/>
      </c>
      <c r="R102" s="17" t="n"/>
      <c r="S102" s="23" t="n"/>
    </row>
    <row r="103">
      <c r="A103" s="15" t="n">
        <v>99</v>
      </c>
      <c r="B103" s="15" t="inlineStr">
        <is>
          <t>Контейнер 1</t>
        </is>
      </c>
      <c r="C103" s="15" t="inlineStr">
        <is>
          <t>клапан штуцерный</t>
        </is>
      </c>
      <c r="D103" s="15" t="inlineStr">
        <is>
          <t>Ду20</t>
        </is>
      </c>
      <c r="E103" s="16" t="inlineStr">
        <is>
          <t>Клапан штуцерный проходной Ду 20 Ру 100</t>
        </is>
      </c>
      <c r="F103" s="15" t="inlineStr"/>
      <c r="G103" s="17" t="n"/>
      <c r="H103" s="15" t="n">
        <v>1</v>
      </c>
      <c r="I103" s="17" t="n"/>
      <c r="J103" s="18">
        <f>IF(I103="","",I103-H103)</f>
        <v/>
      </c>
      <c r="K103" s="19" t="n">
        <v>1.5</v>
      </c>
      <c r="L103" s="20">
        <f>K103*'Расходы на доставку'!$B$18</f>
        <v/>
      </c>
      <c r="M103" s="21" t="n">
        <v>6000</v>
      </c>
      <c r="N103" s="20">
        <f>IF(M103="","",M103+L103)</f>
        <v/>
      </c>
      <c r="O103" s="22">
        <f>IFERROR(L103/N103,"")</f>
        <v/>
      </c>
      <c r="P103" s="21" t="n"/>
      <c r="Q103" s="22">
        <f>IFERROR(P103/N103-1,"")</f>
        <v/>
      </c>
      <c r="R103" s="17" t="n"/>
      <c r="S103" s="23" t="n"/>
    </row>
    <row r="104">
      <c r="A104" s="15" t="n">
        <v>100</v>
      </c>
      <c r="B104" s="15" t="inlineStr">
        <is>
          <t>Контейнер 1</t>
        </is>
      </c>
      <c r="C104" s="15" t="inlineStr">
        <is>
          <t>клапан штуцерный</t>
        </is>
      </c>
      <c r="D104" s="15" t="inlineStr">
        <is>
          <t>Ду20</t>
        </is>
      </c>
      <c r="E104" s="16" t="inlineStr">
        <is>
          <t>Клапан штуцерный проходной Ду 20 Ру 100</t>
        </is>
      </c>
      <c r="F104" s="15" t="inlineStr"/>
      <c r="G104" s="17" t="n"/>
      <c r="H104" s="15" t="n">
        <v>2</v>
      </c>
      <c r="I104" s="17" t="n"/>
      <c r="J104" s="18">
        <f>IF(I104="","",I104-H104)</f>
        <v/>
      </c>
      <c r="K104" s="19" t="n">
        <v>1.5</v>
      </c>
      <c r="L104" s="20">
        <f>K104*'Расходы на доставку'!$B$18</f>
        <v/>
      </c>
      <c r="M104" s="21" t="n">
        <v>6000</v>
      </c>
      <c r="N104" s="20">
        <f>IF(M104="","",M104+L104)</f>
        <v/>
      </c>
      <c r="O104" s="22">
        <f>IFERROR(L104/N104,"")</f>
        <v/>
      </c>
      <c r="P104" s="21" t="n"/>
      <c r="Q104" s="22">
        <f>IFERROR(P104/N104-1,"")</f>
        <v/>
      </c>
      <c r="R104" s="17" t="n"/>
      <c r="S104" s="23" t="n"/>
    </row>
    <row r="105">
      <c r="A105" s="15" t="n">
        <v>101</v>
      </c>
      <c r="B105" s="15" t="inlineStr">
        <is>
          <t>Контейнер 1</t>
        </is>
      </c>
      <c r="C105" s="15" t="inlineStr">
        <is>
          <t>клапан штуцерный</t>
        </is>
      </c>
      <c r="D105" s="15" t="inlineStr">
        <is>
          <t>Ду20</t>
        </is>
      </c>
      <c r="E105" s="16" t="inlineStr">
        <is>
          <t>Клапан штуцерный проходной Ду 20 Ру 100</t>
        </is>
      </c>
      <c r="F105" s="15" t="inlineStr"/>
      <c r="G105" s="17" t="n"/>
      <c r="H105" s="15" t="n">
        <v>2</v>
      </c>
      <c r="I105" s="17" t="n"/>
      <c r="J105" s="18">
        <f>IF(I105="","",I105-H105)</f>
        <v/>
      </c>
      <c r="K105" s="19" t="n">
        <v>1.5</v>
      </c>
      <c r="L105" s="20">
        <f>K105*'Расходы на доставку'!$B$18</f>
        <v/>
      </c>
      <c r="M105" s="21" t="n">
        <v>6000</v>
      </c>
      <c r="N105" s="20">
        <f>IF(M105="","",M105+L105)</f>
        <v/>
      </c>
      <c r="O105" s="22">
        <f>IFERROR(L105/N105,"")</f>
        <v/>
      </c>
      <c r="P105" s="21" t="n"/>
      <c r="Q105" s="22">
        <f>IFERROR(P105/N105-1,"")</f>
        <v/>
      </c>
      <c r="R105" s="17" t="n"/>
      <c r="S105" s="23" t="n"/>
    </row>
    <row r="106">
      <c r="A106" s="15" t="n">
        <v>102</v>
      </c>
      <c r="B106" s="15" t="inlineStr">
        <is>
          <t>Контейнер 1</t>
        </is>
      </c>
      <c r="C106" s="15" t="inlineStr">
        <is>
          <t>клапан штуцерный</t>
        </is>
      </c>
      <c r="D106" s="15" t="inlineStr">
        <is>
          <t>Ду20</t>
        </is>
      </c>
      <c r="E106" s="16" t="inlineStr">
        <is>
          <t>Клапан штуцерный проходной Ду 20 Ру 100</t>
        </is>
      </c>
      <c r="F106" s="15" t="inlineStr"/>
      <c r="G106" s="17" t="n"/>
      <c r="H106" s="15" t="n">
        <v>21</v>
      </c>
      <c r="I106" s="17" t="n"/>
      <c r="J106" s="18">
        <f>IF(I106="","",I106-H106)</f>
        <v/>
      </c>
      <c r="K106" s="19" t="n">
        <v>1.5</v>
      </c>
      <c r="L106" s="20">
        <f>K106*'Расходы на доставку'!$B$18</f>
        <v/>
      </c>
      <c r="M106" s="21" t="n">
        <v>6000</v>
      </c>
      <c r="N106" s="20">
        <f>IF(M106="","",M106+L106)</f>
        <v/>
      </c>
      <c r="O106" s="22">
        <f>IFERROR(L106/N106,"")</f>
        <v/>
      </c>
      <c r="P106" s="21" t="n"/>
      <c r="Q106" s="22">
        <f>IFERROR(P106/N106-1,"")</f>
        <v/>
      </c>
      <c r="R106" s="17" t="n"/>
      <c r="S106" s="23" t="n"/>
    </row>
    <row r="107">
      <c r="A107" s="15" t="n">
        <v>103</v>
      </c>
      <c r="B107" s="15" t="inlineStr">
        <is>
          <t>Контейнер 1</t>
        </is>
      </c>
      <c r="C107" s="15" t="inlineStr">
        <is>
          <t>клапан штуцерный</t>
        </is>
      </c>
      <c r="D107" s="15" t="inlineStr">
        <is>
          <t>Ду20</t>
        </is>
      </c>
      <c r="E107" s="16" t="inlineStr">
        <is>
          <t>Клапан штуцерный проходной Ду 20 Ру 100</t>
        </is>
      </c>
      <c r="F107" s="15" t="inlineStr"/>
      <c r="G107" s="17" t="n"/>
      <c r="H107" s="15" t="n">
        <v>16</v>
      </c>
      <c r="I107" s="17" t="n"/>
      <c r="J107" s="18">
        <f>IF(I107="","",I107-H107)</f>
        <v/>
      </c>
      <c r="K107" s="19" t="n">
        <v>1.5</v>
      </c>
      <c r="L107" s="20">
        <f>K107*'Расходы на доставку'!$B$18</f>
        <v/>
      </c>
      <c r="M107" s="21" t="n">
        <v>6000</v>
      </c>
      <c r="N107" s="20">
        <f>IF(M107="","",M107+L107)</f>
        <v/>
      </c>
      <c r="O107" s="22">
        <f>IFERROR(L107/N107,"")</f>
        <v/>
      </c>
      <c r="P107" s="21" t="n"/>
      <c r="Q107" s="22">
        <f>IFERROR(P107/N107-1,"")</f>
        <v/>
      </c>
      <c r="R107" s="17" t="n"/>
      <c r="S107" s="23" t="n"/>
    </row>
    <row r="108">
      <c r="A108" s="15" t="n">
        <v>104</v>
      </c>
      <c r="B108" s="15" t="inlineStr">
        <is>
          <t>Контейнер 1</t>
        </is>
      </c>
      <c r="C108" s="15" t="inlineStr">
        <is>
          <t>клапан штуцерный</t>
        </is>
      </c>
      <c r="D108" s="15" t="inlineStr">
        <is>
          <t>Ду20</t>
        </is>
      </c>
      <c r="E108" s="16" t="inlineStr">
        <is>
          <t>Клапан штуцерный проходной Ду 20 Ру 100</t>
        </is>
      </c>
      <c r="F108" s="15" t="inlineStr"/>
      <c r="G108" s="17" t="n"/>
      <c r="H108" s="15" t="n">
        <v>2</v>
      </c>
      <c r="I108" s="17" t="n"/>
      <c r="J108" s="18">
        <f>IF(I108="","",I108-H108)</f>
        <v/>
      </c>
      <c r="K108" s="19" t="n">
        <v>1.5</v>
      </c>
      <c r="L108" s="20">
        <f>K108*'Расходы на доставку'!$B$18</f>
        <v/>
      </c>
      <c r="M108" s="21" t="n">
        <v>6000</v>
      </c>
      <c r="N108" s="20">
        <f>IF(M108="","",M108+L108)</f>
        <v/>
      </c>
      <c r="O108" s="22">
        <f>IFERROR(L108/N108,"")</f>
        <v/>
      </c>
      <c r="P108" s="21" t="n"/>
      <c r="Q108" s="22">
        <f>IFERROR(P108/N108-1,"")</f>
        <v/>
      </c>
      <c r="R108" s="17" t="n"/>
      <c r="S108" s="23" t="n"/>
    </row>
    <row r="109">
      <c r="A109" s="15" t="n">
        <v>105</v>
      </c>
      <c r="B109" s="15" t="inlineStr">
        <is>
          <t>Контейнер 1</t>
        </is>
      </c>
      <c r="C109" s="15" t="inlineStr">
        <is>
          <t>клапан штуцерный</t>
        </is>
      </c>
      <c r="D109" s="15" t="inlineStr">
        <is>
          <t>Ду20</t>
        </is>
      </c>
      <c r="E109" s="16" t="inlineStr">
        <is>
          <t>Клапан штуцерный проходной Ду 20 Ру 100</t>
        </is>
      </c>
      <c r="F109" s="15" t="inlineStr"/>
      <c r="G109" s="17" t="n"/>
      <c r="H109" s="15" t="n">
        <v>7</v>
      </c>
      <c r="I109" s="17" t="n"/>
      <c r="J109" s="18">
        <f>IF(I109="","",I109-H109)</f>
        <v/>
      </c>
      <c r="K109" s="19" t="n">
        <v>1.5</v>
      </c>
      <c r="L109" s="20">
        <f>K109*'Расходы на доставку'!$B$18</f>
        <v/>
      </c>
      <c r="M109" s="21" t="n">
        <v>6000</v>
      </c>
      <c r="N109" s="20">
        <f>IF(M109="","",M109+L109)</f>
        <v/>
      </c>
      <c r="O109" s="22">
        <f>IFERROR(L109/N109,"")</f>
        <v/>
      </c>
      <c r="P109" s="21" t="n"/>
      <c r="Q109" s="22">
        <f>IFERROR(P109/N109-1,"")</f>
        <v/>
      </c>
      <c r="R109" s="17" t="n"/>
      <c r="S109" s="23" t="n"/>
    </row>
    <row r="110">
      <c r="A110" s="15" t="n">
        <v>106</v>
      </c>
      <c r="B110" s="15" t="inlineStr">
        <is>
          <t>Контейнер 1</t>
        </is>
      </c>
      <c r="C110" s="15" t="inlineStr">
        <is>
          <t>клапан штуцерный</t>
        </is>
      </c>
      <c r="D110" s="15" t="inlineStr">
        <is>
          <t>Ду20</t>
        </is>
      </c>
      <c r="E110" s="16" t="inlineStr">
        <is>
          <t>Клапан штуцерный проходной Ду 20 Ру 100</t>
        </is>
      </c>
      <c r="F110" s="15" t="inlineStr"/>
      <c r="G110" s="17" t="n"/>
      <c r="H110" s="15" t="n">
        <v>9</v>
      </c>
      <c r="I110" s="17" t="n"/>
      <c r="J110" s="18">
        <f>IF(I110="","",I110-H110)</f>
        <v/>
      </c>
      <c r="K110" s="19" t="n">
        <v>1.5</v>
      </c>
      <c r="L110" s="20">
        <f>K110*'Расходы на доставку'!$B$18</f>
        <v/>
      </c>
      <c r="M110" s="21" t="n">
        <v>6000</v>
      </c>
      <c r="N110" s="20">
        <f>IF(M110="","",M110+L110)</f>
        <v/>
      </c>
      <c r="O110" s="22">
        <f>IFERROR(L110/N110,"")</f>
        <v/>
      </c>
      <c r="P110" s="21" t="n"/>
      <c r="Q110" s="22">
        <f>IFERROR(P110/N110-1,"")</f>
        <v/>
      </c>
      <c r="R110" s="17" t="n"/>
      <c r="S110" s="23" t="n"/>
    </row>
    <row r="111">
      <c r="A111" s="15" t="n">
        <v>107</v>
      </c>
      <c r="B111" s="15" t="inlineStr">
        <is>
          <t>Контейнер 1</t>
        </is>
      </c>
      <c r="C111" s="15" t="inlineStr">
        <is>
          <t>клапан штуцерный</t>
        </is>
      </c>
      <c r="D111" s="15" t="inlineStr">
        <is>
          <t>Ду20</t>
        </is>
      </c>
      <c r="E111" s="16" t="inlineStr">
        <is>
          <t>Клапан штуцерный проходной Ду 20 Ру 100</t>
        </is>
      </c>
      <c r="F111" s="15" t="inlineStr"/>
      <c r="G111" s="17" t="n"/>
      <c r="H111" s="15" t="n">
        <v>1</v>
      </c>
      <c r="I111" s="17" t="n"/>
      <c r="J111" s="18">
        <f>IF(I111="","",I111-H111)</f>
        <v/>
      </c>
      <c r="K111" s="19" t="n">
        <v>1.5</v>
      </c>
      <c r="L111" s="20">
        <f>K111*'Расходы на доставку'!$B$18</f>
        <v/>
      </c>
      <c r="M111" s="21" t="n">
        <v>6000</v>
      </c>
      <c r="N111" s="20">
        <f>IF(M111="","",M111+L111)</f>
        <v/>
      </c>
      <c r="O111" s="22">
        <f>IFERROR(L111/N111,"")</f>
        <v/>
      </c>
      <c r="P111" s="21" t="n"/>
      <c r="Q111" s="22">
        <f>IFERROR(P111/N111-1,"")</f>
        <v/>
      </c>
      <c r="R111" s="17" t="n"/>
      <c r="S111" s="23" t="n"/>
    </row>
    <row r="112">
      <c r="A112" s="15" t="n">
        <v>108</v>
      </c>
      <c r="B112" s="15" t="inlineStr">
        <is>
          <t>Контейнер 1</t>
        </is>
      </c>
      <c r="C112" s="15" t="inlineStr">
        <is>
          <t>клапан штуцерный</t>
        </is>
      </c>
      <c r="D112" s="15" t="inlineStr">
        <is>
          <t>Ду20</t>
        </is>
      </c>
      <c r="E112" s="16" t="inlineStr">
        <is>
          <t>Клапан штуцерный проходной Ду 20 Ру 100</t>
        </is>
      </c>
      <c r="F112" s="15" t="inlineStr"/>
      <c r="G112" s="17" t="n"/>
      <c r="H112" s="15" t="n">
        <v>1</v>
      </c>
      <c r="I112" s="17" t="n"/>
      <c r="J112" s="18">
        <f>IF(I112="","",I112-H112)</f>
        <v/>
      </c>
      <c r="K112" s="19" t="n">
        <v>1.5</v>
      </c>
      <c r="L112" s="20">
        <f>K112*'Расходы на доставку'!$B$18</f>
        <v/>
      </c>
      <c r="M112" s="21" t="n">
        <v>6000</v>
      </c>
      <c r="N112" s="20">
        <f>IF(M112="","",M112+L112)</f>
        <v/>
      </c>
      <c r="O112" s="22">
        <f>IFERROR(L112/N112,"")</f>
        <v/>
      </c>
      <c r="P112" s="21" t="n"/>
      <c r="Q112" s="22">
        <f>IFERROR(P112/N112-1,"")</f>
        <v/>
      </c>
      <c r="R112" s="17" t="n"/>
      <c r="S112" s="23" t="n"/>
    </row>
    <row r="113">
      <c r="A113" s="15" t="n">
        <v>109</v>
      </c>
      <c r="B113" s="15" t="inlineStr">
        <is>
          <t>Контейнер 1</t>
        </is>
      </c>
      <c r="C113" s="15" t="inlineStr">
        <is>
          <t>клапан штуцерный</t>
        </is>
      </c>
      <c r="D113" s="15" t="inlineStr">
        <is>
          <t>Ду20</t>
        </is>
      </c>
      <c r="E113" s="16" t="inlineStr">
        <is>
          <t>Клапан штуцерный проходной Ду 20 Ру 100</t>
        </is>
      </c>
      <c r="F113" s="15" t="inlineStr"/>
      <c r="G113" s="17" t="n"/>
      <c r="H113" s="15" t="n">
        <v>3</v>
      </c>
      <c r="I113" s="17" t="n"/>
      <c r="J113" s="18">
        <f>IF(I113="","",I113-H113)</f>
        <v/>
      </c>
      <c r="K113" s="19" t="n">
        <v>1.5</v>
      </c>
      <c r="L113" s="20">
        <f>K113*'Расходы на доставку'!$B$18</f>
        <v/>
      </c>
      <c r="M113" s="21" t="n">
        <v>6000</v>
      </c>
      <c r="N113" s="20">
        <f>IF(M113="","",M113+L113)</f>
        <v/>
      </c>
      <c r="O113" s="22">
        <f>IFERROR(L113/N113,"")</f>
        <v/>
      </c>
      <c r="P113" s="21" t="n"/>
      <c r="Q113" s="22">
        <f>IFERROR(P113/N113-1,"")</f>
        <v/>
      </c>
      <c r="R113" s="17" t="n"/>
      <c r="S113" s="23" t="n"/>
    </row>
    <row r="114">
      <c r="A114" s="15" t="n">
        <v>110</v>
      </c>
      <c r="B114" s="15" t="inlineStr">
        <is>
          <t>Контейнер 1</t>
        </is>
      </c>
      <c r="C114" s="15" t="inlineStr">
        <is>
          <t>клапан штуцерный</t>
        </is>
      </c>
      <c r="D114" s="15" t="inlineStr">
        <is>
          <t>Ду32</t>
        </is>
      </c>
      <c r="E114" s="16" t="inlineStr">
        <is>
          <t>Клапан штуцерный проходной Ду 32 Ру 40</t>
        </is>
      </c>
      <c r="F114" s="15" t="inlineStr"/>
      <c r="G114" s="17" t="n"/>
      <c r="H114" s="15" t="n">
        <v>3</v>
      </c>
      <c r="I114" s="17" t="n"/>
      <c r="J114" s="18">
        <f>IF(I114="","",I114-H114)</f>
        <v/>
      </c>
      <c r="K114" s="19" t="n">
        <v>3.5</v>
      </c>
      <c r="L114" s="20">
        <f>K114*'Расходы на доставку'!$B$18</f>
        <v/>
      </c>
      <c r="M114" s="21" t="n">
        <v>12500</v>
      </c>
      <c r="N114" s="20">
        <f>IF(M114="","",M114+L114)</f>
        <v/>
      </c>
      <c r="O114" s="22">
        <f>IFERROR(L114/N114,"")</f>
        <v/>
      </c>
      <c r="P114" s="21" t="n"/>
      <c r="Q114" s="22">
        <f>IFERROR(P114/N114-1,"")</f>
        <v/>
      </c>
      <c r="R114" s="17" t="n"/>
      <c r="S114" s="23" t="n"/>
    </row>
    <row r="115">
      <c r="A115" s="15" t="n">
        <v>111</v>
      </c>
      <c r="B115" s="15" t="inlineStr">
        <is>
          <t>Контейнер 1</t>
        </is>
      </c>
      <c r="C115" s="15" t="inlineStr">
        <is>
          <t>клапан штуцерный</t>
        </is>
      </c>
      <c r="D115" s="15" t="inlineStr">
        <is>
          <t>Ду10</t>
        </is>
      </c>
      <c r="E115" s="16" t="inlineStr">
        <is>
          <t>Клапан штуцерный проходной Ду 10 Ру6</t>
        </is>
      </c>
      <c r="F115" s="15" t="inlineStr"/>
      <c r="G115" s="17" t="n"/>
      <c r="H115" s="15" t="n">
        <v>1</v>
      </c>
      <c r="I115" s="17" t="n"/>
      <c r="J115" s="18">
        <f>IF(I115="","",I115-H115)</f>
        <v/>
      </c>
      <c r="K115" s="19" t="n">
        <v>0.6</v>
      </c>
      <c r="L115" s="20">
        <f>K115*'Расходы на доставку'!$B$18</f>
        <v/>
      </c>
      <c r="M115" s="21" t="n">
        <v>2000</v>
      </c>
      <c r="N115" s="20">
        <f>IF(M115="","",M115+L115)</f>
        <v/>
      </c>
      <c r="O115" s="22">
        <f>IFERROR(L115/N115,"")</f>
        <v/>
      </c>
      <c r="P115" s="21" t="n"/>
      <c r="Q115" s="22">
        <f>IFERROR(P115/N115-1,"")</f>
        <v/>
      </c>
      <c r="R115" s="17" t="n"/>
      <c r="S115" s="23" t="n"/>
    </row>
    <row r="116">
      <c r="A116" s="15" t="n">
        <v>112</v>
      </c>
      <c r="B116" s="15" t="inlineStr">
        <is>
          <t>Контейнер 1</t>
        </is>
      </c>
      <c r="C116" s="15" t="inlineStr">
        <is>
          <t>клапан штуцерный</t>
        </is>
      </c>
      <c r="D116" s="15" t="inlineStr">
        <is>
          <t>Ду10</t>
        </is>
      </c>
      <c r="E116" s="16" t="inlineStr">
        <is>
          <t>Клапан штуцерный угловой Ду10 Ру100</t>
        </is>
      </c>
      <c r="F116" s="15" t="inlineStr"/>
      <c r="G116" s="17" t="n"/>
      <c r="H116" s="15" t="n">
        <v>1</v>
      </c>
      <c r="I116" s="17" t="n"/>
      <c r="J116" s="18">
        <f>IF(I116="","",I116-H116)</f>
        <v/>
      </c>
      <c r="K116" s="19" t="n">
        <v>0.6</v>
      </c>
      <c r="L116" s="20">
        <f>K116*'Расходы на доставку'!$B$18</f>
        <v/>
      </c>
      <c r="M116" s="21" t="n">
        <v>2000</v>
      </c>
      <c r="N116" s="20">
        <f>IF(M116="","",M116+L116)</f>
        <v/>
      </c>
      <c r="O116" s="22">
        <f>IFERROR(L116/N116,"")</f>
        <v/>
      </c>
      <c r="P116" s="21" t="n"/>
      <c r="Q116" s="22">
        <f>IFERROR(P116/N116-1,"")</f>
        <v/>
      </c>
      <c r="R116" s="17" t="n"/>
      <c r="S116" s="23" t="n"/>
    </row>
    <row r="117">
      <c r="A117" s="15" t="n">
        <v>113</v>
      </c>
      <c r="B117" s="15" t="inlineStr">
        <is>
          <t>Контейнер 1</t>
        </is>
      </c>
      <c r="C117" s="15" t="inlineStr">
        <is>
          <t>клапан штуцерный</t>
        </is>
      </c>
      <c r="D117" s="15" t="inlineStr">
        <is>
          <t>Ду10</t>
        </is>
      </c>
      <c r="E117" s="16" t="inlineStr">
        <is>
          <t>Клапан штуцерный угловой Ду10 Ру100</t>
        </is>
      </c>
      <c r="F117" s="15" t="inlineStr"/>
      <c r="G117" s="17" t="n"/>
      <c r="H117" s="15" t="n">
        <v>1</v>
      </c>
      <c r="I117" s="17" t="n"/>
      <c r="J117" s="18">
        <f>IF(I117="","",I117-H117)</f>
        <v/>
      </c>
      <c r="K117" s="19" t="n">
        <v>0.6</v>
      </c>
      <c r="L117" s="20">
        <f>K117*'Расходы на доставку'!$B$18</f>
        <v/>
      </c>
      <c r="M117" s="21" t="n">
        <v>2000</v>
      </c>
      <c r="N117" s="20">
        <f>IF(M117="","",M117+L117)</f>
        <v/>
      </c>
      <c r="O117" s="22">
        <f>IFERROR(L117/N117,"")</f>
        <v/>
      </c>
      <c r="P117" s="21" t="n"/>
      <c r="Q117" s="22">
        <f>IFERROR(P117/N117-1,"")</f>
        <v/>
      </c>
      <c r="R117" s="17" t="n"/>
      <c r="S117" s="23" t="n"/>
    </row>
    <row r="118">
      <c r="A118" s="15" t="n">
        <v>114</v>
      </c>
      <c r="B118" s="15" t="inlineStr">
        <is>
          <t>Контейнер 1</t>
        </is>
      </c>
      <c r="C118" s="15" t="inlineStr">
        <is>
          <t>клапан штуцерный</t>
        </is>
      </c>
      <c r="D118" s="15" t="inlineStr">
        <is>
          <t>Ду10</t>
        </is>
      </c>
      <c r="E118" s="16" t="inlineStr">
        <is>
          <t>Клапан штуцерный проходной Ду 10 Ру 40</t>
        </is>
      </c>
      <c r="F118" s="15" t="inlineStr"/>
      <c r="G118" s="17" t="n"/>
      <c r="H118" s="15" t="n">
        <v>4</v>
      </c>
      <c r="I118" s="17" t="n"/>
      <c r="J118" s="18">
        <f>IF(I118="","",I118-H118)</f>
        <v/>
      </c>
      <c r="K118" s="19" t="n">
        <v>0.6</v>
      </c>
      <c r="L118" s="20">
        <f>K118*'Расходы на доставку'!$B$18</f>
        <v/>
      </c>
      <c r="M118" s="21" t="n">
        <v>2000</v>
      </c>
      <c r="N118" s="20">
        <f>IF(M118="","",M118+L118)</f>
        <v/>
      </c>
      <c r="O118" s="22">
        <f>IFERROR(L118/N118,"")</f>
        <v/>
      </c>
      <c r="P118" s="21" t="n"/>
      <c r="Q118" s="22">
        <f>IFERROR(P118/N118-1,"")</f>
        <v/>
      </c>
      <c r="R118" s="17" t="n"/>
      <c r="S118" s="23" t="n"/>
    </row>
    <row r="119">
      <c r="A119" s="15" t="n">
        <v>115</v>
      </c>
      <c r="B119" s="15" t="inlineStr">
        <is>
          <t>Контейнер 1</t>
        </is>
      </c>
      <c r="C119" s="15" t="inlineStr">
        <is>
          <t>клапан штуцерный</t>
        </is>
      </c>
      <c r="D119" s="15" t="inlineStr">
        <is>
          <t>Ду10</t>
        </is>
      </c>
      <c r="E119" s="16" t="inlineStr">
        <is>
          <t>Клапан штуцерный проходной Ду 10 Ру 40</t>
        </is>
      </c>
      <c r="F119" s="15" t="inlineStr"/>
      <c r="G119" s="17" t="n"/>
      <c r="H119" s="15" t="n">
        <v>1</v>
      </c>
      <c r="I119" s="17" t="n"/>
      <c r="J119" s="18">
        <f>IF(I119="","",I119-H119)</f>
        <v/>
      </c>
      <c r="K119" s="19" t="n">
        <v>0.6</v>
      </c>
      <c r="L119" s="20">
        <f>K119*'Расходы на доставку'!$B$18</f>
        <v/>
      </c>
      <c r="M119" s="21" t="n">
        <v>2000</v>
      </c>
      <c r="N119" s="20">
        <f>IF(M119="","",M119+L119)</f>
        <v/>
      </c>
      <c r="O119" s="22">
        <f>IFERROR(L119/N119,"")</f>
        <v/>
      </c>
      <c r="P119" s="21" t="n"/>
      <c r="Q119" s="22">
        <f>IFERROR(P119/N119-1,"")</f>
        <v/>
      </c>
      <c r="R119" s="17" t="n"/>
      <c r="S119" s="23" t="n"/>
    </row>
    <row r="120">
      <c r="A120" s="15" t="n">
        <v>116</v>
      </c>
      <c r="B120" s="15" t="inlineStr">
        <is>
          <t>Контейнер 1</t>
        </is>
      </c>
      <c r="C120" s="15" t="inlineStr">
        <is>
          <t>клапан штуцерный</t>
        </is>
      </c>
      <c r="D120" s="15" t="inlineStr">
        <is>
          <t>Ду10</t>
        </is>
      </c>
      <c r="E120" s="16" t="inlineStr">
        <is>
          <t>Клапан штуцерный проходной Ду 10 Ру100</t>
        </is>
      </c>
      <c r="F120" s="15" t="inlineStr"/>
      <c r="G120" s="17" t="n"/>
      <c r="H120" s="15" t="n">
        <v>5</v>
      </c>
      <c r="I120" s="17" t="n"/>
      <c r="J120" s="18">
        <f>IF(I120="","",I120-H120)</f>
        <v/>
      </c>
      <c r="K120" s="19" t="n">
        <v>0.6</v>
      </c>
      <c r="L120" s="20">
        <f>K120*'Расходы на доставку'!$B$18</f>
        <v/>
      </c>
      <c r="M120" s="21" t="n">
        <v>2000</v>
      </c>
      <c r="N120" s="20">
        <f>IF(M120="","",M120+L120)</f>
        <v/>
      </c>
      <c r="O120" s="22">
        <f>IFERROR(L120/N120,"")</f>
        <v/>
      </c>
      <c r="P120" s="21" t="n"/>
      <c r="Q120" s="22">
        <f>IFERROR(P120/N120-1,"")</f>
        <v/>
      </c>
      <c r="R120" s="17" t="n"/>
      <c r="S120" s="23" t="n"/>
    </row>
    <row r="121">
      <c r="A121" s="15" t="n">
        <v>117</v>
      </c>
      <c r="B121" s="15" t="inlineStr">
        <is>
          <t>Контейнер 1</t>
        </is>
      </c>
      <c r="C121" s="15" t="inlineStr">
        <is>
          <t>клапан штуцерный</t>
        </is>
      </c>
      <c r="D121" s="15" t="inlineStr">
        <is>
          <t>Ду10</t>
        </is>
      </c>
      <c r="E121" s="16" t="inlineStr">
        <is>
          <t>Клапан штуцерный проходной Ду 10 Ру100</t>
        </is>
      </c>
      <c r="F121" s="15" t="inlineStr"/>
      <c r="G121" s="17" t="n"/>
      <c r="H121" s="15" t="n">
        <v>3</v>
      </c>
      <c r="I121" s="17" t="n"/>
      <c r="J121" s="18">
        <f>IF(I121="","",I121-H121)</f>
        <v/>
      </c>
      <c r="K121" s="19" t="n">
        <v>0.6</v>
      </c>
      <c r="L121" s="20">
        <f>K121*'Расходы на доставку'!$B$18</f>
        <v/>
      </c>
      <c r="M121" s="21" t="n">
        <v>2000</v>
      </c>
      <c r="N121" s="20">
        <f>IF(M121="","",M121+L121)</f>
        <v/>
      </c>
      <c r="O121" s="22">
        <f>IFERROR(L121/N121,"")</f>
        <v/>
      </c>
      <c r="P121" s="21" t="n"/>
      <c r="Q121" s="22">
        <f>IFERROR(P121/N121-1,"")</f>
        <v/>
      </c>
      <c r="R121" s="17" t="n"/>
      <c r="S121" s="23" t="n"/>
    </row>
    <row r="122">
      <c r="A122" s="15" t="n">
        <v>118</v>
      </c>
      <c r="B122" s="15" t="inlineStr">
        <is>
          <t>Контейнер 1</t>
        </is>
      </c>
      <c r="C122" s="15" t="inlineStr">
        <is>
          <t>клапан штуцерный</t>
        </is>
      </c>
      <c r="D122" s="15" t="inlineStr">
        <is>
          <t>Ду10</t>
        </is>
      </c>
      <c r="E122" s="16" t="inlineStr">
        <is>
          <t>Клапан штуцерный проходной Ду 10 Ру100</t>
        </is>
      </c>
      <c r="F122" s="15" t="inlineStr"/>
      <c r="G122" s="17" t="n"/>
      <c r="H122" s="15" t="n">
        <v>3</v>
      </c>
      <c r="I122" s="17" t="n"/>
      <c r="J122" s="18">
        <f>IF(I122="","",I122-H122)</f>
        <v/>
      </c>
      <c r="K122" s="19" t="n">
        <v>0.6</v>
      </c>
      <c r="L122" s="20">
        <f>K122*'Расходы на доставку'!$B$18</f>
        <v/>
      </c>
      <c r="M122" s="21" t="n">
        <v>2000</v>
      </c>
      <c r="N122" s="20">
        <f>IF(M122="","",M122+L122)</f>
        <v/>
      </c>
      <c r="O122" s="22">
        <f>IFERROR(L122/N122,"")</f>
        <v/>
      </c>
      <c r="P122" s="21" t="n"/>
      <c r="Q122" s="22">
        <f>IFERROR(P122/N122-1,"")</f>
        <v/>
      </c>
      <c r="R122" s="17" t="n"/>
      <c r="S122" s="23" t="n"/>
    </row>
    <row r="123">
      <c r="A123" s="15" t="n">
        <v>119</v>
      </c>
      <c r="B123" s="15" t="inlineStr">
        <is>
          <t>Контейнер 1</t>
        </is>
      </c>
      <c r="C123" s="15" t="inlineStr">
        <is>
          <t>клапан штуцерный</t>
        </is>
      </c>
      <c r="D123" s="15" t="inlineStr">
        <is>
          <t>Ду10</t>
        </is>
      </c>
      <c r="E123" s="16" t="inlineStr">
        <is>
          <t>Клапан штуцерный проходной Ду 10 Ру100</t>
        </is>
      </c>
      <c r="F123" s="15" t="inlineStr"/>
      <c r="G123" s="17" t="n"/>
      <c r="H123" s="15" t="n">
        <v>1</v>
      </c>
      <c r="I123" s="17" t="n"/>
      <c r="J123" s="18">
        <f>IF(I123="","",I123-H123)</f>
        <v/>
      </c>
      <c r="K123" s="19" t="n">
        <v>0.6</v>
      </c>
      <c r="L123" s="20">
        <f>K123*'Расходы на доставку'!$B$18</f>
        <v/>
      </c>
      <c r="M123" s="21" t="n">
        <v>2000</v>
      </c>
      <c r="N123" s="20">
        <f>IF(M123="","",M123+L123)</f>
        <v/>
      </c>
      <c r="O123" s="22">
        <f>IFERROR(L123/N123,"")</f>
        <v/>
      </c>
      <c r="P123" s="21" t="n"/>
      <c r="Q123" s="22">
        <f>IFERROR(P123/N123-1,"")</f>
        <v/>
      </c>
      <c r="R123" s="17" t="n"/>
      <c r="S123" s="23" t="n"/>
    </row>
    <row r="124">
      <c r="A124" s="15" t="n">
        <v>120</v>
      </c>
      <c r="B124" s="15" t="inlineStr">
        <is>
          <t>Контейнер 1</t>
        </is>
      </c>
      <c r="C124" s="15" t="inlineStr">
        <is>
          <t>клапан штуцерный</t>
        </is>
      </c>
      <c r="D124" s="15" t="inlineStr">
        <is>
          <t>Ду10</t>
        </is>
      </c>
      <c r="E124" s="16" t="inlineStr">
        <is>
          <t>Клапан штуцерный проходной Ду 10 Ру100</t>
        </is>
      </c>
      <c r="F124" s="15" t="inlineStr"/>
      <c r="G124" s="17" t="n"/>
      <c r="H124" s="15" t="n">
        <v>2</v>
      </c>
      <c r="I124" s="17" t="n"/>
      <c r="J124" s="18">
        <f>IF(I124="","",I124-H124)</f>
        <v/>
      </c>
      <c r="K124" s="19" t="n">
        <v>0.6</v>
      </c>
      <c r="L124" s="20">
        <f>K124*'Расходы на доставку'!$B$18</f>
        <v/>
      </c>
      <c r="M124" s="21" t="n">
        <v>2000</v>
      </c>
      <c r="N124" s="20">
        <f>IF(M124="","",M124+L124)</f>
        <v/>
      </c>
      <c r="O124" s="22">
        <f>IFERROR(L124/N124,"")</f>
        <v/>
      </c>
      <c r="P124" s="21" t="n"/>
      <c r="Q124" s="22">
        <f>IFERROR(P124/N124-1,"")</f>
        <v/>
      </c>
      <c r="R124" s="17" t="n"/>
      <c r="S124" s="23" t="n"/>
    </row>
    <row r="125">
      <c r="A125" s="15" t="n">
        <v>121</v>
      </c>
      <c r="B125" s="15" t="inlineStr">
        <is>
          <t>Контейнер 1</t>
        </is>
      </c>
      <c r="C125" s="15" t="inlineStr">
        <is>
          <t>клапан штуцерный</t>
        </is>
      </c>
      <c r="D125" s="15" t="inlineStr">
        <is>
          <t>Ду10</t>
        </is>
      </c>
      <c r="E125" s="16" t="inlineStr">
        <is>
          <t>Клапан штуцерный проходной Ду 10 Ру100</t>
        </is>
      </c>
      <c r="F125" s="15" t="inlineStr"/>
      <c r="G125" s="17" t="n"/>
      <c r="H125" s="15" t="n">
        <v>1</v>
      </c>
      <c r="I125" s="17" t="n"/>
      <c r="J125" s="18">
        <f>IF(I125="","",I125-H125)</f>
        <v/>
      </c>
      <c r="K125" s="19" t="n">
        <v>0.6</v>
      </c>
      <c r="L125" s="20">
        <f>K125*'Расходы на доставку'!$B$18</f>
        <v/>
      </c>
      <c r="M125" s="21" t="n">
        <v>2000</v>
      </c>
      <c r="N125" s="20">
        <f>IF(M125="","",M125+L125)</f>
        <v/>
      </c>
      <c r="O125" s="22">
        <f>IFERROR(L125/N125,"")</f>
        <v/>
      </c>
      <c r="P125" s="21" t="n"/>
      <c r="Q125" s="22">
        <f>IFERROR(P125/N125-1,"")</f>
        <v/>
      </c>
      <c r="R125" s="17" t="n"/>
      <c r="S125" s="23" t="n"/>
    </row>
    <row r="126">
      <c r="A126" s="15" t="n">
        <v>122</v>
      </c>
      <c r="B126" s="15" t="inlineStr">
        <is>
          <t>Контейнер 1</t>
        </is>
      </c>
      <c r="C126" s="15" t="inlineStr">
        <is>
          <t>клапан штуцерный</t>
        </is>
      </c>
      <c r="D126" s="15" t="inlineStr">
        <is>
          <t>Ду10</t>
        </is>
      </c>
      <c r="E126" s="16" t="inlineStr">
        <is>
          <t>Клапан штуцерный проходной Ду 10</t>
        </is>
      </c>
      <c r="F126" s="15" t="inlineStr"/>
      <c r="G126" s="17" t="n"/>
      <c r="H126" s="15" t="n">
        <v>4</v>
      </c>
      <c r="I126" s="17" t="n"/>
      <c r="J126" s="18">
        <f>IF(I126="","",I126-H126)</f>
        <v/>
      </c>
      <c r="K126" s="19" t="n">
        <v>0.6</v>
      </c>
      <c r="L126" s="20">
        <f>K126*'Расходы на доставку'!$B$18</f>
        <v/>
      </c>
      <c r="M126" s="21" t="n">
        <v>2000</v>
      </c>
      <c r="N126" s="20">
        <f>IF(M126="","",M126+L126)</f>
        <v/>
      </c>
      <c r="O126" s="22">
        <f>IFERROR(L126/N126,"")</f>
        <v/>
      </c>
      <c r="P126" s="21" t="n"/>
      <c r="Q126" s="22">
        <f>IFERROR(P126/N126-1,"")</f>
        <v/>
      </c>
      <c r="R126" s="17" t="n"/>
      <c r="S126" s="23" t="n"/>
    </row>
    <row r="127">
      <c r="A127" s="15" t="n">
        <v>123</v>
      </c>
      <c r="B127" s="15" t="inlineStr">
        <is>
          <t>Контейнер 1</t>
        </is>
      </c>
      <c r="C127" s="15" t="inlineStr">
        <is>
          <t>клапан штуцерный</t>
        </is>
      </c>
      <c r="D127" s="15" t="inlineStr">
        <is>
          <t>Ду10</t>
        </is>
      </c>
      <c r="E127" s="16" t="inlineStr">
        <is>
          <t>Клапан штуцерный проходной Ду 10 Ру25 СТАЛЬ</t>
        </is>
      </c>
      <c r="F127" s="15" t="inlineStr">
        <is>
          <t>сталь</t>
        </is>
      </c>
      <c r="G127" s="17" t="n"/>
      <c r="H127" s="15" t="n">
        <v>1</v>
      </c>
      <c r="I127" s="17" t="n"/>
      <c r="J127" s="18">
        <f>IF(I127="","",I127-H127)</f>
        <v/>
      </c>
      <c r="K127" s="19" t="n">
        <v>0.6</v>
      </c>
      <c r="L127" s="20">
        <f>K127*'Расходы на доставку'!$B$18</f>
        <v/>
      </c>
      <c r="M127" s="21" t="n">
        <v>2000</v>
      </c>
      <c r="N127" s="20">
        <f>IF(M127="","",M127+L127)</f>
        <v/>
      </c>
      <c r="O127" s="22">
        <f>IFERROR(L127/N127,"")</f>
        <v/>
      </c>
      <c r="P127" s="21" t="n"/>
      <c r="Q127" s="22">
        <f>IFERROR(P127/N127-1,"")</f>
        <v/>
      </c>
      <c r="R127" s="17" t="n"/>
      <c r="S127" s="23" t="n"/>
    </row>
    <row r="128">
      <c r="A128" s="15" t="n">
        <v>124</v>
      </c>
      <c r="B128" s="15" t="inlineStr">
        <is>
          <t>Контейнер 1</t>
        </is>
      </c>
      <c r="C128" s="15" t="inlineStr">
        <is>
          <t>клапан штуцерный</t>
        </is>
      </c>
      <c r="D128" s="15" t="inlineStr">
        <is>
          <t>Ду10</t>
        </is>
      </c>
      <c r="E128" s="16" t="inlineStr">
        <is>
          <t>Клапан штуцерный проходной Ду 10 Ру63 СТАЛЬ</t>
        </is>
      </c>
      <c r="F128" s="15" t="inlineStr">
        <is>
          <t>сталь</t>
        </is>
      </c>
      <c r="G128" s="17" t="n"/>
      <c r="H128" s="15" t="n">
        <v>1</v>
      </c>
      <c r="I128" s="17" t="n"/>
      <c r="J128" s="18">
        <f>IF(I128="","",I128-H128)</f>
        <v/>
      </c>
      <c r="K128" s="19" t="n">
        <v>0.6</v>
      </c>
      <c r="L128" s="20">
        <f>K128*'Расходы на доставку'!$B$18</f>
        <v/>
      </c>
      <c r="M128" s="21" t="n">
        <v>2000</v>
      </c>
      <c r="N128" s="20">
        <f>IF(M128="","",M128+L128)</f>
        <v/>
      </c>
      <c r="O128" s="22">
        <f>IFERROR(L128/N128,"")</f>
        <v/>
      </c>
      <c r="P128" s="21" t="n"/>
      <c r="Q128" s="22">
        <f>IFERROR(P128/N128-1,"")</f>
        <v/>
      </c>
      <c r="R128" s="17" t="n"/>
      <c r="S128" s="23" t="n"/>
    </row>
    <row r="129">
      <c r="A129" s="15" t="n">
        <v>125</v>
      </c>
      <c r="B129" s="15" t="inlineStr">
        <is>
          <t>Контейнер 1</t>
        </is>
      </c>
      <c r="C129" s="15" t="inlineStr">
        <is>
          <t>клапан штуцерный</t>
        </is>
      </c>
      <c r="D129" s="15" t="inlineStr">
        <is>
          <t>Ду20</t>
        </is>
      </c>
      <c r="E129" s="16" t="inlineStr">
        <is>
          <t>Клапан невозв-запор.цапковый угловой под дюрит Ду20Ру6</t>
        </is>
      </c>
      <c r="F129" s="15" t="inlineStr"/>
      <c r="G129" s="17" t="n"/>
      <c r="H129" s="15" t="n">
        <v>2</v>
      </c>
      <c r="I129" s="17" t="n"/>
      <c r="J129" s="18">
        <f>IF(I129="","",I129-H129)</f>
        <v/>
      </c>
      <c r="K129" s="19" t="n">
        <v>1.5</v>
      </c>
      <c r="L129" s="20">
        <f>K129*'Расходы на доставку'!$B$18</f>
        <v/>
      </c>
      <c r="M129" s="21" t="n">
        <v>4800</v>
      </c>
      <c r="N129" s="20">
        <f>IF(M129="","",M129+L129)</f>
        <v/>
      </c>
      <c r="O129" s="22">
        <f>IFERROR(L129/N129,"")</f>
        <v/>
      </c>
      <c r="P129" s="21" t="n"/>
      <c r="Q129" s="22">
        <f>IFERROR(P129/N129-1,"")</f>
        <v/>
      </c>
      <c r="R129" s="17" t="n"/>
      <c r="S129" s="23" t="n"/>
    </row>
    <row r="130">
      <c r="A130" s="15" t="n">
        <v>126</v>
      </c>
      <c r="B130" s="15" t="inlineStr">
        <is>
          <t>Контейнер 1</t>
        </is>
      </c>
      <c r="C130" s="15" t="inlineStr">
        <is>
          <t>фильтр забортной воды</t>
        </is>
      </c>
      <c r="D130" s="15" t="inlineStr">
        <is>
          <t>Ду100</t>
        </is>
      </c>
      <c r="E130" s="16" t="inlineStr">
        <is>
          <t>Фильтр фланц.прох. забортной воды Ду100 Ру4</t>
        </is>
      </c>
      <c r="F130" s="15" t="inlineStr"/>
      <c r="G130" s="17" t="n"/>
      <c r="H130" s="15" t="n">
        <v>3</v>
      </c>
      <c r="I130" s="17" t="n"/>
      <c r="J130" s="18">
        <f>IF(I130="","",I130-H130)</f>
        <v/>
      </c>
      <c r="K130" s="19" t="n">
        <v>40</v>
      </c>
      <c r="L130" s="20">
        <f>K130*'Расходы на доставку'!$B$18</f>
        <v/>
      </c>
      <c r="M130" s="21" t="n">
        <v>120000</v>
      </c>
      <c r="N130" s="20">
        <f>IF(M130="","",M130+L130)</f>
        <v/>
      </c>
      <c r="O130" s="22">
        <f>IFERROR(L130/N130,"")</f>
        <v/>
      </c>
      <c r="P130" s="21" t="n"/>
      <c r="Q130" s="22">
        <f>IFERROR(P130/N130-1,"")</f>
        <v/>
      </c>
      <c r="R130" s="17" t="n"/>
      <c r="S130" s="23" t="n"/>
    </row>
    <row r="131">
      <c r="A131" s="15" t="n">
        <v>127</v>
      </c>
      <c r="B131" s="15" t="inlineStr">
        <is>
          <t>Контейнер 1</t>
        </is>
      </c>
      <c r="C131" s="15" t="inlineStr">
        <is>
          <t>фильтр забортной воды</t>
        </is>
      </c>
      <c r="D131" s="15" t="inlineStr">
        <is>
          <t>Ду100</t>
        </is>
      </c>
      <c r="E131" s="16" t="inlineStr">
        <is>
          <t>Фильтр забортной воды Ду 100</t>
        </is>
      </c>
      <c r="F131" s="15" t="inlineStr"/>
      <c r="G131" s="17" t="n"/>
      <c r="H131" s="15" t="n">
        <v>1</v>
      </c>
      <c r="I131" s="17" t="n"/>
      <c r="J131" s="18">
        <f>IF(I131="","",I131-H131)</f>
        <v/>
      </c>
      <c r="K131" s="19" t="n">
        <v>40</v>
      </c>
      <c r="L131" s="20">
        <f>K131*'Расходы на доставку'!$B$18</f>
        <v/>
      </c>
      <c r="M131" s="21" t="n">
        <v>120000</v>
      </c>
      <c r="N131" s="20">
        <f>IF(M131="","",M131+L131)</f>
        <v/>
      </c>
      <c r="O131" s="22">
        <f>IFERROR(L131/N131,"")</f>
        <v/>
      </c>
      <c r="P131" s="21" t="n"/>
      <c r="Q131" s="22">
        <f>IFERROR(P131/N131-1,"")</f>
        <v/>
      </c>
      <c r="R131" s="17" t="n"/>
      <c r="S131" s="23" t="n"/>
    </row>
    <row r="132">
      <c r="A132" s="15" t="n">
        <v>128</v>
      </c>
      <c r="B132" s="15" t="inlineStr">
        <is>
          <t>Контейнер 1</t>
        </is>
      </c>
      <c r="C132" s="15" t="inlineStr">
        <is>
          <t>клапан штуцерный</t>
        </is>
      </c>
      <c r="D132" s="15" t="inlineStr">
        <is>
          <t>Ду25</t>
        </is>
      </c>
      <c r="E132" s="16" t="inlineStr">
        <is>
          <t>Клапан штуцерный угловой Ду25</t>
        </is>
      </c>
      <c r="F132" s="15" t="inlineStr"/>
      <c r="G132" s="17" t="n"/>
      <c r="H132" s="15" t="n">
        <v>1</v>
      </c>
      <c r="I132" s="17" t="n"/>
      <c r="J132" s="18">
        <f>IF(I132="","",I132-H132)</f>
        <v/>
      </c>
      <c r="K132" s="19" t="n">
        <v>2.5</v>
      </c>
      <c r="L132" s="20">
        <f>K132*'Расходы на доставку'!$B$18</f>
        <v/>
      </c>
      <c r="M132" s="21" t="n">
        <v>7500</v>
      </c>
      <c r="N132" s="20">
        <f>IF(M132="","",M132+L132)</f>
        <v/>
      </c>
      <c r="O132" s="22">
        <f>IFERROR(L132/N132,"")</f>
        <v/>
      </c>
      <c r="P132" s="21" t="n"/>
      <c r="Q132" s="22">
        <f>IFERROR(P132/N132-1,"")</f>
        <v/>
      </c>
      <c r="R132" s="17" t="n"/>
      <c r="S132" s="23" t="n"/>
    </row>
    <row r="133">
      <c r="A133" s="15" t="n">
        <v>129</v>
      </c>
      <c r="B133" s="15" t="inlineStr">
        <is>
          <t>Контейнер 1</t>
        </is>
      </c>
      <c r="C133" s="15" t="inlineStr">
        <is>
          <t>клапан штуцерный</t>
        </is>
      </c>
      <c r="D133" s="15" t="inlineStr">
        <is>
          <t>Ду25</t>
        </is>
      </c>
      <c r="E133" s="16" t="inlineStr">
        <is>
          <t>Клапан штуцерный угловой Ду25</t>
        </is>
      </c>
      <c r="F133" s="15" t="inlineStr"/>
      <c r="G133" s="17" t="n"/>
      <c r="H133" s="15" t="n">
        <v>1</v>
      </c>
      <c r="I133" s="17" t="n"/>
      <c r="J133" s="18">
        <f>IF(I133="","",I133-H133)</f>
        <v/>
      </c>
      <c r="K133" s="19" t="n">
        <v>2.5</v>
      </c>
      <c r="L133" s="20">
        <f>K133*'Расходы на доставку'!$B$18</f>
        <v/>
      </c>
      <c r="M133" s="21" t="n">
        <v>7500</v>
      </c>
      <c r="N133" s="20">
        <f>IF(M133="","",M133+L133)</f>
        <v/>
      </c>
      <c r="O133" s="22">
        <f>IFERROR(L133/N133,"")</f>
        <v/>
      </c>
      <c r="P133" s="21" t="n"/>
      <c r="Q133" s="22">
        <f>IFERROR(P133/N133-1,"")</f>
        <v/>
      </c>
      <c r="R133" s="17" t="n"/>
      <c r="S133" s="23" t="n"/>
    </row>
    <row r="134">
      <c r="A134" s="15" t="n">
        <v>130</v>
      </c>
      <c r="B134" s="15" t="inlineStr">
        <is>
          <t>Контейнер 1</t>
        </is>
      </c>
      <c r="C134" s="15" t="inlineStr">
        <is>
          <t>клапан штуцерный</t>
        </is>
      </c>
      <c r="D134" s="15" t="inlineStr">
        <is>
          <t>Ду25</t>
        </is>
      </c>
      <c r="E134" s="16" t="inlineStr">
        <is>
          <t>Клапан штуцерный угловой Ду25</t>
        </is>
      </c>
      <c r="F134" s="15" t="inlineStr"/>
      <c r="G134" s="17" t="n"/>
      <c r="H134" s="15" t="n">
        <v>6</v>
      </c>
      <c r="I134" s="17" t="n"/>
      <c r="J134" s="18">
        <f>IF(I134="","",I134-H134)</f>
        <v/>
      </c>
      <c r="K134" s="19" t="n">
        <v>2.5</v>
      </c>
      <c r="L134" s="20">
        <f>K134*'Расходы на доставку'!$B$18</f>
        <v/>
      </c>
      <c r="M134" s="21" t="n">
        <v>7500</v>
      </c>
      <c r="N134" s="20">
        <f>IF(M134="","",M134+L134)</f>
        <v/>
      </c>
      <c r="O134" s="22">
        <f>IFERROR(L134/N134,"")</f>
        <v/>
      </c>
      <c r="P134" s="21" t="n"/>
      <c r="Q134" s="22">
        <f>IFERROR(P134/N134-1,"")</f>
        <v/>
      </c>
      <c r="R134" s="17" t="n"/>
      <c r="S134" s="23" t="n"/>
    </row>
    <row r="135">
      <c r="A135" s="15" t="n">
        <v>131</v>
      </c>
      <c r="B135" s="15" t="inlineStr">
        <is>
          <t>Контейнер 1</t>
        </is>
      </c>
      <c r="C135" s="15" t="inlineStr">
        <is>
          <t>клапан штуцерный</t>
        </is>
      </c>
      <c r="D135" s="15" t="inlineStr"/>
      <c r="E135" s="16" t="inlineStr">
        <is>
          <t>Клапан для манометра штуцерный сальниковый</t>
        </is>
      </c>
      <c r="F135" s="15" t="inlineStr"/>
      <c r="G135" s="17" t="n"/>
      <c r="H135" s="15" t="n">
        <v>18</v>
      </c>
      <c r="I135" s="17" t="n"/>
      <c r="J135" s="18">
        <f>IF(I135="","",I135-H135)</f>
        <v/>
      </c>
      <c r="K135" s="19" t="n">
        <v>2</v>
      </c>
      <c r="L135" s="20">
        <f>K135*'Расходы на доставку'!$B$18</f>
        <v/>
      </c>
      <c r="M135" s="21" t="n">
        <v>6000</v>
      </c>
      <c r="N135" s="20">
        <f>IF(M135="","",M135+L135)</f>
        <v/>
      </c>
      <c r="O135" s="22">
        <f>IFERROR(L135/N135,"")</f>
        <v/>
      </c>
      <c r="P135" s="21" t="n"/>
      <c r="Q135" s="22">
        <f>IFERROR(P135/N135-1,"")</f>
        <v/>
      </c>
      <c r="R135" s="17" t="n"/>
      <c r="S135" s="23" t="n"/>
    </row>
    <row r="136">
      <c r="A136" s="15" t="n">
        <v>132</v>
      </c>
      <c r="B136" s="15" t="inlineStr">
        <is>
          <t>Контейнер 1</t>
        </is>
      </c>
      <c r="C136" s="15" t="inlineStr">
        <is>
          <t>клапан штуцерный</t>
        </is>
      </c>
      <c r="D136" s="15" t="inlineStr">
        <is>
          <t>Ду20</t>
        </is>
      </c>
      <c r="E136" s="16" t="inlineStr">
        <is>
          <t>Клапан штуцерный угловой Ду20 ру 40</t>
        </is>
      </c>
      <c r="F136" s="15" t="inlineStr"/>
      <c r="G136" s="17" t="n"/>
      <c r="H136" s="15" t="n">
        <v>1</v>
      </c>
      <c r="I136" s="17" t="n"/>
      <c r="J136" s="18">
        <f>IF(I136="","",I136-H136)</f>
        <v/>
      </c>
      <c r="K136" s="19" t="n">
        <v>1.5</v>
      </c>
      <c r="L136" s="20">
        <f>K136*'Расходы на доставку'!$B$18</f>
        <v/>
      </c>
      <c r="M136" s="21" t="n">
        <v>4500</v>
      </c>
      <c r="N136" s="20">
        <f>IF(M136="","",M136+L136)</f>
        <v/>
      </c>
      <c r="O136" s="22">
        <f>IFERROR(L136/N136,"")</f>
        <v/>
      </c>
      <c r="P136" s="21" t="n"/>
      <c r="Q136" s="22">
        <f>IFERROR(P136/N136-1,"")</f>
        <v/>
      </c>
      <c r="R136" s="17" t="n"/>
      <c r="S136" s="23" t="n"/>
    </row>
    <row r="137">
      <c r="A137" s="15" t="n">
        <v>133</v>
      </c>
      <c r="B137" s="15" t="inlineStr">
        <is>
          <t>Контейнер 1</t>
        </is>
      </c>
      <c r="C137" s="15" t="inlineStr">
        <is>
          <t>клапан штуцерный</t>
        </is>
      </c>
      <c r="D137" s="15" t="inlineStr">
        <is>
          <t>Ду20</t>
        </is>
      </c>
      <c r="E137" s="16" t="inlineStr">
        <is>
          <t>Клапан штуцерный угловой Ду20 ру 40</t>
        </is>
      </c>
      <c r="F137" s="15" t="inlineStr"/>
      <c r="G137" s="17" t="n"/>
      <c r="H137" s="15" t="n">
        <v>2</v>
      </c>
      <c r="I137" s="17" t="n"/>
      <c r="J137" s="18">
        <f>IF(I137="","",I137-H137)</f>
        <v/>
      </c>
      <c r="K137" s="19" t="n">
        <v>1.5</v>
      </c>
      <c r="L137" s="20">
        <f>K137*'Расходы на доставку'!$B$18</f>
        <v/>
      </c>
      <c r="M137" s="21" t="n">
        <v>4500</v>
      </c>
      <c r="N137" s="20">
        <f>IF(M137="","",M137+L137)</f>
        <v/>
      </c>
      <c r="O137" s="22">
        <f>IFERROR(L137/N137,"")</f>
        <v/>
      </c>
      <c r="P137" s="21" t="n"/>
      <c r="Q137" s="22">
        <f>IFERROR(P137/N137-1,"")</f>
        <v/>
      </c>
      <c r="R137" s="17" t="n"/>
      <c r="S137" s="23" t="n"/>
    </row>
    <row r="138">
      <c r="A138" s="15" t="n">
        <v>134</v>
      </c>
      <c r="B138" s="15" t="inlineStr">
        <is>
          <t>Контейнер 1</t>
        </is>
      </c>
      <c r="C138" s="15" t="inlineStr">
        <is>
          <t>клапан штуцерный</t>
        </is>
      </c>
      <c r="D138" s="15" t="inlineStr">
        <is>
          <t>Ду20</t>
        </is>
      </c>
      <c r="E138" s="16" t="inlineStr">
        <is>
          <t>Клапан штуцерный угловой Ду20 ру 40</t>
        </is>
      </c>
      <c r="F138" s="15" t="inlineStr"/>
      <c r="G138" s="17" t="n"/>
      <c r="H138" s="15" t="n">
        <v>1</v>
      </c>
      <c r="I138" s="17" t="n"/>
      <c r="J138" s="18">
        <f>IF(I138="","",I138-H138)</f>
        <v/>
      </c>
      <c r="K138" s="19" t="n">
        <v>1.5</v>
      </c>
      <c r="L138" s="20">
        <f>K138*'Расходы на доставку'!$B$18</f>
        <v/>
      </c>
      <c r="M138" s="21" t="n">
        <v>4500</v>
      </c>
      <c r="N138" s="20">
        <f>IF(M138="","",M138+L138)</f>
        <v/>
      </c>
      <c r="O138" s="22">
        <f>IFERROR(L138/N138,"")</f>
        <v/>
      </c>
      <c r="P138" s="21" t="n"/>
      <c r="Q138" s="22">
        <f>IFERROR(P138/N138-1,"")</f>
        <v/>
      </c>
      <c r="R138" s="17" t="n"/>
      <c r="S138" s="23" t="n"/>
    </row>
    <row r="139">
      <c r="A139" s="15" t="n">
        <v>135</v>
      </c>
      <c r="B139" s="15" t="inlineStr">
        <is>
          <t>Контейнер 1</t>
        </is>
      </c>
      <c r="C139" s="15" t="inlineStr">
        <is>
          <t>клапан штуцерный</t>
        </is>
      </c>
      <c r="D139" s="15" t="inlineStr">
        <is>
          <t>Ду20</t>
        </is>
      </c>
      <c r="E139" s="16" t="inlineStr">
        <is>
          <t>Клапан штуцерный угловой Ду20 Ру160</t>
        </is>
      </c>
      <c r="F139" s="15" t="inlineStr"/>
      <c r="G139" s="17" t="n"/>
      <c r="H139" s="15" t="n">
        <v>3</v>
      </c>
      <c r="I139" s="17" t="n"/>
      <c r="J139" s="18">
        <f>IF(I139="","",I139-H139)</f>
        <v/>
      </c>
      <c r="K139" s="19" t="n">
        <v>1.5</v>
      </c>
      <c r="L139" s="20">
        <f>K139*'Расходы на доставку'!$B$18</f>
        <v/>
      </c>
      <c r="M139" s="21" t="n">
        <v>4500</v>
      </c>
      <c r="N139" s="20">
        <f>IF(M139="","",M139+L139)</f>
        <v/>
      </c>
      <c r="O139" s="22">
        <f>IFERROR(L139/N139,"")</f>
        <v/>
      </c>
      <c r="P139" s="21" t="n"/>
      <c r="Q139" s="22">
        <f>IFERROR(P139/N139-1,"")</f>
        <v/>
      </c>
      <c r="R139" s="17" t="n"/>
      <c r="S139" s="23" t="n"/>
    </row>
    <row r="140">
      <c r="A140" s="15" t="n">
        <v>136</v>
      </c>
      <c r="B140" s="15" t="inlineStr">
        <is>
          <t>Контейнер 1</t>
        </is>
      </c>
      <c r="C140" s="15" t="inlineStr">
        <is>
          <t>клапан штуцерный</t>
        </is>
      </c>
      <c r="D140" s="15" t="inlineStr">
        <is>
          <t>Ду25</t>
        </is>
      </c>
      <c r="E140" s="16" t="inlineStr">
        <is>
          <t>Клапан штуцерный угловой Ду25 Ру100</t>
        </is>
      </c>
      <c r="F140" s="15" t="inlineStr"/>
      <c r="G140" s="17" t="n"/>
      <c r="H140" s="15" t="n">
        <v>8</v>
      </c>
      <c r="I140" s="17" t="n"/>
      <c r="J140" s="18">
        <f>IF(I140="","",I140-H140)</f>
        <v/>
      </c>
      <c r="K140" s="19" t="n">
        <v>2.5</v>
      </c>
      <c r="L140" s="20">
        <f>K140*'Расходы на доставку'!$B$18</f>
        <v/>
      </c>
      <c r="M140" s="21" t="n">
        <v>7500</v>
      </c>
      <c r="N140" s="20">
        <f>IF(M140="","",M140+L140)</f>
        <v/>
      </c>
      <c r="O140" s="22">
        <f>IFERROR(L140/N140,"")</f>
        <v/>
      </c>
      <c r="P140" s="21" t="n"/>
      <c r="Q140" s="22">
        <f>IFERROR(P140/N140-1,"")</f>
        <v/>
      </c>
      <c r="R140" s="17" t="n"/>
      <c r="S140" s="23" t="n"/>
    </row>
    <row r="141">
      <c r="A141" s="15" t="n">
        <v>137</v>
      </c>
      <c r="B141" s="15" t="inlineStr">
        <is>
          <t>Контейнер 1</t>
        </is>
      </c>
      <c r="C141" s="15" t="inlineStr">
        <is>
          <t>клапан штуцерный</t>
        </is>
      </c>
      <c r="D141" s="15" t="inlineStr">
        <is>
          <t>Ду25</t>
        </is>
      </c>
      <c r="E141" s="16" t="inlineStr">
        <is>
          <t>Клапан штуцерный угловой Ду25 Ру100</t>
        </is>
      </c>
      <c r="F141" s="15" t="inlineStr"/>
      <c r="G141" s="17" t="n"/>
      <c r="H141" s="15" t="n">
        <v>1</v>
      </c>
      <c r="I141" s="17" t="n"/>
      <c r="J141" s="18">
        <f>IF(I141="","",I141-H141)</f>
        <v/>
      </c>
      <c r="K141" s="19" t="n">
        <v>2.5</v>
      </c>
      <c r="L141" s="20">
        <f>K141*'Расходы на доставку'!$B$18</f>
        <v/>
      </c>
      <c r="M141" s="21" t="n">
        <v>7500</v>
      </c>
      <c r="N141" s="20">
        <f>IF(M141="","",M141+L141)</f>
        <v/>
      </c>
      <c r="O141" s="22">
        <f>IFERROR(L141/N141,"")</f>
        <v/>
      </c>
      <c r="P141" s="21" t="n"/>
      <c r="Q141" s="22">
        <f>IFERROR(P141/N141-1,"")</f>
        <v/>
      </c>
      <c r="R141" s="17" t="n"/>
      <c r="S141" s="23" t="n"/>
    </row>
    <row r="142">
      <c r="A142" s="15" t="n">
        <v>138</v>
      </c>
      <c r="B142" s="15" t="inlineStr">
        <is>
          <t>Контейнер 1</t>
        </is>
      </c>
      <c r="C142" s="15" t="inlineStr">
        <is>
          <t>клапан штуцерный</t>
        </is>
      </c>
      <c r="D142" s="15" t="inlineStr">
        <is>
          <t>Ду25</t>
        </is>
      </c>
      <c r="E142" s="16" t="inlineStr">
        <is>
          <t>Клапан штуцерный угловой Ду25 Ру100</t>
        </is>
      </c>
      <c r="F142" s="15" t="inlineStr"/>
      <c r="G142" s="17" t="n"/>
      <c r="H142" s="15" t="n">
        <v>2</v>
      </c>
      <c r="I142" s="17" t="n"/>
      <c r="J142" s="18">
        <f>IF(I142="","",I142-H142)</f>
        <v/>
      </c>
      <c r="K142" s="19" t="n">
        <v>2.5</v>
      </c>
      <c r="L142" s="20">
        <f>K142*'Расходы на доставку'!$B$18</f>
        <v/>
      </c>
      <c r="M142" s="21" t="n">
        <v>7500</v>
      </c>
      <c r="N142" s="20">
        <f>IF(M142="","",M142+L142)</f>
        <v/>
      </c>
      <c r="O142" s="22">
        <f>IFERROR(L142/N142,"")</f>
        <v/>
      </c>
      <c r="P142" s="21" t="n"/>
      <c r="Q142" s="22">
        <f>IFERROR(P142/N142-1,"")</f>
        <v/>
      </c>
      <c r="R142" s="17" t="n"/>
      <c r="S142" s="23" t="n"/>
    </row>
    <row r="143">
      <c r="A143" s="15" t="n">
        <v>139</v>
      </c>
      <c r="B143" s="15" t="inlineStr">
        <is>
          <t>Контейнер 1</t>
        </is>
      </c>
      <c r="C143" s="15" t="inlineStr">
        <is>
          <t>клапан штуцерный</t>
        </is>
      </c>
      <c r="D143" s="15" t="inlineStr">
        <is>
          <t>Ду32</t>
        </is>
      </c>
      <c r="E143" s="16" t="inlineStr">
        <is>
          <t>Клапан штуцерный угловой Ду32Ру100 (Яшик мет.)</t>
        </is>
      </c>
      <c r="F143" s="15" t="inlineStr"/>
      <c r="G143" s="17" t="n"/>
      <c r="H143" s="15" t="n">
        <v>31</v>
      </c>
      <c r="I143" s="17" t="n"/>
      <c r="J143" s="18">
        <f>IF(I143="","",I143-H143)</f>
        <v/>
      </c>
      <c r="K143" s="19" t="n">
        <v>3.5</v>
      </c>
      <c r="L143" s="20">
        <f>K143*'Расходы на доставку'!$B$18</f>
        <v/>
      </c>
      <c r="M143" s="21" t="n">
        <v>9600</v>
      </c>
      <c r="N143" s="20">
        <f>IF(M143="","",M143+L143)</f>
        <v/>
      </c>
      <c r="O143" s="22">
        <f>IFERROR(L143/N143,"")</f>
        <v/>
      </c>
      <c r="P143" s="21" t="n"/>
      <c r="Q143" s="22">
        <f>IFERROR(P143/N143-1,"")</f>
        <v/>
      </c>
      <c r="R143" s="17" t="n"/>
      <c r="S143" s="23" t="n"/>
    </row>
    <row r="144">
      <c r="A144" s="15" t="n">
        <v>140</v>
      </c>
      <c r="B144" s="15" t="inlineStr">
        <is>
          <t>Контейнер 1</t>
        </is>
      </c>
      <c r="C144" s="15" t="inlineStr">
        <is>
          <t>клапан штуцерный</t>
        </is>
      </c>
      <c r="D144" s="15" t="inlineStr">
        <is>
          <t>Ду32</t>
        </is>
      </c>
      <c r="E144" s="16" t="inlineStr">
        <is>
          <t>Клапан штуцерный угловой Ду32Ру100 (Яшик мет.)</t>
        </is>
      </c>
      <c r="F144" s="15" t="inlineStr"/>
      <c r="G144" s="17" t="n"/>
      <c r="H144" s="15" t="n">
        <v>14</v>
      </c>
      <c r="I144" s="17" t="n"/>
      <c r="J144" s="18">
        <f>IF(I144="","",I144-H144)</f>
        <v/>
      </c>
      <c r="K144" s="19" t="n">
        <v>3.5</v>
      </c>
      <c r="L144" s="20">
        <f>K144*'Расходы на доставку'!$B$18</f>
        <v/>
      </c>
      <c r="M144" s="21" t="n">
        <v>9600</v>
      </c>
      <c r="N144" s="20">
        <f>IF(M144="","",M144+L144)</f>
        <v/>
      </c>
      <c r="O144" s="22">
        <f>IFERROR(L144/N144,"")</f>
        <v/>
      </c>
      <c r="P144" s="21" t="n"/>
      <c r="Q144" s="22">
        <f>IFERROR(P144/N144-1,"")</f>
        <v/>
      </c>
      <c r="R144" s="17" t="n"/>
      <c r="S144" s="23" t="n"/>
    </row>
    <row r="145">
      <c r="A145" s="15" t="n">
        <v>141</v>
      </c>
      <c r="B145" s="15" t="inlineStr">
        <is>
          <t>Контейнер 1</t>
        </is>
      </c>
      <c r="C145" s="15" t="inlineStr">
        <is>
          <t>клапан штуцерный</t>
        </is>
      </c>
      <c r="D145" s="15" t="inlineStr">
        <is>
          <t>Ду32</t>
        </is>
      </c>
      <c r="E145" s="16" t="inlineStr">
        <is>
          <t>Клапан штуцерный угловой Ду32Ру100 (Яшик мет.)</t>
        </is>
      </c>
      <c r="F145" s="15" t="inlineStr"/>
      <c r="G145" s="17" t="n"/>
      <c r="H145" s="15" t="n">
        <v>1</v>
      </c>
      <c r="I145" s="17" t="n"/>
      <c r="J145" s="18">
        <f>IF(I145="","",I145-H145)</f>
        <v/>
      </c>
      <c r="K145" s="19" t="n">
        <v>3.5</v>
      </c>
      <c r="L145" s="20">
        <f>K145*'Расходы на доставку'!$B$18</f>
        <v/>
      </c>
      <c r="M145" s="21" t="n">
        <v>9600</v>
      </c>
      <c r="N145" s="20">
        <f>IF(M145="","",M145+L145)</f>
        <v/>
      </c>
      <c r="O145" s="22">
        <f>IFERROR(L145/N145,"")</f>
        <v/>
      </c>
      <c r="P145" s="21" t="n"/>
      <c r="Q145" s="22">
        <f>IFERROR(P145/N145-1,"")</f>
        <v/>
      </c>
      <c r="R145" s="17" t="n"/>
      <c r="S145" s="23" t="n"/>
    </row>
    <row r="146">
      <c r="A146" s="15" t="n">
        <v>142</v>
      </c>
      <c r="B146" s="15" t="inlineStr">
        <is>
          <t>Контейнер 1</t>
        </is>
      </c>
      <c r="C146" s="15" t="inlineStr">
        <is>
          <t>клапан штуцерный</t>
        </is>
      </c>
      <c r="D146" s="15" t="inlineStr">
        <is>
          <t>Ду32</t>
        </is>
      </c>
      <c r="E146" s="16" t="inlineStr">
        <is>
          <t>Клапан штуцерный угловой Ду32Ру100 (Яшик мет.)</t>
        </is>
      </c>
      <c r="F146" s="15" t="inlineStr"/>
      <c r="G146" s="17" t="n"/>
      <c r="H146" s="15" t="n">
        <v>1</v>
      </c>
      <c r="I146" s="17" t="n"/>
      <c r="J146" s="18">
        <f>IF(I146="","",I146-H146)</f>
        <v/>
      </c>
      <c r="K146" s="19" t="n">
        <v>3.5</v>
      </c>
      <c r="L146" s="20">
        <f>K146*'Расходы на доставку'!$B$18</f>
        <v/>
      </c>
      <c r="M146" s="21" t="n">
        <v>9600</v>
      </c>
      <c r="N146" s="20">
        <f>IF(M146="","",M146+L146)</f>
        <v/>
      </c>
      <c r="O146" s="22">
        <f>IFERROR(L146/N146,"")</f>
        <v/>
      </c>
      <c r="P146" s="21" t="n"/>
      <c r="Q146" s="22">
        <f>IFERROR(P146/N146-1,"")</f>
        <v/>
      </c>
      <c r="R146" s="17" t="n"/>
      <c r="S146" s="23" t="n"/>
    </row>
    <row r="147">
      <c r="A147" s="15" t="n">
        <v>143</v>
      </c>
      <c r="B147" s="15" t="inlineStr">
        <is>
          <t>Контейнер 1</t>
        </is>
      </c>
      <c r="C147" s="15" t="inlineStr">
        <is>
          <t>клапан штуцерный</t>
        </is>
      </c>
      <c r="D147" s="15" t="inlineStr">
        <is>
          <t>Ду32</t>
        </is>
      </c>
      <c r="E147" s="16" t="inlineStr">
        <is>
          <t>Клапан штуцерный угловой Ду32</t>
        </is>
      </c>
      <c r="F147" s="15" t="inlineStr"/>
      <c r="G147" s="17" t="n"/>
      <c r="H147" s="15" t="n">
        <v>8</v>
      </c>
      <c r="I147" s="17" t="n"/>
      <c r="J147" s="18">
        <f>IF(I147="","",I147-H147)</f>
        <v/>
      </c>
      <c r="K147" s="19" t="n">
        <v>3.5</v>
      </c>
      <c r="L147" s="20">
        <f>K147*'Расходы на доставку'!$B$18</f>
        <v/>
      </c>
      <c r="M147" s="21" t="n">
        <v>9600</v>
      </c>
      <c r="N147" s="20">
        <f>IF(M147="","",M147+L147)</f>
        <v/>
      </c>
      <c r="O147" s="22">
        <f>IFERROR(L147/N147,"")</f>
        <v/>
      </c>
      <c r="P147" s="21" t="n"/>
      <c r="Q147" s="22">
        <f>IFERROR(P147/N147-1,"")</f>
        <v/>
      </c>
      <c r="R147" s="17" t="n"/>
      <c r="S147" s="23" t="n"/>
    </row>
    <row r="148">
      <c r="A148" s="15" t="n">
        <v>144</v>
      </c>
      <c r="B148" s="15" t="inlineStr">
        <is>
          <t>Контейнер 1</t>
        </is>
      </c>
      <c r="C148" s="15" t="inlineStr">
        <is>
          <t>клапан штуцерный</t>
        </is>
      </c>
      <c r="D148" s="15" t="inlineStr">
        <is>
          <t>Ду32</t>
        </is>
      </c>
      <c r="E148" s="16" t="inlineStr">
        <is>
          <t>Клапан штуцерный угловой Ду32 Ру100</t>
        </is>
      </c>
      <c r="F148" s="15" t="inlineStr"/>
      <c r="G148" s="17" t="n"/>
      <c r="H148" s="15" t="n">
        <v>39</v>
      </c>
      <c r="I148" s="17" t="n"/>
      <c r="J148" s="18">
        <f>IF(I148="","",I148-H148)</f>
        <v/>
      </c>
      <c r="K148" s="19" t="n">
        <v>3.5</v>
      </c>
      <c r="L148" s="20">
        <f>K148*'Расходы на доставку'!$B$18</f>
        <v/>
      </c>
      <c r="M148" s="21" t="n">
        <v>9600</v>
      </c>
      <c r="N148" s="20">
        <f>IF(M148="","",M148+L148)</f>
        <v/>
      </c>
      <c r="O148" s="22">
        <f>IFERROR(L148/N148,"")</f>
        <v/>
      </c>
      <c r="P148" s="21" t="n"/>
      <c r="Q148" s="22">
        <f>IFERROR(P148/N148-1,"")</f>
        <v/>
      </c>
      <c r="R148" s="17" t="n"/>
      <c r="S148" s="23" t="n"/>
    </row>
    <row r="149">
      <c r="A149" s="15" t="n">
        <v>145</v>
      </c>
      <c r="B149" s="15" t="inlineStr">
        <is>
          <t>Контейнер 1</t>
        </is>
      </c>
      <c r="C149" s="15" t="inlineStr">
        <is>
          <t>клапан штуцерный</t>
        </is>
      </c>
      <c r="D149" s="15" t="inlineStr">
        <is>
          <t>Ду32</t>
        </is>
      </c>
      <c r="E149" s="16" t="inlineStr">
        <is>
          <t>Клапан штуцерный угловой Ду32 Ру100</t>
        </is>
      </c>
      <c r="F149" s="15" t="inlineStr"/>
      <c r="G149" s="17" t="n"/>
      <c r="H149" s="15" t="n">
        <v>2</v>
      </c>
      <c r="I149" s="17" t="n"/>
      <c r="J149" s="18">
        <f>IF(I149="","",I149-H149)</f>
        <v/>
      </c>
      <c r="K149" s="19" t="n">
        <v>3.5</v>
      </c>
      <c r="L149" s="20">
        <f>K149*'Расходы на доставку'!$B$18</f>
        <v/>
      </c>
      <c r="M149" s="21" t="n">
        <v>9600</v>
      </c>
      <c r="N149" s="20">
        <f>IF(M149="","",M149+L149)</f>
        <v/>
      </c>
      <c r="O149" s="22">
        <f>IFERROR(L149/N149,"")</f>
        <v/>
      </c>
      <c r="P149" s="21" t="n"/>
      <c r="Q149" s="22">
        <f>IFERROR(P149/N149-1,"")</f>
        <v/>
      </c>
      <c r="R149" s="17" t="n"/>
      <c r="S149" s="23" t="n"/>
    </row>
    <row r="150">
      <c r="A150" s="15" t="n">
        <v>146</v>
      </c>
      <c r="B150" s="15" t="inlineStr">
        <is>
          <t>Контейнер 1</t>
        </is>
      </c>
      <c r="C150" s="15" t="inlineStr">
        <is>
          <t>клапан штуцерный</t>
        </is>
      </c>
      <c r="D150" s="15" t="inlineStr">
        <is>
          <t>Ду32</t>
        </is>
      </c>
      <c r="E150" s="16" t="inlineStr">
        <is>
          <t>Клапан штуцерный угловой Ду32 Ру100</t>
        </is>
      </c>
      <c r="F150" s="15" t="inlineStr"/>
      <c r="G150" s="17" t="n"/>
      <c r="H150" s="15" t="n">
        <v>1</v>
      </c>
      <c r="I150" s="17" t="n"/>
      <c r="J150" s="18">
        <f>IF(I150="","",I150-H150)</f>
        <v/>
      </c>
      <c r="K150" s="19" t="n">
        <v>3.5</v>
      </c>
      <c r="L150" s="20">
        <f>K150*'Расходы на доставку'!$B$18</f>
        <v/>
      </c>
      <c r="M150" s="21" t="n">
        <v>9600</v>
      </c>
      <c r="N150" s="20">
        <f>IF(M150="","",M150+L150)</f>
        <v/>
      </c>
      <c r="O150" s="22">
        <f>IFERROR(L150/N150,"")</f>
        <v/>
      </c>
      <c r="P150" s="21" t="n"/>
      <c r="Q150" s="22">
        <f>IFERROR(P150/N150-1,"")</f>
        <v/>
      </c>
      <c r="R150" s="17" t="n"/>
      <c r="S150" s="23" t="n"/>
    </row>
    <row r="151">
      <c r="A151" s="15" t="n">
        <v>147</v>
      </c>
      <c r="B151" s="15" t="inlineStr">
        <is>
          <t>Контейнер 1</t>
        </is>
      </c>
      <c r="C151" s="15" t="inlineStr">
        <is>
          <t>клапан штуцерный</t>
        </is>
      </c>
      <c r="D151" s="15" t="inlineStr">
        <is>
          <t>Ду32</t>
        </is>
      </c>
      <c r="E151" s="16" t="inlineStr">
        <is>
          <t>Клапан штуцерный угловой Ду32 Ру160</t>
        </is>
      </c>
      <c r="F151" s="15" t="inlineStr"/>
      <c r="G151" s="17" t="n"/>
      <c r="H151" s="15" t="n">
        <v>8</v>
      </c>
      <c r="I151" s="17" t="n"/>
      <c r="J151" s="18">
        <f>IF(I151="","",I151-H151)</f>
        <v/>
      </c>
      <c r="K151" s="19" t="n">
        <v>3.5</v>
      </c>
      <c r="L151" s="20">
        <f>K151*'Расходы на доставку'!$B$18</f>
        <v/>
      </c>
      <c r="M151" s="21" t="n">
        <v>9600</v>
      </c>
      <c r="N151" s="20">
        <f>IF(M151="","",M151+L151)</f>
        <v/>
      </c>
      <c r="O151" s="22">
        <f>IFERROR(L151/N151,"")</f>
        <v/>
      </c>
      <c r="P151" s="21" t="n"/>
      <c r="Q151" s="22">
        <f>IFERROR(P151/N151-1,"")</f>
        <v/>
      </c>
      <c r="R151" s="17" t="n"/>
      <c r="S151" s="23" t="n"/>
    </row>
    <row r="152">
      <c r="A152" s="15" t="n">
        <v>148</v>
      </c>
      <c r="B152" s="15" t="inlineStr">
        <is>
          <t>Контейнер 1</t>
        </is>
      </c>
      <c r="C152" s="15" t="inlineStr">
        <is>
          <t>клапан штуцерный</t>
        </is>
      </c>
      <c r="D152" s="15" t="inlineStr">
        <is>
          <t>Ду32</t>
        </is>
      </c>
      <c r="E152" s="16" t="inlineStr">
        <is>
          <t>Клапан штуцерный угловой Ду32 Ру160</t>
        </is>
      </c>
      <c r="F152" s="15" t="inlineStr"/>
      <c r="G152" s="17" t="n"/>
      <c r="H152" s="15" t="n">
        <v>16</v>
      </c>
      <c r="I152" s="17" t="n"/>
      <c r="J152" s="18">
        <f>IF(I152="","",I152-H152)</f>
        <v/>
      </c>
      <c r="K152" s="19" t="n">
        <v>3.5</v>
      </c>
      <c r="L152" s="20">
        <f>K152*'Расходы на доставку'!$B$18</f>
        <v/>
      </c>
      <c r="M152" s="21" t="n">
        <v>9600</v>
      </c>
      <c r="N152" s="20">
        <f>IF(M152="","",M152+L152)</f>
        <v/>
      </c>
      <c r="O152" s="22">
        <f>IFERROR(L152/N152,"")</f>
        <v/>
      </c>
      <c r="P152" s="21" t="n"/>
      <c r="Q152" s="22">
        <f>IFERROR(P152/N152-1,"")</f>
        <v/>
      </c>
      <c r="R152" s="17" t="n"/>
      <c r="S152" s="23" t="n"/>
    </row>
    <row r="153">
      <c r="A153" s="15" t="n">
        <v>149</v>
      </c>
      <c r="B153" s="15" t="inlineStr">
        <is>
          <t>Контейнер 1</t>
        </is>
      </c>
      <c r="C153" s="15" t="inlineStr">
        <is>
          <t>клапан штуцерный</t>
        </is>
      </c>
      <c r="D153" s="15" t="inlineStr">
        <is>
          <t>Ду20</t>
        </is>
      </c>
      <c r="E153" s="16" t="inlineStr">
        <is>
          <t>Клапан невозвратный штуцерный проходной Ду20 Ру40</t>
        </is>
      </c>
      <c r="F153" s="15" t="inlineStr"/>
      <c r="G153" s="17" t="n"/>
      <c r="H153" s="15" t="n">
        <v>1</v>
      </c>
      <c r="I153" s="17" t="n"/>
      <c r="J153" s="18">
        <f>IF(I153="","",I153-H153)</f>
        <v/>
      </c>
      <c r="K153" s="19" t="n">
        <v>1.5</v>
      </c>
      <c r="L153" s="20">
        <f>K153*'Расходы на доставку'!$B$18</f>
        <v/>
      </c>
      <c r="M153" s="21" t="n">
        <v>4000</v>
      </c>
      <c r="N153" s="20">
        <f>IF(M153="","",M153+L153)</f>
        <v/>
      </c>
      <c r="O153" s="22">
        <f>IFERROR(L153/N153,"")</f>
        <v/>
      </c>
      <c r="P153" s="21" t="n"/>
      <c r="Q153" s="22">
        <f>IFERROR(P153/N153-1,"")</f>
        <v/>
      </c>
      <c r="R153" s="17" t="n"/>
      <c r="S153" s="23" t="n"/>
    </row>
    <row r="154">
      <c r="A154" s="15" t="n">
        <v>150</v>
      </c>
      <c r="B154" s="15" t="inlineStr">
        <is>
          <t>Контейнер 1</t>
        </is>
      </c>
      <c r="C154" s="15" t="inlineStr">
        <is>
          <t>кран</t>
        </is>
      </c>
      <c r="D154" s="15" t="inlineStr">
        <is>
          <t>Ду20</t>
        </is>
      </c>
      <c r="E154" s="16" t="inlineStr">
        <is>
          <t>Кран двухходовой штуцерный Ду20 Ру16</t>
        </is>
      </c>
      <c r="F154" s="15" t="inlineStr"/>
      <c r="G154" s="17" t="n"/>
      <c r="H154" s="15" t="n">
        <v>3</v>
      </c>
      <c r="I154" s="17" t="n"/>
      <c r="J154" s="18">
        <f>IF(I154="","",I154-H154)</f>
        <v/>
      </c>
      <c r="K154" s="19" t="n">
        <v>1.5</v>
      </c>
      <c r="L154" s="20">
        <f>K154*'Расходы на доставку'!$B$18</f>
        <v/>
      </c>
      <c r="M154" s="21" t="n">
        <v>4000</v>
      </c>
      <c r="N154" s="20">
        <f>IF(M154="","",M154+L154)</f>
        <v/>
      </c>
      <c r="O154" s="22">
        <f>IFERROR(L154/N154,"")</f>
        <v/>
      </c>
      <c r="P154" s="21" t="n"/>
      <c r="Q154" s="22">
        <f>IFERROR(P154/N154-1,"")</f>
        <v/>
      </c>
      <c r="R154" s="17" t="n"/>
      <c r="S154" s="23" t="n"/>
    </row>
    <row r="155">
      <c r="A155" s="15" t="n">
        <v>151</v>
      </c>
      <c r="B155" s="15" t="inlineStr">
        <is>
          <t>Контейнер 1</t>
        </is>
      </c>
      <c r="C155" s="15" t="inlineStr">
        <is>
          <t>клапан фланцевый</t>
        </is>
      </c>
      <c r="D155" s="15" t="inlineStr">
        <is>
          <t>Ду40</t>
        </is>
      </c>
      <c r="E155" s="16" t="inlineStr">
        <is>
          <t>Клапан быстрозапор. фланц. проход. с тросиков. приводом Ду40Ру6,3</t>
        </is>
      </c>
      <c r="F155" s="15" t="inlineStr"/>
      <c r="G155" s="17" t="n"/>
      <c r="H155" s="15" t="n">
        <v>7</v>
      </c>
      <c r="I155" s="17" t="n"/>
      <c r="J155" s="18">
        <f>IF(I155="","",I155-H155)</f>
        <v/>
      </c>
      <c r="K155" s="19" t="n">
        <v>10</v>
      </c>
      <c r="L155" s="20">
        <f>K155*'Расходы на доставку'!$B$18</f>
        <v/>
      </c>
      <c r="M155" s="21" t="n">
        <v>26000</v>
      </c>
      <c r="N155" s="20">
        <f>IF(M155="","",M155+L155)</f>
        <v/>
      </c>
      <c r="O155" s="22">
        <f>IFERROR(L155/N155,"")</f>
        <v/>
      </c>
      <c r="P155" s="21" t="n"/>
      <c r="Q155" s="22">
        <f>IFERROR(P155/N155-1,"")</f>
        <v/>
      </c>
      <c r="R155" s="17" t="n"/>
      <c r="S155" s="23" t="n"/>
    </row>
    <row r="156">
      <c r="A156" s="15" t="n">
        <v>152</v>
      </c>
      <c r="B156" s="15" t="inlineStr">
        <is>
          <t>Контейнер 1</t>
        </is>
      </c>
      <c r="C156" s="15" t="inlineStr">
        <is>
          <t>клапан фланцевый</t>
        </is>
      </c>
      <c r="D156" s="15" t="inlineStr">
        <is>
          <t>Ду20</t>
        </is>
      </c>
      <c r="E156" s="16" t="inlineStr">
        <is>
          <t>Клапан фланцевый проходной ДУ20 Ру25</t>
        </is>
      </c>
      <c r="F156" s="15" t="inlineStr"/>
      <c r="G156" s="17" t="n"/>
      <c r="H156" s="15" t="n">
        <v>8</v>
      </c>
      <c r="I156" s="17" t="n"/>
      <c r="J156" s="18">
        <f>IF(I156="","",I156-H156)</f>
        <v/>
      </c>
      <c r="K156" s="19" t="n">
        <v>4</v>
      </c>
      <c r="L156" s="20">
        <f>K156*'Расходы на доставку'!$B$18</f>
        <v/>
      </c>
      <c r="M156" s="21" t="n">
        <v>10000</v>
      </c>
      <c r="N156" s="20">
        <f>IF(M156="","",M156+L156)</f>
        <v/>
      </c>
      <c r="O156" s="22">
        <f>IFERROR(L156/N156,"")</f>
        <v/>
      </c>
      <c r="P156" s="21" t="n"/>
      <c r="Q156" s="22">
        <f>IFERROR(P156/N156-1,"")</f>
        <v/>
      </c>
      <c r="R156" s="17" t="n"/>
      <c r="S156" s="23" t="n"/>
    </row>
    <row r="157">
      <c r="A157" s="15" t="n">
        <v>153</v>
      </c>
      <c r="B157" s="15" t="inlineStr">
        <is>
          <t>Контейнер 1</t>
        </is>
      </c>
      <c r="C157" s="15" t="inlineStr">
        <is>
          <t>кран</t>
        </is>
      </c>
      <c r="D157" s="15" t="inlineStr">
        <is>
          <t>Ду32</t>
        </is>
      </c>
      <c r="E157" s="16" t="inlineStr">
        <is>
          <t>Кран двухходовой фланцевый Ду32 Ру6</t>
        </is>
      </c>
      <c r="F157" s="15" t="inlineStr"/>
      <c r="G157" s="17" t="n"/>
      <c r="H157" s="15" t="n">
        <v>1</v>
      </c>
      <c r="I157" s="17" t="n"/>
      <c r="J157" s="18">
        <f>IF(I157="","",I157-H157)</f>
        <v/>
      </c>
      <c r="K157" s="19" t="n">
        <v>4</v>
      </c>
      <c r="L157" s="20">
        <f>K157*'Расходы на доставку'!$B$18</f>
        <v/>
      </c>
      <c r="M157" s="21" t="n">
        <v>9600</v>
      </c>
      <c r="N157" s="20">
        <f>IF(M157="","",M157+L157)</f>
        <v/>
      </c>
      <c r="O157" s="22">
        <f>IFERROR(L157/N157,"")</f>
        <v/>
      </c>
      <c r="P157" s="21" t="n"/>
      <c r="Q157" s="22">
        <f>IFERROR(P157/N157-1,"")</f>
        <v/>
      </c>
      <c r="R157" s="17" t="n"/>
      <c r="S157" s="23" t="n"/>
    </row>
    <row r="158">
      <c r="A158" s="15" t="n">
        <v>154</v>
      </c>
      <c r="B158" s="15" t="inlineStr">
        <is>
          <t>Контейнер 1</t>
        </is>
      </c>
      <c r="C158" s="15" t="inlineStr">
        <is>
          <t>клапан фланцевый</t>
        </is>
      </c>
      <c r="D158" s="15" t="inlineStr">
        <is>
          <t>Ду25</t>
        </is>
      </c>
      <c r="E158" s="16" t="inlineStr">
        <is>
          <t>Клапан фланцевый проходной ДУ25 ???</t>
        </is>
      </c>
      <c r="F158" s="15" t="inlineStr"/>
      <c r="G158" s="17" t="n"/>
      <c r="H158" s="15" t="n">
        <v>1</v>
      </c>
      <c r="I158" s="17" t="n"/>
      <c r="J158" s="18">
        <f>IF(I158="","",I158-H158)</f>
        <v/>
      </c>
      <c r="K158" s="19" t="n">
        <v>5</v>
      </c>
      <c r="L158" s="20">
        <f>K158*'Расходы на доставку'!$B$18</f>
        <v/>
      </c>
      <c r="M158" s="21" t="n">
        <v>12000</v>
      </c>
      <c r="N158" s="20">
        <f>IF(M158="","",M158+L158)</f>
        <v/>
      </c>
      <c r="O158" s="22">
        <f>IFERROR(L158/N158,"")</f>
        <v/>
      </c>
      <c r="P158" s="21" t="n"/>
      <c r="Q158" s="22">
        <f>IFERROR(P158/N158-1,"")</f>
        <v/>
      </c>
      <c r="R158" s="17" t="n"/>
      <c r="S158" s="23" t="n"/>
    </row>
    <row r="159">
      <c r="A159" s="15" t="n">
        <v>155</v>
      </c>
      <c r="B159" s="15" t="inlineStr">
        <is>
          <t>Контейнер 1</t>
        </is>
      </c>
      <c r="C159" s="15" t="inlineStr">
        <is>
          <t>клинкет (задвижка)</t>
        </is>
      </c>
      <c r="D159" s="15" t="inlineStr">
        <is>
          <t>Ду50</t>
        </is>
      </c>
      <c r="E159" s="16" t="inlineStr">
        <is>
          <t>Задвижка клинкетная Ду 50, без клиньев</t>
        </is>
      </c>
      <c r="F159" s="15" t="inlineStr"/>
      <c r="G159" s="17" t="n"/>
      <c r="H159" s="15" t="n">
        <v>1</v>
      </c>
      <c r="I159" s="17" t="n"/>
      <c r="J159" s="18">
        <f>IF(I159="","",I159-H159)</f>
        <v/>
      </c>
      <c r="K159" s="19" t="n">
        <v>12</v>
      </c>
      <c r="L159" s="20">
        <f>K159*'Расходы на доставку'!$B$18</f>
        <v/>
      </c>
      <c r="M159" s="21" t="n">
        <v>25000</v>
      </c>
      <c r="N159" s="20">
        <f>IF(M159="","",M159+L159)</f>
        <v/>
      </c>
      <c r="O159" s="22">
        <f>IFERROR(L159/N159,"")</f>
        <v/>
      </c>
      <c r="P159" s="21" t="n"/>
      <c r="Q159" s="22">
        <f>IFERROR(P159/N159-1,"")</f>
        <v/>
      </c>
      <c r="R159" s="17" t="n"/>
      <c r="S159" s="23" t="n"/>
    </row>
    <row r="160">
      <c r="A160" s="15" t="n">
        <v>156</v>
      </c>
      <c r="B160" s="15" t="inlineStr">
        <is>
          <t>Контейнер 1</t>
        </is>
      </c>
      <c r="C160" s="15" t="inlineStr">
        <is>
          <t>захлопка</t>
        </is>
      </c>
      <c r="D160" s="15" t="inlineStr">
        <is>
          <t>Ду50</t>
        </is>
      </c>
      <c r="E160" s="16" t="inlineStr">
        <is>
          <t>Захлопка фланцевая вертикальная Ду50Ру63</t>
        </is>
      </c>
      <c r="F160" s="15" t="inlineStr"/>
      <c r="G160" s="17" t="n"/>
      <c r="H160" s="15" t="n">
        <v>1</v>
      </c>
      <c r="I160" s="17" t="n"/>
      <c r="J160" s="18">
        <f>IF(I160="","",I160-H160)</f>
        <v/>
      </c>
      <c r="K160" s="19" t="n">
        <v>12</v>
      </c>
      <c r="L160" s="20">
        <f>K160*'Расходы на доставку'!$B$18</f>
        <v/>
      </c>
      <c r="M160" s="21" t="n">
        <v>25000</v>
      </c>
      <c r="N160" s="20">
        <f>IF(M160="","",M160+L160)</f>
        <v/>
      </c>
      <c r="O160" s="22">
        <f>IFERROR(L160/N160,"")</f>
        <v/>
      </c>
      <c r="P160" s="21" t="n"/>
      <c r="Q160" s="22">
        <f>IFERROR(P160/N160-1,"")</f>
        <v/>
      </c>
      <c r="R160" s="17" t="n"/>
      <c r="S160" s="23" t="n"/>
    </row>
    <row r="161">
      <c r="A161" s="15" t="n">
        <v>157</v>
      </c>
      <c r="B161" s="15" t="inlineStr">
        <is>
          <t>Контейнер 1</t>
        </is>
      </c>
      <c r="C161" s="15" t="inlineStr">
        <is>
          <t>захлопка</t>
        </is>
      </c>
      <c r="D161" s="15" t="inlineStr">
        <is>
          <t>Ду50</t>
        </is>
      </c>
      <c r="E161" s="16" t="inlineStr">
        <is>
          <t>Захлопка фланцевая горизонтальная Ду50</t>
        </is>
      </c>
      <c r="F161" s="15" t="inlineStr"/>
      <c r="G161" s="17" t="n"/>
      <c r="H161" s="15" t="n">
        <v>1</v>
      </c>
      <c r="I161" s="17" t="n"/>
      <c r="J161" s="18">
        <f>IF(I161="","",I161-H161)</f>
        <v/>
      </c>
      <c r="K161" s="19" t="n">
        <v>12</v>
      </c>
      <c r="L161" s="20">
        <f>K161*'Расходы на доставку'!$B$18</f>
        <v/>
      </c>
      <c r="M161" s="21" t="n">
        <v>25000</v>
      </c>
      <c r="N161" s="20">
        <f>IF(M161="","",M161+L161)</f>
        <v/>
      </c>
      <c r="O161" s="22">
        <f>IFERROR(L161/N161,"")</f>
        <v/>
      </c>
      <c r="P161" s="21" t="n"/>
      <c r="Q161" s="22">
        <f>IFERROR(P161/N161-1,"")</f>
        <v/>
      </c>
      <c r="R161" s="17" t="n"/>
      <c r="S161" s="23" t="n"/>
    </row>
    <row r="162">
      <c r="A162" s="15" t="n">
        <v>158</v>
      </c>
      <c r="B162" s="15" t="inlineStr">
        <is>
          <t>Контейнер 1</t>
        </is>
      </c>
      <c r="C162" s="15" t="inlineStr">
        <is>
          <t>фильтр забортной воды</t>
        </is>
      </c>
      <c r="D162" s="15" t="inlineStr">
        <is>
          <t>Ду200</t>
        </is>
      </c>
      <c r="E162" s="16" t="inlineStr">
        <is>
          <t>Фильтр забортной воды Ду200 Большой</t>
        </is>
      </c>
      <c r="F162" s="15" t="inlineStr"/>
      <c r="G162" s="17" t="n"/>
      <c r="H162" s="15" t="n">
        <v>8</v>
      </c>
      <c r="I162" s="17" t="n"/>
      <c r="J162" s="18">
        <f>IF(I162="","",I162-H162)</f>
        <v/>
      </c>
      <c r="K162" s="19" t="n">
        <v>120</v>
      </c>
      <c r="L162" s="20">
        <f>K162*'Расходы на доставку'!$B$18</f>
        <v/>
      </c>
      <c r="M162" s="21" t="n">
        <v>250000</v>
      </c>
      <c r="N162" s="20">
        <f>IF(M162="","",M162+L162)</f>
        <v/>
      </c>
      <c r="O162" s="22">
        <f>IFERROR(L162/N162,"")</f>
        <v/>
      </c>
      <c r="P162" s="21" t="n"/>
      <c r="Q162" s="22">
        <f>IFERROR(P162/N162-1,"")</f>
        <v/>
      </c>
      <c r="R162" s="17" t="n"/>
      <c r="S162" s="23" t="n"/>
    </row>
    <row r="163">
      <c r="A163" s="15" t="n">
        <v>159</v>
      </c>
      <c r="B163" s="15" t="inlineStr">
        <is>
          <t>Контейнер 1</t>
        </is>
      </c>
      <c r="C163" s="15" t="inlineStr">
        <is>
          <t>прочая арматура</t>
        </is>
      </c>
      <c r="D163" s="15" t="inlineStr"/>
      <c r="E163" s="16" t="inlineStr">
        <is>
          <t>Судовая запорная арматура</t>
        </is>
      </c>
      <c r="F163" s="15" t="inlineStr"/>
      <c r="G163" s="17" t="n"/>
      <c r="H163" s="15" t="n">
        <v>2</v>
      </c>
      <c r="I163" s="17" t="n"/>
      <c r="J163" s="18">
        <f>IF(I163="","",I163-H163)</f>
        <v/>
      </c>
      <c r="K163" s="19" t="n">
        <v>5</v>
      </c>
      <c r="L163" s="20">
        <f>K163*'Расходы на доставку'!$B$18</f>
        <v/>
      </c>
      <c r="M163" s="21" t="n">
        <v>10000</v>
      </c>
      <c r="N163" s="20">
        <f>IF(M163="","",M163+L163)</f>
        <v/>
      </c>
      <c r="O163" s="22">
        <f>IFERROR(L163/N163,"")</f>
        <v/>
      </c>
      <c r="P163" s="21" t="n"/>
      <c r="Q163" s="22">
        <f>IFERROR(P163/N163-1,"")</f>
        <v/>
      </c>
      <c r="R163" s="17" t="n"/>
      <c r="S163" s="23" t="n"/>
    </row>
    <row r="164">
      <c r="A164" s="15" t="n">
        <v>160</v>
      </c>
      <c r="B164" s="15" t="inlineStr">
        <is>
          <t>Контейнер 1</t>
        </is>
      </c>
      <c r="C164" s="15" t="inlineStr">
        <is>
          <t>фильтр забортной воды</t>
        </is>
      </c>
      <c r="D164" s="15" t="inlineStr">
        <is>
          <t>Ду150</t>
        </is>
      </c>
      <c r="E164" s="16" t="inlineStr">
        <is>
          <t>Фильтр заборной воды ДУ 150</t>
        </is>
      </c>
      <c r="F164" s="15" t="inlineStr"/>
      <c r="G164" s="17" t="n"/>
      <c r="H164" s="15" t="n">
        <v>5</v>
      </c>
      <c r="I164" s="17" t="n"/>
      <c r="J164" s="18">
        <f>IF(I164="","",I164-H164)</f>
        <v/>
      </c>
      <c r="K164" s="19" t="n">
        <v>75</v>
      </c>
      <c r="L164" s="20">
        <f>K164*'Расходы на доставку'!$B$18</f>
        <v/>
      </c>
      <c r="M164" s="21" t="n">
        <v>150000</v>
      </c>
      <c r="N164" s="20">
        <f>IF(M164="","",M164+L164)</f>
        <v/>
      </c>
      <c r="O164" s="22">
        <f>IFERROR(L164/N164,"")</f>
        <v/>
      </c>
      <c r="P164" s="21" t="n"/>
      <c r="Q164" s="22">
        <f>IFERROR(P164/N164-1,"")</f>
        <v/>
      </c>
      <c r="R164" s="17" t="n"/>
      <c r="S164" s="23" t="n"/>
    </row>
    <row r="165">
      <c r="A165" s="15" t="n">
        <v>161</v>
      </c>
      <c r="B165" s="15" t="inlineStr">
        <is>
          <t>Контейнер 1</t>
        </is>
      </c>
      <c r="C165" s="15" t="inlineStr">
        <is>
          <t>клапан штуцерный</t>
        </is>
      </c>
      <c r="D165" s="15" t="inlineStr">
        <is>
          <t>Ду20</t>
        </is>
      </c>
      <c r="E165" s="16" t="inlineStr">
        <is>
          <t>Клапан штуцерный угловой Ду20 Ру100</t>
        </is>
      </c>
      <c r="F165" s="15" t="inlineStr"/>
      <c r="G165" s="17" t="n"/>
      <c r="H165" s="15" t="n">
        <v>5</v>
      </c>
      <c r="I165" s="17" t="n"/>
      <c r="J165" s="18">
        <f>IF(I165="","",I165-H165)</f>
        <v/>
      </c>
      <c r="K165" s="19" t="n">
        <v>1.5</v>
      </c>
      <c r="L165" s="20">
        <f>K165*'Расходы на доставку'!$B$18</f>
        <v/>
      </c>
      <c r="M165" s="21" t="n">
        <v>3000</v>
      </c>
      <c r="N165" s="20">
        <f>IF(M165="","",M165+L165)</f>
        <v/>
      </c>
      <c r="O165" s="22">
        <f>IFERROR(L165/N165,"")</f>
        <v/>
      </c>
      <c r="P165" s="21" t="n"/>
      <c r="Q165" s="22">
        <f>IFERROR(P165/N165-1,"")</f>
        <v/>
      </c>
      <c r="R165" s="17" t="n"/>
      <c r="S165" s="23" t="n"/>
    </row>
    <row r="166">
      <c r="A166" s="15" t="n">
        <v>162</v>
      </c>
      <c r="B166" s="15" t="inlineStr">
        <is>
          <t>Контейнер 1</t>
        </is>
      </c>
      <c r="C166" s="15" t="inlineStr">
        <is>
          <t>клапан штуцерный</t>
        </is>
      </c>
      <c r="D166" s="15" t="inlineStr"/>
      <c r="E166" s="16" t="inlineStr">
        <is>
          <t>Клапан штуцерный угловой Рр150/10</t>
        </is>
      </c>
      <c r="F166" s="15" t="inlineStr"/>
      <c r="G166" s="17" t="n"/>
      <c r="H166" s="15" t="n">
        <v>8</v>
      </c>
      <c r="I166" s="17" t="n"/>
      <c r="J166" s="18">
        <f>IF(I166="","",I166-H166)</f>
        <v/>
      </c>
      <c r="K166" s="19" t="n">
        <v>2</v>
      </c>
      <c r="L166" s="20">
        <f>K166*'Расходы на доставку'!$B$18</f>
        <v/>
      </c>
      <c r="M166" s="21" t="n">
        <v>4000</v>
      </c>
      <c r="N166" s="20">
        <f>IF(M166="","",M166+L166)</f>
        <v/>
      </c>
      <c r="O166" s="22">
        <f>IFERROR(L166/N166,"")</f>
        <v/>
      </c>
      <c r="P166" s="21" t="n"/>
      <c r="Q166" s="22">
        <f>IFERROR(P166/N166-1,"")</f>
        <v/>
      </c>
      <c r="R166" s="17" t="n"/>
      <c r="S166" s="23" t="n"/>
    </row>
    <row r="167">
      <c r="A167" s="15" t="n">
        <v>163</v>
      </c>
      <c r="B167" s="15" t="inlineStr">
        <is>
          <t>Контейнер 1</t>
        </is>
      </c>
      <c r="C167" s="15" t="inlineStr">
        <is>
          <t>фильтр забортной воды</t>
        </is>
      </c>
      <c r="D167" s="15" t="inlineStr">
        <is>
          <t>Ду20</t>
        </is>
      </c>
      <c r="E167" s="16" t="inlineStr">
        <is>
          <t>Сетка на фильтр Ду20 маленькая</t>
        </is>
      </c>
      <c r="F167" s="15" t="inlineStr"/>
      <c r="G167" s="17" t="n"/>
      <c r="H167" s="15" t="n">
        <v>1</v>
      </c>
      <c r="I167" s="17" t="n"/>
      <c r="J167" s="18">
        <f>IF(I167="","",I167-H167)</f>
        <v/>
      </c>
      <c r="K167" s="19" t="n">
        <v>1.5</v>
      </c>
      <c r="L167" s="20">
        <f>K167*'Расходы на доставку'!$B$18</f>
        <v/>
      </c>
      <c r="M167" s="21" t="n">
        <v>3000</v>
      </c>
      <c r="N167" s="20">
        <f>IF(M167="","",M167+L167)</f>
        <v/>
      </c>
      <c r="O167" s="22">
        <f>IFERROR(L167/N167,"")</f>
        <v/>
      </c>
      <c r="P167" s="21" t="n"/>
      <c r="Q167" s="22">
        <f>IFERROR(P167/N167-1,"")</f>
        <v/>
      </c>
      <c r="R167" s="17" t="n"/>
      <c r="S167" s="23" t="n"/>
    </row>
    <row r="168">
      <c r="A168" s="15" t="n">
        <v>164</v>
      </c>
      <c r="B168" s="15" t="inlineStr">
        <is>
          <t>Контейнер 1</t>
        </is>
      </c>
      <c r="C168" s="15" t="inlineStr">
        <is>
          <t>клапан фланцевый</t>
        </is>
      </c>
      <c r="D168" s="15" t="inlineStr">
        <is>
          <t>Ду32</t>
        </is>
      </c>
      <c r="E168" s="16" t="inlineStr">
        <is>
          <t>Клапан фланцевый проходной ДУ32 Ру25</t>
        </is>
      </c>
      <c r="F168" s="15" t="inlineStr"/>
      <c r="G168" s="17" t="n"/>
      <c r="H168" s="15" t="n">
        <v>2</v>
      </c>
      <c r="I168" s="17" t="n"/>
      <c r="J168" s="18">
        <f>IF(I168="","",I168-H168)</f>
        <v/>
      </c>
      <c r="K168" s="19" t="n">
        <v>7</v>
      </c>
      <c r="L168" s="20">
        <f>K168*'Расходы на доставку'!$B$18</f>
        <v/>
      </c>
      <c r="M168" s="21" t="n">
        <v>14000</v>
      </c>
      <c r="N168" s="20">
        <f>IF(M168="","",M168+L168)</f>
        <v/>
      </c>
      <c r="O168" s="22">
        <f>IFERROR(L168/N168,"")</f>
        <v/>
      </c>
      <c r="P168" s="21" t="n"/>
      <c r="Q168" s="22">
        <f>IFERROR(P168/N168-1,"")</f>
        <v/>
      </c>
      <c r="R168" s="17" t="n"/>
      <c r="S168" s="23" t="n"/>
    </row>
    <row r="169">
      <c r="A169" s="15" t="n">
        <v>165</v>
      </c>
      <c r="B169" s="15" t="inlineStr">
        <is>
          <t>Контейнер 1</t>
        </is>
      </c>
      <c r="C169" s="15" t="inlineStr">
        <is>
          <t>клапан фланцевый</t>
        </is>
      </c>
      <c r="D169" s="15" t="inlineStr">
        <is>
          <t>Ду32</t>
        </is>
      </c>
      <c r="E169" s="16" t="inlineStr">
        <is>
          <t>Клапан фланцевый проходной ДУ32 Ру25</t>
        </is>
      </c>
      <c r="F169" s="15" t="inlineStr"/>
      <c r="G169" s="17" t="n"/>
      <c r="H169" s="15" t="n">
        <v>6</v>
      </c>
      <c r="I169" s="17" t="n"/>
      <c r="J169" s="18">
        <f>IF(I169="","",I169-H169)</f>
        <v/>
      </c>
      <c r="K169" s="19" t="n">
        <v>7</v>
      </c>
      <c r="L169" s="20">
        <f>K169*'Расходы на доставку'!$B$18</f>
        <v/>
      </c>
      <c r="M169" s="21" t="n">
        <v>14000</v>
      </c>
      <c r="N169" s="20">
        <f>IF(M169="","",M169+L169)</f>
        <v/>
      </c>
      <c r="O169" s="22">
        <f>IFERROR(L169/N169,"")</f>
        <v/>
      </c>
      <c r="P169" s="21" t="n"/>
      <c r="Q169" s="22">
        <f>IFERROR(P169/N169-1,"")</f>
        <v/>
      </c>
      <c r="R169" s="17" t="n"/>
      <c r="S169" s="23" t="n"/>
    </row>
    <row r="170">
      <c r="A170" s="15" t="n">
        <v>166</v>
      </c>
      <c r="B170" s="15" t="inlineStr">
        <is>
          <t>Контейнер 1</t>
        </is>
      </c>
      <c r="C170" s="15" t="inlineStr">
        <is>
          <t>клапан фланцевый</t>
        </is>
      </c>
      <c r="D170" s="15" t="inlineStr">
        <is>
          <t>Ду32</t>
        </is>
      </c>
      <c r="E170" s="16" t="inlineStr">
        <is>
          <t>Клапан Пожарный фланцевый угловой Ду32</t>
        </is>
      </c>
      <c r="F170" s="15" t="inlineStr"/>
      <c r="G170" s="17" t="n"/>
      <c r="H170" s="15" t="n">
        <v>1</v>
      </c>
      <c r="I170" s="17" t="n"/>
      <c r="J170" s="18">
        <f>IF(I170="","",I170-H170)</f>
        <v/>
      </c>
      <c r="K170" s="19" t="n">
        <v>7</v>
      </c>
      <c r="L170" s="20">
        <f>K170*'Расходы на доставку'!$B$18</f>
        <v/>
      </c>
      <c r="M170" s="21" t="n">
        <v>12800</v>
      </c>
      <c r="N170" s="20">
        <f>IF(M170="","",M170+L170)</f>
        <v/>
      </c>
      <c r="O170" s="22">
        <f>IFERROR(L170/N170,"")</f>
        <v/>
      </c>
      <c r="P170" s="21" t="n"/>
      <c r="Q170" s="22">
        <f>IFERROR(P170/N170-1,"")</f>
        <v/>
      </c>
      <c r="R170" s="17" t="n"/>
      <c r="S170" s="23" t="n"/>
    </row>
    <row r="171">
      <c r="A171" s="15" t="n">
        <v>167</v>
      </c>
      <c r="B171" s="15" t="inlineStr">
        <is>
          <t>Контейнер 1</t>
        </is>
      </c>
      <c r="C171" s="15" t="inlineStr">
        <is>
          <t>клапан фланцевый</t>
        </is>
      </c>
      <c r="D171" s="15" t="inlineStr">
        <is>
          <t>Ду40</t>
        </is>
      </c>
      <c r="E171" s="16" t="inlineStr">
        <is>
          <t>Клапан угловой фланцевый Ду 40 - БРАК</t>
        </is>
      </c>
      <c r="F171" s="15" t="inlineStr"/>
      <c r="G171" s="17" t="n"/>
      <c r="H171" s="15" t="n">
        <v>3</v>
      </c>
      <c r="I171" s="17" t="n"/>
      <c r="J171" s="18">
        <f>IF(I171="","",I171-H171)</f>
        <v/>
      </c>
      <c r="K171" s="19" t="n">
        <v>10</v>
      </c>
      <c r="L171" s="20">
        <f>K171*'Расходы на доставку'!$B$18</f>
        <v/>
      </c>
      <c r="M171" s="21" t="n">
        <v>18000</v>
      </c>
      <c r="N171" s="20">
        <f>IF(M171="","",M171+L171)</f>
        <v/>
      </c>
      <c r="O171" s="22">
        <f>IFERROR(L171/N171,"")</f>
        <v/>
      </c>
      <c r="P171" s="21" t="n"/>
      <c r="Q171" s="22">
        <f>IFERROR(P171/N171-1,"")</f>
        <v/>
      </c>
      <c r="R171" s="17" t="n"/>
      <c r="S171" s="23" t="n"/>
    </row>
    <row r="172">
      <c r="A172" s="15" t="n">
        <v>168</v>
      </c>
      <c r="B172" s="15" t="inlineStr">
        <is>
          <t>Контейнер 1</t>
        </is>
      </c>
      <c r="C172" s="15" t="inlineStr">
        <is>
          <t>прочая арматура</t>
        </is>
      </c>
      <c r="D172" s="15" t="inlineStr">
        <is>
          <t>Ду20</t>
        </is>
      </c>
      <c r="E172" s="16" t="inlineStr">
        <is>
          <t>Клапан Ду20/10</t>
        </is>
      </c>
      <c r="F172" s="15" t="inlineStr"/>
      <c r="G172" s="17" t="n"/>
      <c r="H172" s="15" t="n">
        <v>3</v>
      </c>
      <c r="I172" s="17" t="n"/>
      <c r="J172" s="18">
        <f>IF(I172="","",I172-H172)</f>
        <v/>
      </c>
      <c r="K172" s="19" t="n">
        <v>5</v>
      </c>
      <c r="L172" s="20">
        <f>K172*'Расходы на доставку'!$B$18</f>
        <v/>
      </c>
      <c r="M172" s="21" t="n">
        <v>9000</v>
      </c>
      <c r="N172" s="20">
        <f>IF(M172="","",M172+L172)</f>
        <v/>
      </c>
      <c r="O172" s="22">
        <f>IFERROR(L172/N172,"")</f>
        <v/>
      </c>
      <c r="P172" s="21" t="n"/>
      <c r="Q172" s="22">
        <f>IFERROR(P172/N172-1,"")</f>
        <v/>
      </c>
      <c r="R172" s="17" t="n"/>
      <c r="S172" s="23" t="n"/>
    </row>
    <row r="173">
      <c r="A173" s="15" t="n">
        <v>169</v>
      </c>
      <c r="B173" s="15" t="inlineStr">
        <is>
          <t>Контейнер 1</t>
        </is>
      </c>
      <c r="C173" s="15" t="inlineStr">
        <is>
          <t>клапан фланцевый</t>
        </is>
      </c>
      <c r="D173" s="15" t="inlineStr">
        <is>
          <t>Ду40</t>
        </is>
      </c>
      <c r="E173" s="16" t="inlineStr">
        <is>
          <t>Клапан фланцевый угловой Ду40 Ру25 сталь ок.входа</t>
        </is>
      </c>
      <c r="F173" s="15" t="inlineStr">
        <is>
          <t>сталь</t>
        </is>
      </c>
      <c r="G173" s="17" t="n"/>
      <c r="H173" s="15" t="n">
        <v>2</v>
      </c>
      <c r="I173" s="17" t="n"/>
      <c r="J173" s="18">
        <f>IF(I173="","",I173-H173)</f>
        <v/>
      </c>
      <c r="K173" s="19" t="n">
        <v>10</v>
      </c>
      <c r="L173" s="20">
        <f>K173*'Расходы на доставку'!$B$18</f>
        <v/>
      </c>
      <c r="M173" s="21" t="n">
        <v>18000</v>
      </c>
      <c r="N173" s="20">
        <f>IF(M173="","",M173+L173)</f>
        <v/>
      </c>
      <c r="O173" s="22">
        <f>IFERROR(L173/N173,"")</f>
        <v/>
      </c>
      <c r="P173" s="21" t="n"/>
      <c r="Q173" s="22">
        <f>IFERROR(P173/N173-1,"")</f>
        <v/>
      </c>
      <c r="R173" s="17" t="n"/>
      <c r="S173" s="23" t="n"/>
    </row>
    <row r="174">
      <c r="A174" s="15" t="n">
        <v>170</v>
      </c>
      <c r="B174" s="15" t="inlineStr">
        <is>
          <t>Контейнер 1</t>
        </is>
      </c>
      <c r="C174" s="15" t="inlineStr">
        <is>
          <t>клапан фланцевый</t>
        </is>
      </c>
      <c r="D174" s="15" t="inlineStr">
        <is>
          <t>Ду50</t>
        </is>
      </c>
      <c r="E174" s="16" t="inlineStr">
        <is>
          <t>Клапан фланцевый проходной невозвратный Ду 50 РУ 25 (522-01.164)</t>
        </is>
      </c>
      <c r="F174" s="15" t="inlineStr"/>
      <c r="G174" s="17" t="n"/>
      <c r="H174" s="15" t="n">
        <v>1</v>
      </c>
      <c r="I174" s="17" t="n"/>
      <c r="J174" s="18">
        <f>IF(I174="","",I174-H174)</f>
        <v/>
      </c>
      <c r="K174" s="19" t="n">
        <v>14</v>
      </c>
      <c r="L174" s="20">
        <f>K174*'Расходы на доставку'!$B$18</f>
        <v/>
      </c>
      <c r="M174" s="21" t="n">
        <v>25000</v>
      </c>
      <c r="N174" s="20">
        <f>IF(M174="","",M174+L174)</f>
        <v/>
      </c>
      <c r="O174" s="22">
        <f>IFERROR(L174/N174,"")</f>
        <v/>
      </c>
      <c r="P174" s="21" t="n"/>
      <c r="Q174" s="22">
        <f>IFERROR(P174/N174-1,"")</f>
        <v/>
      </c>
      <c r="R174" s="17" t="n"/>
      <c r="S174" s="23" t="n"/>
    </row>
    <row r="175">
      <c r="A175" s="15" t="n">
        <v>171</v>
      </c>
      <c r="B175" s="15" t="inlineStr">
        <is>
          <t>Контейнер 1</t>
        </is>
      </c>
      <c r="C175" s="15" t="inlineStr">
        <is>
          <t>клапан фланцевый</t>
        </is>
      </c>
      <c r="D175" s="15" t="inlineStr">
        <is>
          <t>Ду50</t>
        </is>
      </c>
      <c r="E175" s="16" t="inlineStr">
        <is>
          <t>Клапан Пожарный фланцевый угловой Ду50 Ру16</t>
        </is>
      </c>
      <c r="F175" s="15" t="inlineStr"/>
      <c r="G175" s="17" t="n"/>
      <c r="H175" s="15" t="n">
        <v>3</v>
      </c>
      <c r="I175" s="17" t="n"/>
      <c r="J175" s="18">
        <f>IF(I175="","",I175-H175)</f>
        <v/>
      </c>
      <c r="K175" s="19" t="n">
        <v>14</v>
      </c>
      <c r="L175" s="20">
        <f>K175*'Расходы на доставку'!$B$18</f>
        <v/>
      </c>
      <c r="M175" s="21" t="n">
        <v>25000</v>
      </c>
      <c r="N175" s="20">
        <f>IF(M175="","",M175+L175)</f>
        <v/>
      </c>
      <c r="O175" s="22">
        <f>IFERROR(L175/N175,"")</f>
        <v/>
      </c>
      <c r="P175" s="21" t="n"/>
      <c r="Q175" s="22">
        <f>IFERROR(P175/N175-1,"")</f>
        <v/>
      </c>
      <c r="R175" s="17" t="n"/>
      <c r="S175" s="23" t="n"/>
    </row>
    <row r="176">
      <c r="A176" s="15" t="n">
        <v>172</v>
      </c>
      <c r="B176" s="15" t="inlineStr">
        <is>
          <t>Контейнер 1</t>
        </is>
      </c>
      <c r="C176" s="15" t="inlineStr">
        <is>
          <t>клапан фланцевый</t>
        </is>
      </c>
      <c r="D176" s="15" t="inlineStr">
        <is>
          <t>Ду50</t>
        </is>
      </c>
      <c r="E176" s="16" t="inlineStr">
        <is>
          <t>Клапан Пожарный фланцевый угловой Ду50 Ру16</t>
        </is>
      </c>
      <c r="F176" s="15" t="inlineStr"/>
      <c r="G176" s="17" t="n"/>
      <c r="H176" s="15" t="n">
        <v>1</v>
      </c>
      <c r="I176" s="17" t="n"/>
      <c r="J176" s="18">
        <f>IF(I176="","",I176-H176)</f>
        <v/>
      </c>
      <c r="K176" s="19" t="n">
        <v>14</v>
      </c>
      <c r="L176" s="20">
        <f>K176*'Расходы на доставку'!$B$18</f>
        <v/>
      </c>
      <c r="M176" s="21" t="n">
        <v>25000</v>
      </c>
      <c r="N176" s="20">
        <f>IF(M176="","",M176+L176)</f>
        <v/>
      </c>
      <c r="O176" s="22">
        <f>IFERROR(L176/N176,"")</f>
        <v/>
      </c>
      <c r="P176" s="21" t="n"/>
      <c r="Q176" s="22">
        <f>IFERROR(P176/N176-1,"")</f>
        <v/>
      </c>
      <c r="R176" s="17" t="n"/>
      <c r="S176" s="23" t="n"/>
    </row>
    <row r="177">
      <c r="A177" s="15" t="n">
        <v>173</v>
      </c>
      <c r="B177" s="15" t="inlineStr">
        <is>
          <t>Контейнер 1</t>
        </is>
      </c>
      <c r="C177" s="15" t="inlineStr">
        <is>
          <t>клапан фланцевый</t>
        </is>
      </c>
      <c r="D177" s="15" t="inlineStr">
        <is>
          <t>Ду50</t>
        </is>
      </c>
      <c r="E177" s="16" t="inlineStr">
        <is>
          <t>Клапан Пожарный фланцевый угловой Ду50 Ру16</t>
        </is>
      </c>
      <c r="F177" s="15" t="inlineStr"/>
      <c r="G177" s="17" t="n"/>
      <c r="H177" s="15" t="n">
        <v>2</v>
      </c>
      <c r="I177" s="17" t="n"/>
      <c r="J177" s="18">
        <f>IF(I177="","",I177-H177)</f>
        <v/>
      </c>
      <c r="K177" s="19" t="n">
        <v>14</v>
      </c>
      <c r="L177" s="20">
        <f>K177*'Расходы на доставку'!$B$18</f>
        <v/>
      </c>
      <c r="M177" s="21" t="n">
        <v>25000</v>
      </c>
      <c r="N177" s="20">
        <f>IF(M177="","",M177+L177)</f>
        <v/>
      </c>
      <c r="O177" s="22">
        <f>IFERROR(L177/N177,"")</f>
        <v/>
      </c>
      <c r="P177" s="21" t="n"/>
      <c r="Q177" s="22">
        <f>IFERROR(P177/N177-1,"")</f>
        <v/>
      </c>
      <c r="R177" s="17" t="n"/>
      <c r="S177" s="23" t="n"/>
    </row>
    <row r="178">
      <c r="A178" s="15" t="n">
        <v>174</v>
      </c>
      <c r="B178" s="15" t="inlineStr">
        <is>
          <t>Контейнер 1</t>
        </is>
      </c>
      <c r="C178" s="15" t="inlineStr">
        <is>
          <t>коробка клапанная</t>
        </is>
      </c>
      <c r="D178" s="15" t="inlineStr">
        <is>
          <t>Ду80</t>
        </is>
      </c>
      <c r="E178" s="16" t="inlineStr">
        <is>
          <t>Коробка 3-х клап.фланцевая невозврат.Ду80 Ру6</t>
        </is>
      </c>
      <c r="F178" s="15" t="inlineStr"/>
      <c r="G178" s="17" t="n"/>
      <c r="H178" s="15" t="n">
        <v>6</v>
      </c>
      <c r="I178" s="17" t="n"/>
      <c r="J178" s="18">
        <f>IF(I178="","",I178-H178)</f>
        <v/>
      </c>
      <c r="K178" s="19" t="n">
        <v>45</v>
      </c>
      <c r="L178" s="20">
        <f>K178*'Расходы на доставку'!$B$18</f>
        <v/>
      </c>
      <c r="M178" s="21" t="n">
        <v>80000</v>
      </c>
      <c r="N178" s="20">
        <f>IF(M178="","",M178+L178)</f>
        <v/>
      </c>
      <c r="O178" s="22">
        <f>IFERROR(L178/N178,"")</f>
        <v/>
      </c>
      <c r="P178" s="21" t="n"/>
      <c r="Q178" s="22">
        <f>IFERROR(P178/N178-1,"")</f>
        <v/>
      </c>
      <c r="R178" s="17" t="n"/>
      <c r="S178" s="23" t="n"/>
    </row>
    <row r="179">
      <c r="A179" s="15" t="n">
        <v>175</v>
      </c>
      <c r="B179" s="15" t="inlineStr">
        <is>
          <t>Контейнер 1</t>
        </is>
      </c>
      <c r="C179" s="15" t="inlineStr">
        <is>
          <t>клапан фланцевый</t>
        </is>
      </c>
      <c r="D179" s="15" t="inlineStr">
        <is>
          <t>Ду65</t>
        </is>
      </c>
      <c r="E179" s="16" t="inlineStr">
        <is>
          <t>Клапан быстрозапор. фланц.проход.с тросиков.приводом Ду65 Ру6,3</t>
        </is>
      </c>
      <c r="F179" s="15" t="inlineStr"/>
      <c r="G179" s="17" t="n"/>
      <c r="H179" s="15" t="n">
        <v>1</v>
      </c>
      <c r="I179" s="17" t="n"/>
      <c r="J179" s="18">
        <f>IF(I179="","",I179-H179)</f>
        <v/>
      </c>
      <c r="K179" s="19" t="n">
        <v>20</v>
      </c>
      <c r="L179" s="20">
        <f>K179*'Расходы на доставку'!$B$18</f>
        <v/>
      </c>
      <c r="M179" s="21" t="n">
        <v>35000</v>
      </c>
      <c r="N179" s="20">
        <f>IF(M179="","",M179+L179)</f>
        <v/>
      </c>
      <c r="O179" s="22">
        <f>IFERROR(L179/N179,"")</f>
        <v/>
      </c>
      <c r="P179" s="21" t="n"/>
      <c r="Q179" s="22">
        <f>IFERROR(P179/N179-1,"")</f>
        <v/>
      </c>
      <c r="R179" s="17" t="n"/>
      <c r="S179" s="23" t="n"/>
    </row>
    <row r="180">
      <c r="A180" s="15" t="n">
        <v>176</v>
      </c>
      <c r="B180" s="15" t="inlineStr">
        <is>
          <t>Контейнер 1</t>
        </is>
      </c>
      <c r="C180" s="15" t="inlineStr">
        <is>
          <t>клапан фланцевый</t>
        </is>
      </c>
      <c r="D180" s="15" t="inlineStr">
        <is>
          <t>Ду70</t>
        </is>
      </c>
      <c r="E180" s="16" t="inlineStr">
        <is>
          <t>Клапан быстрозапор. фланц.проход.с тросиков.приводом Ду70 Ру6,3</t>
        </is>
      </c>
      <c r="F180" s="15" t="inlineStr"/>
      <c r="G180" s="17" t="n"/>
      <c r="H180" s="15" t="n">
        <v>3</v>
      </c>
      <c r="I180" s="17" t="n"/>
      <c r="J180" s="18">
        <f>IF(I180="","",I180-H180)</f>
        <v/>
      </c>
      <c r="K180" s="19" t="n">
        <v>23</v>
      </c>
      <c r="L180" s="20">
        <f>K180*'Расходы на доставку'!$B$18</f>
        <v/>
      </c>
      <c r="M180" s="21" t="n">
        <v>40000</v>
      </c>
      <c r="N180" s="20">
        <f>IF(M180="","",M180+L180)</f>
        <v/>
      </c>
      <c r="O180" s="22">
        <f>IFERROR(L180/N180,"")</f>
        <v/>
      </c>
      <c r="P180" s="21" t="n"/>
      <c r="Q180" s="22">
        <f>IFERROR(P180/N180-1,"")</f>
        <v/>
      </c>
      <c r="R180" s="17" t="n"/>
      <c r="S180" s="23" t="n"/>
    </row>
    <row r="181">
      <c r="A181" s="15" t="n">
        <v>177</v>
      </c>
      <c r="B181" s="15" t="inlineStr">
        <is>
          <t>Контейнер 1</t>
        </is>
      </c>
      <c r="C181" s="15" t="inlineStr">
        <is>
          <t>клапан штуцерный</t>
        </is>
      </c>
      <c r="D181" s="15" t="inlineStr">
        <is>
          <t>Ду20</t>
        </is>
      </c>
      <c r="E181" s="16" t="inlineStr">
        <is>
          <t>Клапан муфтовый проходной запорный Ду20Ру16</t>
        </is>
      </c>
      <c r="F181" s="15" t="inlineStr"/>
      <c r="G181" s="17" t="n"/>
      <c r="H181" s="15" t="n">
        <v>1</v>
      </c>
      <c r="I181" s="17" t="n"/>
      <c r="J181" s="18">
        <f>IF(I181="","",I181-H181)</f>
        <v/>
      </c>
      <c r="K181" s="19" t="n">
        <v>1.5</v>
      </c>
      <c r="L181" s="20">
        <f>K181*'Расходы на доставку'!$B$18</f>
        <v/>
      </c>
      <c r="M181" s="21" t="n">
        <v>1000</v>
      </c>
      <c r="N181" s="20">
        <f>IF(M181="","",M181+L181)</f>
        <v/>
      </c>
      <c r="O181" s="22">
        <f>IFERROR(L181/N181,"")</f>
        <v/>
      </c>
      <c r="P181" s="21" t="n"/>
      <c r="Q181" s="22">
        <f>IFERROR(P181/N181-1,"")</f>
        <v/>
      </c>
      <c r="R181" s="17" t="n"/>
      <c r="S181" s="23" t="n"/>
    </row>
    <row r="182">
      <c r="A182" s="15" t="n">
        <v>178</v>
      </c>
      <c r="B182" s="15" t="inlineStr">
        <is>
          <t>Контейнер 1</t>
        </is>
      </c>
      <c r="C182" s="15" t="inlineStr">
        <is>
          <t>клапан штуцерный</t>
        </is>
      </c>
      <c r="D182" s="15" t="inlineStr">
        <is>
          <t>Ду32</t>
        </is>
      </c>
      <c r="E182" s="16" t="inlineStr">
        <is>
          <t>Клапан муфтовый проходной запорный Ду32Ру10</t>
        </is>
      </c>
      <c r="F182" s="15" t="inlineStr"/>
      <c r="G182" s="17" t="n"/>
      <c r="H182" s="15" t="n">
        <v>1</v>
      </c>
      <c r="I182" s="17" t="n"/>
      <c r="J182" s="18">
        <f>IF(I182="","",I182-H182)</f>
        <v/>
      </c>
      <c r="K182" s="19" t="n">
        <v>3.5</v>
      </c>
      <c r="L182" s="20">
        <f>K182*'Расходы на доставку'!$B$18</f>
        <v/>
      </c>
      <c r="M182" s="21" t="n">
        <v>1500</v>
      </c>
      <c r="N182" s="20">
        <f>IF(M182="","",M182+L182)</f>
        <v/>
      </c>
      <c r="O182" s="22">
        <f>IFERROR(L182/N182,"")</f>
        <v/>
      </c>
      <c r="P182" s="21" t="n"/>
      <c r="Q182" s="22">
        <f>IFERROR(P182/N182-1,"")</f>
        <v/>
      </c>
      <c r="R182" s="17" t="n"/>
      <c r="S182" s="23" t="n"/>
    </row>
    <row r="183">
      <c r="A183" s="15" t="n">
        <v>179</v>
      </c>
      <c r="B183" s="15" t="inlineStr">
        <is>
          <t>Контейнер 1</t>
        </is>
      </c>
      <c r="C183" s="15" t="inlineStr">
        <is>
          <t>клапан штуцерный</t>
        </is>
      </c>
      <c r="D183" s="15" t="inlineStr">
        <is>
          <t>Ду15</t>
        </is>
      </c>
      <c r="E183" s="16" t="inlineStr">
        <is>
          <t>(Кнопка)Клапан самозакрывающий проходной муфтовый Ду15Ру3</t>
        </is>
      </c>
      <c r="F183" s="15" t="inlineStr"/>
      <c r="G183" s="17" t="n"/>
      <c r="H183" s="15" t="n">
        <v>1</v>
      </c>
      <c r="I183" s="17" t="n"/>
      <c r="J183" s="18">
        <f>IF(I183="","",I183-H183)</f>
        <v/>
      </c>
      <c r="K183" s="19" t="n">
        <v>1</v>
      </c>
      <c r="L183" s="20">
        <f>K183*'Расходы на доставку'!$B$18</f>
        <v/>
      </c>
      <c r="M183" s="21" t="n"/>
      <c r="N183" s="20">
        <f>IF(M183="","",M183+L183)</f>
        <v/>
      </c>
      <c r="O183" s="22">
        <f>IFERROR(L183/N183,"")</f>
        <v/>
      </c>
      <c r="P183" s="21" t="n"/>
      <c r="Q183" s="22">
        <f>IFERROR(P183/N183-1,"")</f>
        <v/>
      </c>
      <c r="R183" s="17" t="n"/>
      <c r="S183" s="23" t="n"/>
    </row>
    <row r="184">
      <c r="A184" s="15" t="n">
        <v>180</v>
      </c>
      <c r="B184" s="15" t="inlineStr">
        <is>
          <t>Контейнер 2</t>
        </is>
      </c>
      <c r="C184" s="15" t="inlineStr">
        <is>
          <t>клапан фланцевый</t>
        </is>
      </c>
      <c r="D184" s="15" t="inlineStr">
        <is>
          <t>Ду65</t>
        </is>
      </c>
      <c r="E184" s="16" t="inlineStr">
        <is>
          <t>Клапан быстрозапор. фланц. проход. с тросиков. приводом Ду65Ру6,3</t>
        </is>
      </c>
      <c r="F184" s="15" t="inlineStr"/>
      <c r="G184" s="17" t="n"/>
      <c r="H184" s="15" t="n">
        <v>5</v>
      </c>
      <c r="I184" s="17" t="n"/>
      <c r="J184" s="18">
        <f>IF(I184="","",I184-H184)</f>
        <v/>
      </c>
      <c r="K184" s="19" t="n">
        <v>20</v>
      </c>
      <c r="L184" s="20">
        <f>K184*'Расходы на доставку'!$C$18</f>
        <v/>
      </c>
      <c r="M184" s="21" t="n">
        <v>35000</v>
      </c>
      <c r="N184" s="20">
        <f>IF(M184="","",M184+L184)</f>
        <v/>
      </c>
      <c r="O184" s="22">
        <f>IFERROR(L184/N184,"")</f>
        <v/>
      </c>
      <c r="P184" s="21" t="n"/>
      <c r="Q184" s="22">
        <f>IFERROR(P184/N184-1,"")</f>
        <v/>
      </c>
      <c r="R184" s="17" t="n"/>
      <c r="S184" s="23" t="n"/>
    </row>
    <row r="185">
      <c r="A185" s="15" t="n">
        <v>181</v>
      </c>
      <c r="B185" s="15" t="inlineStr">
        <is>
          <t>Контейнер 2</t>
        </is>
      </c>
      <c r="C185" s="15" t="inlineStr">
        <is>
          <t>клапан фланцевый</t>
        </is>
      </c>
      <c r="D185" s="15" t="inlineStr">
        <is>
          <t>Ду80</t>
        </is>
      </c>
      <c r="E185" s="16" t="inlineStr">
        <is>
          <t>Клапан быстрозапор. фланц.проход.с тросиков.приводом Ду80 Ру6,3</t>
        </is>
      </c>
      <c r="F185" s="15" t="inlineStr"/>
      <c r="G185" s="17" t="n"/>
      <c r="H185" s="15" t="n">
        <v>2</v>
      </c>
      <c r="I185" s="17" t="n"/>
      <c r="J185" s="18">
        <f>IF(I185="","",I185-H185)</f>
        <v/>
      </c>
      <c r="K185" s="19" t="n">
        <v>28</v>
      </c>
      <c r="L185" s="20">
        <f>K185*'Расходы на доставку'!$C$18</f>
        <v/>
      </c>
      <c r="M185" s="21" t="n">
        <v>45000</v>
      </c>
      <c r="N185" s="20">
        <f>IF(M185="","",M185+L185)</f>
        <v/>
      </c>
      <c r="O185" s="22">
        <f>IFERROR(L185/N185,"")</f>
        <v/>
      </c>
      <c r="P185" s="21" t="n"/>
      <c r="Q185" s="22">
        <f>IFERROR(P185/N185-1,"")</f>
        <v/>
      </c>
      <c r="R185" s="17" t="n"/>
      <c r="S185" s="23" t="n"/>
    </row>
    <row r="186">
      <c r="A186" s="15" t="n">
        <v>182</v>
      </c>
      <c r="B186" s="15" t="inlineStr">
        <is>
          <t>Контейнер 2</t>
        </is>
      </c>
      <c r="C186" s="15" t="inlineStr">
        <is>
          <t>клапан фланцевый</t>
        </is>
      </c>
      <c r="D186" s="15" t="inlineStr">
        <is>
          <t>Ду50</t>
        </is>
      </c>
      <c r="E186" s="16" t="inlineStr">
        <is>
          <t>Клапан фланцевый проходной Ду50</t>
        </is>
      </c>
      <c r="F186" s="15" t="inlineStr"/>
      <c r="G186" s="17" t="n"/>
      <c r="H186" s="15" t="n">
        <v>66</v>
      </c>
      <c r="I186" s="17" t="n"/>
      <c r="J186" s="18">
        <f>IF(I186="","",I186-H186)</f>
        <v/>
      </c>
      <c r="K186" s="19" t="n">
        <v>14</v>
      </c>
      <c r="L186" s="20">
        <f>K186*'Расходы на доставку'!$C$18</f>
        <v/>
      </c>
      <c r="M186" s="21" t="n">
        <v>22500</v>
      </c>
      <c r="N186" s="20">
        <f>IF(M186="","",M186+L186)</f>
        <v/>
      </c>
      <c r="O186" s="22">
        <f>IFERROR(L186/N186,"")</f>
        <v/>
      </c>
      <c r="P186" s="21" t="n"/>
      <c r="Q186" s="22">
        <f>IFERROR(P186/N186-1,"")</f>
        <v/>
      </c>
      <c r="R186" s="17" t="n"/>
      <c r="S186" s="23" t="n"/>
    </row>
    <row r="187">
      <c r="A187" s="15" t="n">
        <v>183</v>
      </c>
      <c r="B187" s="15" t="inlineStr">
        <is>
          <t>Контейнер 2</t>
        </is>
      </c>
      <c r="C187" s="15" t="inlineStr">
        <is>
          <t>клапан фланцевый</t>
        </is>
      </c>
      <c r="D187" s="15" t="inlineStr">
        <is>
          <t>Ду50</t>
        </is>
      </c>
      <c r="E187" s="16" t="inlineStr">
        <is>
          <t>Клапан фланцевый проходной Ду50 Ру25</t>
        </is>
      </c>
      <c r="F187" s="15" t="inlineStr"/>
      <c r="G187" s="17" t="n"/>
      <c r="H187" s="15" t="n">
        <v>5</v>
      </c>
      <c r="I187" s="17" t="n"/>
      <c r="J187" s="18">
        <f>IF(I187="","",I187-H187)</f>
        <v/>
      </c>
      <c r="K187" s="19" t="n">
        <v>14</v>
      </c>
      <c r="L187" s="20">
        <f>K187*'Расходы на доставку'!$C$18</f>
        <v/>
      </c>
      <c r="M187" s="21" t="n">
        <v>22500</v>
      </c>
      <c r="N187" s="20">
        <f>IF(M187="","",M187+L187)</f>
        <v/>
      </c>
      <c r="O187" s="22">
        <f>IFERROR(L187/N187,"")</f>
        <v/>
      </c>
      <c r="P187" s="21" t="n"/>
      <c r="Q187" s="22">
        <f>IFERROR(P187/N187-1,"")</f>
        <v/>
      </c>
      <c r="R187" s="17" t="n"/>
      <c r="S187" s="23" t="n"/>
    </row>
    <row r="188">
      <c r="A188" s="15" t="n">
        <v>184</v>
      </c>
      <c r="B188" s="15" t="inlineStr">
        <is>
          <t>Контейнер 2</t>
        </is>
      </c>
      <c r="C188" s="15" t="inlineStr">
        <is>
          <t>клапан фланцевый</t>
        </is>
      </c>
      <c r="D188" s="15" t="inlineStr">
        <is>
          <t>Ду50</t>
        </is>
      </c>
      <c r="E188" s="16" t="inlineStr">
        <is>
          <t>Клапан Пожарный фланцевый проходной Ду50 Ру16</t>
        </is>
      </c>
      <c r="F188" s="15" t="inlineStr"/>
      <c r="G188" s="17" t="n"/>
      <c r="H188" s="15" t="n">
        <v>2</v>
      </c>
      <c r="I188" s="17" t="n"/>
      <c r="J188" s="18">
        <f>IF(I188="","",I188-H188)</f>
        <v/>
      </c>
      <c r="K188" s="19" t="n">
        <v>14</v>
      </c>
      <c r="L188" s="20">
        <f>K188*'Расходы на доставку'!$C$18</f>
        <v/>
      </c>
      <c r="M188" s="21" t="n">
        <v>22500</v>
      </c>
      <c r="N188" s="20">
        <f>IF(M188="","",M188+L188)</f>
        <v/>
      </c>
      <c r="O188" s="22">
        <f>IFERROR(L188/N188,"")</f>
        <v/>
      </c>
      <c r="P188" s="21" t="n"/>
      <c r="Q188" s="22">
        <f>IFERROR(P188/N188-1,"")</f>
        <v/>
      </c>
      <c r="R188" s="17" t="n"/>
      <c r="S188" s="23" t="n"/>
    </row>
    <row r="189">
      <c r="A189" s="15" t="n">
        <v>185</v>
      </c>
      <c r="B189" s="15" t="inlineStr">
        <is>
          <t>Контейнер 2</t>
        </is>
      </c>
      <c r="C189" s="15" t="inlineStr">
        <is>
          <t>захлопка</t>
        </is>
      </c>
      <c r="D189" s="15" t="inlineStr">
        <is>
          <t>Ду50</t>
        </is>
      </c>
      <c r="E189" s="16" t="inlineStr">
        <is>
          <t>Захлопка Ду50Ру6 - БРАК</t>
        </is>
      </c>
      <c r="F189" s="15" t="inlineStr"/>
      <c r="G189" s="17" t="n"/>
      <c r="H189" s="15" t="n">
        <v>3</v>
      </c>
      <c r="I189" s="17" t="n"/>
      <c r="J189" s="18">
        <f>IF(I189="","",I189-H189)</f>
        <v/>
      </c>
      <c r="K189" s="19" t="n">
        <v>12</v>
      </c>
      <c r="L189" s="20">
        <f>K189*'Расходы на доставку'!$C$18</f>
        <v/>
      </c>
      <c r="M189" s="21" t="n">
        <v>17500</v>
      </c>
      <c r="N189" s="20">
        <f>IF(M189="","",M189+L189)</f>
        <v/>
      </c>
      <c r="O189" s="22">
        <f>IFERROR(L189/N189,"")</f>
        <v/>
      </c>
      <c r="P189" s="21" t="n"/>
      <c r="Q189" s="22">
        <f>IFERROR(P189/N189-1,"")</f>
        <v/>
      </c>
      <c r="R189" s="17" t="n"/>
      <c r="S189" s="23" t="n"/>
    </row>
    <row r="190">
      <c r="A190" s="15" t="n">
        <v>186</v>
      </c>
      <c r="B190" s="15" t="inlineStr">
        <is>
          <t>Контейнер 2</t>
        </is>
      </c>
      <c r="C190" s="15" t="inlineStr">
        <is>
          <t>клапан фланцевый</t>
        </is>
      </c>
      <c r="D190" s="15" t="inlineStr">
        <is>
          <t>Ду50</t>
        </is>
      </c>
      <c r="E190" s="16" t="inlineStr">
        <is>
          <t>Клапан фланцевый проходной Ду50 Ру 10 + ДУ 50 Ру 25</t>
        </is>
      </c>
      <c r="F190" s="15" t="inlineStr"/>
      <c r="G190" s="17" t="n"/>
      <c r="H190" s="15" t="n">
        <v>98</v>
      </c>
      <c r="I190" s="17" t="n"/>
      <c r="J190" s="18">
        <f>IF(I190="","",I190-H190)</f>
        <v/>
      </c>
      <c r="K190" s="19" t="n">
        <v>14</v>
      </c>
      <c r="L190" s="20">
        <f>K190*'Расходы на доставку'!$C$18</f>
        <v/>
      </c>
      <c r="M190" s="21" t="n">
        <v>20000</v>
      </c>
      <c r="N190" s="20">
        <f>IF(M190="","",M190+L190)</f>
        <v/>
      </c>
      <c r="O190" s="22">
        <f>IFERROR(L190/N190,"")</f>
        <v/>
      </c>
      <c r="P190" s="21" t="n"/>
      <c r="Q190" s="22">
        <f>IFERROR(P190/N190-1,"")</f>
        <v/>
      </c>
      <c r="R190" s="17" t="n"/>
      <c r="S190" s="23" t="n"/>
    </row>
    <row r="191">
      <c r="A191" s="15" t="n">
        <v>187</v>
      </c>
      <c r="B191" s="15" t="inlineStr">
        <is>
          <t>Контейнер 2</t>
        </is>
      </c>
      <c r="C191" s="15" t="inlineStr">
        <is>
          <t>клапан фланцевый</t>
        </is>
      </c>
      <c r="D191" s="15" t="inlineStr">
        <is>
          <t>Ду32</t>
        </is>
      </c>
      <c r="E191" s="16" t="inlineStr">
        <is>
          <t>Клапан проходной фланцевый Ду32 - БРАК</t>
        </is>
      </c>
      <c r="F191" s="15" t="inlineStr"/>
      <c r="G191" s="17" t="n"/>
      <c r="H191" s="15" t="n">
        <v>6</v>
      </c>
      <c r="I191" s="17" t="n"/>
      <c r="J191" s="18">
        <f>IF(I191="","",I191-H191)</f>
        <v/>
      </c>
      <c r="K191" s="19" t="n">
        <v>7</v>
      </c>
      <c r="L191" s="20">
        <f>K191*'Расходы на доставку'!$C$18</f>
        <v/>
      </c>
      <c r="M191" s="21" t="n">
        <v>10000</v>
      </c>
      <c r="N191" s="20">
        <f>IF(M191="","",M191+L191)</f>
        <v/>
      </c>
      <c r="O191" s="22">
        <f>IFERROR(L191/N191,"")</f>
        <v/>
      </c>
      <c r="P191" s="21" t="n"/>
      <c r="Q191" s="22">
        <f>IFERROR(P191/N191-1,"")</f>
        <v/>
      </c>
      <c r="R191" s="17" t="n"/>
      <c r="S191" s="23" t="n"/>
    </row>
    <row r="192">
      <c r="A192" s="15" t="n">
        <v>188</v>
      </c>
      <c r="B192" s="15" t="inlineStr">
        <is>
          <t>Контейнер 2</t>
        </is>
      </c>
      <c r="C192" s="15" t="inlineStr">
        <is>
          <t>клапан штуцерный</t>
        </is>
      </c>
      <c r="D192" s="15" t="inlineStr">
        <is>
          <t>Ду50</t>
        </is>
      </c>
      <c r="E192" s="16" t="inlineStr">
        <is>
          <t>Клапан угловой с присоединением под дюрит Ду50Ру4</t>
        </is>
      </c>
      <c r="F192" s="15" t="inlineStr"/>
      <c r="G192" s="17" t="n"/>
      <c r="H192" s="15" t="n">
        <v>4</v>
      </c>
      <c r="I192" s="17" t="n"/>
      <c r="J192" s="18">
        <f>IF(I192="","",I192-H192)</f>
        <v/>
      </c>
      <c r="K192" s="19" t="n">
        <v>7</v>
      </c>
      <c r="L192" s="20">
        <f>K192*'Расходы на доставку'!$C$18</f>
        <v/>
      </c>
      <c r="M192" s="21" t="n">
        <v>10000</v>
      </c>
      <c r="N192" s="20">
        <f>IF(M192="","",M192+L192)</f>
        <v/>
      </c>
      <c r="O192" s="22">
        <f>IFERROR(L192/N192,"")</f>
        <v/>
      </c>
      <c r="P192" s="21" t="n"/>
      <c r="Q192" s="22">
        <f>IFERROR(P192/N192-1,"")</f>
        <v/>
      </c>
      <c r="R192" s="17" t="n"/>
      <c r="S192" s="23" t="n"/>
    </row>
    <row r="193">
      <c r="A193" s="15" t="n">
        <v>189</v>
      </c>
      <c r="B193" s="15" t="inlineStr">
        <is>
          <t>Контейнер 2</t>
        </is>
      </c>
      <c r="C193" s="15" t="inlineStr">
        <is>
          <t>клапан штуцерный</t>
        </is>
      </c>
      <c r="D193" s="15" t="inlineStr">
        <is>
          <t>Ду50</t>
        </is>
      </c>
      <c r="E193" s="16" t="inlineStr">
        <is>
          <t>Клапан невозв-запорн.с присоед.под дюрит прох. Ду 50 Ру6</t>
        </is>
      </c>
      <c r="F193" s="15" t="inlineStr"/>
      <c r="G193" s="17" t="n"/>
      <c r="H193" s="15" t="n">
        <v>1</v>
      </c>
      <c r="I193" s="17" t="n"/>
      <c r="J193" s="18">
        <f>IF(I193="","",I193-H193)</f>
        <v/>
      </c>
      <c r="K193" s="19" t="n">
        <v>7</v>
      </c>
      <c r="L193" s="20">
        <f>K193*'Расходы на доставку'!$C$18</f>
        <v/>
      </c>
      <c r="M193" s="21" t="n">
        <v>10000</v>
      </c>
      <c r="N193" s="20">
        <f>IF(M193="","",M193+L193)</f>
        <v/>
      </c>
      <c r="O193" s="22">
        <f>IFERROR(L193/N193,"")</f>
        <v/>
      </c>
      <c r="P193" s="21" t="n"/>
      <c r="Q193" s="22">
        <f>IFERROR(P193/N193-1,"")</f>
        <v/>
      </c>
      <c r="R193" s="17" t="n"/>
      <c r="S193" s="23" t="n"/>
    </row>
    <row r="194">
      <c r="A194" s="15" t="n">
        <v>190</v>
      </c>
      <c r="B194" s="15" t="inlineStr">
        <is>
          <t>Контейнер 2</t>
        </is>
      </c>
      <c r="C194" s="15" t="inlineStr">
        <is>
          <t>коробка клапанная</t>
        </is>
      </c>
      <c r="D194" s="15" t="inlineStr">
        <is>
          <t>Ду50</t>
        </is>
      </c>
      <c r="E194" s="16" t="inlineStr">
        <is>
          <t>Коробка 2-х клапановая фланцевая Ду50</t>
        </is>
      </c>
      <c r="F194" s="15" t="inlineStr"/>
      <c r="G194" s="17" t="n"/>
      <c r="H194" s="15" t="n">
        <v>4</v>
      </c>
      <c r="I194" s="17" t="n"/>
      <c r="J194" s="18">
        <f>IF(I194="","",I194-H194)</f>
        <v/>
      </c>
      <c r="K194" s="19" t="n">
        <v>25</v>
      </c>
      <c r="L194" s="20">
        <f>K194*'Расходы на доставку'!$C$18</f>
        <v/>
      </c>
      <c r="M194" s="21" t="n">
        <v>35000</v>
      </c>
      <c r="N194" s="20">
        <f>IF(M194="","",M194+L194)</f>
        <v/>
      </c>
      <c r="O194" s="22">
        <f>IFERROR(L194/N194,"")</f>
        <v/>
      </c>
      <c r="P194" s="21" t="n"/>
      <c r="Q194" s="22">
        <f>IFERROR(P194/N194-1,"")</f>
        <v/>
      </c>
      <c r="R194" s="17" t="n"/>
      <c r="S194" s="23" t="n"/>
    </row>
    <row r="195">
      <c r="A195" s="15" t="n">
        <v>191</v>
      </c>
      <c r="B195" s="15" t="inlineStr">
        <is>
          <t>Контейнер 2</t>
        </is>
      </c>
      <c r="C195" s="15" t="inlineStr">
        <is>
          <t>клапан фланцевый</t>
        </is>
      </c>
      <c r="D195" s="15" t="inlineStr">
        <is>
          <t>Ду32</t>
        </is>
      </c>
      <c r="E195" s="16" t="inlineStr">
        <is>
          <t>Клапан предохранит. фланцевый угловой Ду32Ру4 (524-03.090)</t>
        </is>
      </c>
      <c r="F195" s="15" t="inlineStr"/>
      <c r="G195" s="17" t="n"/>
      <c r="H195" s="15" t="n">
        <v>1</v>
      </c>
      <c r="I195" s="17" t="n"/>
      <c r="J195" s="18">
        <f>IF(I195="","",I195-H195)</f>
        <v/>
      </c>
      <c r="K195" s="19" t="n">
        <v>7</v>
      </c>
      <c r="L195" s="20">
        <f>K195*'Расходы на доставку'!$C$18</f>
        <v/>
      </c>
      <c r="M195" s="21" t="n">
        <v>9600</v>
      </c>
      <c r="N195" s="20">
        <f>IF(M195="","",M195+L195)</f>
        <v/>
      </c>
      <c r="O195" s="22">
        <f>IFERROR(L195/N195,"")</f>
        <v/>
      </c>
      <c r="P195" s="21" t="n"/>
      <c r="Q195" s="22">
        <f>IFERROR(P195/N195-1,"")</f>
        <v/>
      </c>
      <c r="R195" s="17" t="n"/>
      <c r="S195" s="23" t="n"/>
    </row>
    <row r="196">
      <c r="A196" s="15" t="n">
        <v>192</v>
      </c>
      <c r="B196" s="15" t="inlineStr">
        <is>
          <t>Контейнер 2</t>
        </is>
      </c>
      <c r="C196" s="15" t="inlineStr">
        <is>
          <t>клапан фланцевый</t>
        </is>
      </c>
      <c r="D196" s="15" t="inlineStr">
        <is>
          <t>Ду32</t>
        </is>
      </c>
      <c r="E196" s="16" t="inlineStr">
        <is>
          <t>Клапан фланцевый проходной ДУ32 Ру25 (сталь)</t>
        </is>
      </c>
      <c r="F196" s="15" t="inlineStr">
        <is>
          <t>сталь</t>
        </is>
      </c>
      <c r="G196" s="17" t="n"/>
      <c r="H196" s="15" t="n">
        <v>1</v>
      </c>
      <c r="I196" s="17" t="n"/>
      <c r="J196" s="18">
        <f>IF(I196="","",I196-H196)</f>
        <v/>
      </c>
      <c r="K196" s="19" t="n">
        <v>7</v>
      </c>
      <c r="L196" s="20">
        <f>K196*'Расходы на доставку'!$C$18</f>
        <v/>
      </c>
      <c r="M196" s="21" t="n">
        <v>9600</v>
      </c>
      <c r="N196" s="20">
        <f>IF(M196="","",M196+L196)</f>
        <v/>
      </c>
      <c r="O196" s="22">
        <f>IFERROR(L196/N196,"")</f>
        <v/>
      </c>
      <c r="P196" s="21" t="n"/>
      <c r="Q196" s="22">
        <f>IFERROR(P196/N196-1,"")</f>
        <v/>
      </c>
      <c r="R196" s="17" t="n"/>
      <c r="S196" s="23" t="n"/>
    </row>
    <row r="197">
      <c r="A197" s="15" t="n">
        <v>193</v>
      </c>
      <c r="B197" s="15" t="inlineStr">
        <is>
          <t>Контейнер 2</t>
        </is>
      </c>
      <c r="C197" s="15" t="inlineStr">
        <is>
          <t>клапан фланцевый</t>
        </is>
      </c>
      <c r="D197" s="15" t="inlineStr">
        <is>
          <t>Ду65</t>
        </is>
      </c>
      <c r="E197" s="16" t="inlineStr">
        <is>
          <t>Клапан фланцевый проходной Ду65</t>
        </is>
      </c>
      <c r="F197" s="15" t="inlineStr"/>
      <c r="G197" s="17" t="n"/>
      <c r="H197" s="15" t="n">
        <v>25</v>
      </c>
      <c r="I197" s="17" t="n"/>
      <c r="J197" s="18">
        <f>IF(I197="","",I197-H197)</f>
        <v/>
      </c>
      <c r="K197" s="19" t="n">
        <v>20</v>
      </c>
      <c r="L197" s="20">
        <f>K197*'Расходы на доставку'!$C$18</f>
        <v/>
      </c>
      <c r="M197" s="21" t="n">
        <v>27000</v>
      </c>
      <c r="N197" s="20">
        <f>IF(M197="","",M197+L197)</f>
        <v/>
      </c>
      <c r="O197" s="22">
        <f>IFERROR(L197/N197,"")</f>
        <v/>
      </c>
      <c r="P197" s="21" t="n"/>
      <c r="Q197" s="22">
        <f>IFERROR(P197/N197-1,"")</f>
        <v/>
      </c>
      <c r="R197" s="17" t="n"/>
      <c r="S197" s="23" t="n"/>
    </row>
    <row r="198">
      <c r="A198" s="15" t="n">
        <v>194</v>
      </c>
      <c r="B198" s="15" t="inlineStr">
        <is>
          <t>Контейнер 2</t>
        </is>
      </c>
      <c r="C198" s="15" t="inlineStr">
        <is>
          <t>клапан фланцевый</t>
        </is>
      </c>
      <c r="D198" s="15" t="inlineStr">
        <is>
          <t>Ду65</t>
        </is>
      </c>
      <c r="E198" s="16" t="inlineStr">
        <is>
          <t>Клапан фланцевый проходной Ду65 Ру10</t>
        </is>
      </c>
      <c r="F198" s="15" t="inlineStr"/>
      <c r="G198" s="17" t="n"/>
      <c r="H198" s="15" t="n">
        <v>1</v>
      </c>
      <c r="I198" s="17" t="n"/>
      <c r="J198" s="18">
        <f>IF(I198="","",I198-H198)</f>
        <v/>
      </c>
      <c r="K198" s="19" t="n">
        <v>20</v>
      </c>
      <c r="L198" s="20">
        <f>K198*'Расходы на доставку'!$C$18</f>
        <v/>
      </c>
      <c r="M198" s="21" t="n">
        <v>27000</v>
      </c>
      <c r="N198" s="20">
        <f>IF(M198="","",M198+L198)</f>
        <v/>
      </c>
      <c r="O198" s="22">
        <f>IFERROR(L198/N198,"")</f>
        <v/>
      </c>
      <c r="P198" s="21" t="n"/>
      <c r="Q198" s="22">
        <f>IFERROR(P198/N198-1,"")</f>
        <v/>
      </c>
      <c r="R198" s="17" t="n"/>
      <c r="S198" s="23" t="n"/>
    </row>
    <row r="199">
      <c r="A199" s="15" t="n">
        <v>195</v>
      </c>
      <c r="B199" s="15" t="inlineStr">
        <is>
          <t>Контейнер 2</t>
        </is>
      </c>
      <c r="C199" s="15" t="inlineStr">
        <is>
          <t>коробка клапанная</t>
        </is>
      </c>
      <c r="D199" s="15" t="inlineStr">
        <is>
          <t>Ду80</t>
        </is>
      </c>
      <c r="E199" s="16" t="inlineStr">
        <is>
          <t>Коробка 2-х клапановая фланцевая Ду80</t>
        </is>
      </c>
      <c r="F199" s="15" t="inlineStr"/>
      <c r="G199" s="17" t="n"/>
      <c r="H199" s="15" t="n">
        <v>2</v>
      </c>
      <c r="I199" s="17" t="n"/>
      <c r="J199" s="18">
        <f>IF(I199="","",I199-H199)</f>
        <v/>
      </c>
      <c r="K199" s="19" t="n">
        <v>45</v>
      </c>
      <c r="L199" s="20">
        <f>K199*'Расходы на доставку'!$C$18</f>
        <v/>
      </c>
      <c r="M199" s="21" t="n">
        <v>60000</v>
      </c>
      <c r="N199" s="20">
        <f>IF(M199="","",M199+L199)</f>
        <v/>
      </c>
      <c r="O199" s="22">
        <f>IFERROR(L199/N199,"")</f>
        <v/>
      </c>
      <c r="P199" s="21" t="n"/>
      <c r="Q199" s="22">
        <f>IFERROR(P199/N199-1,"")</f>
        <v/>
      </c>
      <c r="R199" s="17" t="n"/>
      <c r="S199" s="23" t="n"/>
    </row>
    <row r="200">
      <c r="A200" s="15" t="n">
        <v>196</v>
      </c>
      <c r="B200" s="15" t="inlineStr">
        <is>
          <t>Контейнер 2</t>
        </is>
      </c>
      <c r="C200" s="15" t="inlineStr">
        <is>
          <t>клапан фланцевый</t>
        </is>
      </c>
      <c r="D200" s="15" t="inlineStr">
        <is>
          <t>Ду70</t>
        </is>
      </c>
      <c r="E200" s="16" t="inlineStr">
        <is>
          <t>Клапан фланцевый проходной Ду70 Ру10</t>
        </is>
      </c>
      <c r="F200" s="15" t="inlineStr"/>
      <c r="G200" s="17" t="n"/>
      <c r="H200" s="15" t="n">
        <v>5</v>
      </c>
      <c r="I200" s="17" t="n"/>
      <c r="J200" s="18">
        <f>IF(I200="","",I200-H200)</f>
        <v/>
      </c>
      <c r="K200" s="19" t="n">
        <v>23</v>
      </c>
      <c r="L200" s="20">
        <f>K200*'Расходы на доставку'!$C$18</f>
        <v/>
      </c>
      <c r="M200" s="21" t="n">
        <v>30000</v>
      </c>
      <c r="N200" s="20">
        <f>IF(M200="","",M200+L200)</f>
        <v/>
      </c>
      <c r="O200" s="22">
        <f>IFERROR(L200/N200,"")</f>
        <v/>
      </c>
      <c r="P200" s="21" t="n"/>
      <c r="Q200" s="22">
        <f>IFERROR(P200/N200-1,"")</f>
        <v/>
      </c>
      <c r="R200" s="17" t="n"/>
      <c r="S200" s="23" t="n"/>
    </row>
    <row r="201">
      <c r="A201" s="15" t="n">
        <v>197</v>
      </c>
      <c r="B201" s="15" t="inlineStr">
        <is>
          <t>Контейнер 2</t>
        </is>
      </c>
      <c r="C201" s="15" t="inlineStr">
        <is>
          <t>клапан фланцевый</t>
        </is>
      </c>
      <c r="D201" s="15" t="inlineStr">
        <is>
          <t>Ду70</t>
        </is>
      </c>
      <c r="E201" s="16" t="inlineStr">
        <is>
          <t>Клапан фланцевый проходной Ду70 Ру10</t>
        </is>
      </c>
      <c r="F201" s="15" t="inlineStr"/>
      <c r="G201" s="17" t="n"/>
      <c r="H201" s="15" t="n">
        <v>2</v>
      </c>
      <c r="I201" s="17" t="n"/>
      <c r="J201" s="18">
        <f>IF(I201="","",I201-H201)</f>
        <v/>
      </c>
      <c r="K201" s="19" t="n">
        <v>23</v>
      </c>
      <c r="L201" s="20">
        <f>K201*'Расходы на доставку'!$C$18</f>
        <v/>
      </c>
      <c r="M201" s="21" t="n">
        <v>30000</v>
      </c>
      <c r="N201" s="20">
        <f>IF(M201="","",M201+L201)</f>
        <v/>
      </c>
      <c r="O201" s="22">
        <f>IFERROR(L201/N201,"")</f>
        <v/>
      </c>
      <c r="P201" s="21" t="n"/>
      <c r="Q201" s="22">
        <f>IFERROR(P201/N201-1,"")</f>
        <v/>
      </c>
      <c r="R201" s="17" t="n"/>
      <c r="S201" s="23" t="n"/>
    </row>
    <row r="202">
      <c r="A202" s="15" t="n">
        <v>198</v>
      </c>
      <c r="B202" s="15" t="inlineStr">
        <is>
          <t>Контейнер 2</t>
        </is>
      </c>
      <c r="C202" s="15" t="inlineStr">
        <is>
          <t>клапан фланцевый</t>
        </is>
      </c>
      <c r="D202" s="15" t="inlineStr">
        <is>
          <t>Ду50</t>
        </is>
      </c>
      <c r="E202" s="16" t="inlineStr">
        <is>
          <t>Клапан проходной фланцевый Ду50 - БРАК</t>
        </is>
      </c>
      <c r="F202" s="15" t="inlineStr"/>
      <c r="G202" s="17" t="n"/>
      <c r="H202" s="15" t="n">
        <v>8</v>
      </c>
      <c r="I202" s="17" t="n"/>
      <c r="J202" s="18">
        <f>IF(I202="","",I202-H202)</f>
        <v/>
      </c>
      <c r="K202" s="19" t="n">
        <v>14</v>
      </c>
      <c r="L202" s="20">
        <f>K202*'Расходы на доставку'!$C$18</f>
        <v/>
      </c>
      <c r="M202" s="21" t="n">
        <v>18000</v>
      </c>
      <c r="N202" s="20">
        <f>IF(M202="","",M202+L202)</f>
        <v/>
      </c>
      <c r="O202" s="22">
        <f>IFERROR(L202/N202,"")</f>
        <v/>
      </c>
      <c r="P202" s="21" t="n"/>
      <c r="Q202" s="22">
        <f>IFERROR(P202/N202-1,"")</f>
        <v/>
      </c>
      <c r="R202" s="17" t="n"/>
      <c r="S202" s="23" t="n"/>
    </row>
    <row r="203">
      <c r="A203" s="15" t="n">
        <v>199</v>
      </c>
      <c r="B203" s="15" t="inlineStr">
        <is>
          <t>Контейнер 2</t>
        </is>
      </c>
      <c r="C203" s="15" t="inlineStr">
        <is>
          <t>клапан фланцевый</t>
        </is>
      </c>
      <c r="D203" s="15" t="inlineStr">
        <is>
          <t>Ду80</t>
        </is>
      </c>
      <c r="E203" s="16" t="inlineStr">
        <is>
          <t>Клапан фланцевый проходной Ду80</t>
        </is>
      </c>
      <c r="F203" s="15" t="inlineStr"/>
      <c r="G203" s="17" t="n"/>
      <c r="H203" s="15" t="n">
        <v>6</v>
      </c>
      <c r="I203" s="17" t="n"/>
      <c r="J203" s="18">
        <f>IF(I203="","",I203-H203)</f>
        <v/>
      </c>
      <c r="K203" s="19" t="n">
        <v>28</v>
      </c>
      <c r="L203" s="20">
        <f>K203*'Расходы на доставку'!$C$18</f>
        <v/>
      </c>
      <c r="M203" s="21" t="n">
        <v>36000</v>
      </c>
      <c r="N203" s="20">
        <f>IF(M203="","",M203+L203)</f>
        <v/>
      </c>
      <c r="O203" s="22">
        <f>IFERROR(L203/N203,"")</f>
        <v/>
      </c>
      <c r="P203" s="21" t="n"/>
      <c r="Q203" s="22">
        <f>IFERROR(P203/N203-1,"")</f>
        <v/>
      </c>
      <c r="R203" s="17" t="n"/>
      <c r="S203" s="23" t="n"/>
    </row>
    <row r="204">
      <c r="A204" s="15" t="n">
        <v>200</v>
      </c>
      <c r="B204" s="15" t="inlineStr">
        <is>
          <t>Контейнер 2</t>
        </is>
      </c>
      <c r="C204" s="15" t="inlineStr">
        <is>
          <t>клинкет (задвижка)</t>
        </is>
      </c>
      <c r="D204" s="15" t="inlineStr"/>
      <c r="E204" s="16" t="inlineStr">
        <is>
          <t>Электропривод к задвижке</t>
        </is>
      </c>
      <c r="F204" s="15" t="inlineStr"/>
      <c r="G204" s="17" t="n"/>
      <c r="H204" s="15" t="n">
        <v>1</v>
      </c>
      <c r="I204" s="17" t="n"/>
      <c r="J204" s="18">
        <f>IF(I204="","",I204-H204)</f>
        <v/>
      </c>
      <c r="K204" s="19" t="n">
        <v>40</v>
      </c>
      <c r="L204" s="20">
        <f>K204*'Расходы на доставку'!$C$18</f>
        <v/>
      </c>
      <c r="M204" s="21" t="n">
        <v>50000</v>
      </c>
      <c r="N204" s="20">
        <f>IF(M204="","",M204+L204)</f>
        <v/>
      </c>
      <c r="O204" s="22">
        <f>IFERROR(L204/N204,"")</f>
        <v/>
      </c>
      <c r="P204" s="21" t="n"/>
      <c r="Q204" s="22">
        <f>IFERROR(P204/N204-1,"")</f>
        <v/>
      </c>
      <c r="R204" s="17" t="n"/>
      <c r="S204" s="23" t="n"/>
    </row>
    <row r="205">
      <c r="A205" s="15" t="n">
        <v>201</v>
      </c>
      <c r="B205" s="15" t="inlineStr">
        <is>
          <t>Контейнер 2</t>
        </is>
      </c>
      <c r="C205" s="15" t="inlineStr">
        <is>
          <t>фильтр забортной воды</t>
        </is>
      </c>
      <c r="D205" s="15" t="inlineStr">
        <is>
          <t>Ду100</t>
        </is>
      </c>
      <c r="E205" s="16" t="inlineStr">
        <is>
          <t>Сетка на фильтр Ду100 или Ду80</t>
        </is>
      </c>
      <c r="F205" s="15" t="inlineStr"/>
      <c r="G205" s="17" t="n"/>
      <c r="H205" s="15" t="n">
        <v>2</v>
      </c>
      <c r="I205" s="17" t="n"/>
      <c r="J205" s="18">
        <f>IF(I205="","",I205-H205)</f>
        <v/>
      </c>
      <c r="K205" s="19" t="n">
        <v>8</v>
      </c>
      <c r="L205" s="20">
        <f>K205*'Расходы на доставку'!$C$18</f>
        <v/>
      </c>
      <c r="M205" s="21" t="n">
        <v>10000</v>
      </c>
      <c r="N205" s="20">
        <f>IF(M205="","",M205+L205)</f>
        <v/>
      </c>
      <c r="O205" s="22">
        <f>IFERROR(L205/N205,"")</f>
        <v/>
      </c>
      <c r="P205" s="21" t="n"/>
      <c r="Q205" s="22">
        <f>IFERROR(P205/N205-1,"")</f>
        <v/>
      </c>
      <c r="R205" s="17" t="n"/>
      <c r="S205" s="23" t="n"/>
    </row>
    <row r="206">
      <c r="A206" s="15" t="n">
        <v>202</v>
      </c>
      <c r="B206" s="15" t="inlineStr">
        <is>
          <t>Контейнер 2</t>
        </is>
      </c>
      <c r="C206" s="15" t="inlineStr">
        <is>
          <t>фильтр забортной воды</t>
        </is>
      </c>
      <c r="D206" s="15" t="inlineStr">
        <is>
          <t>Ду100</t>
        </is>
      </c>
      <c r="E206" s="16" t="inlineStr">
        <is>
          <t>Сетка на фильтр Ду100 (медь) на кингстон РС-300</t>
        </is>
      </c>
      <c r="F206" s="15" t="inlineStr"/>
      <c r="G206" s="17" t="n"/>
      <c r="H206" s="15" t="n">
        <v>2</v>
      </c>
      <c r="I206" s="17" t="n"/>
      <c r="J206" s="18">
        <f>IF(I206="","",I206-H206)</f>
        <v/>
      </c>
      <c r="K206" s="19" t="n">
        <v>8</v>
      </c>
      <c r="L206" s="20">
        <f>K206*'Расходы на доставку'!$C$18</f>
        <v/>
      </c>
      <c r="M206" s="21" t="n">
        <v>10000</v>
      </c>
      <c r="N206" s="20">
        <f>IF(M206="","",M206+L206)</f>
        <v/>
      </c>
      <c r="O206" s="22">
        <f>IFERROR(L206/N206,"")</f>
        <v/>
      </c>
      <c r="P206" s="21" t="n"/>
      <c r="Q206" s="22">
        <f>IFERROR(P206/N206-1,"")</f>
        <v/>
      </c>
      <c r="R206" s="17" t="n"/>
      <c r="S206" s="23" t="n"/>
    </row>
    <row r="207">
      <c r="A207" s="15" t="n">
        <v>203</v>
      </c>
      <c r="B207" s="15" t="inlineStr">
        <is>
          <t>Контейнер 2</t>
        </is>
      </c>
      <c r="C207" s="15" t="inlineStr">
        <is>
          <t>клапан фланцевый</t>
        </is>
      </c>
      <c r="D207" s="15" t="inlineStr">
        <is>
          <t>Ду40</t>
        </is>
      </c>
      <c r="E207" s="16" t="inlineStr">
        <is>
          <t>Клапан проходной фланцевый Ду40 - БРАК</t>
        </is>
      </c>
      <c r="F207" s="15" t="inlineStr"/>
      <c r="G207" s="17" t="n"/>
      <c r="H207" s="15" t="n">
        <v>13</v>
      </c>
      <c r="I207" s="17" t="n"/>
      <c r="J207" s="18">
        <f>IF(I207="","",I207-H207)</f>
        <v/>
      </c>
      <c r="K207" s="19" t="n">
        <v>10</v>
      </c>
      <c r="L207" s="20">
        <f>K207*'Расходы на доставку'!$C$18</f>
        <v/>
      </c>
      <c r="M207" s="21" t="n">
        <v>12000</v>
      </c>
      <c r="N207" s="20">
        <f>IF(M207="","",M207+L207)</f>
        <v/>
      </c>
      <c r="O207" s="22">
        <f>IFERROR(L207/N207,"")</f>
        <v/>
      </c>
      <c r="P207" s="21" t="n"/>
      <c r="Q207" s="22">
        <f>IFERROR(P207/N207-1,"")</f>
        <v/>
      </c>
      <c r="R207" s="17" t="n"/>
      <c r="S207" s="23" t="n"/>
    </row>
    <row r="208">
      <c r="A208" s="15" t="n">
        <v>204</v>
      </c>
      <c r="B208" s="15" t="inlineStr">
        <is>
          <t>Контейнер 2</t>
        </is>
      </c>
      <c r="C208" s="15" t="inlineStr">
        <is>
          <t>прочая арматура</t>
        </is>
      </c>
      <c r="D208" s="15" t="inlineStr">
        <is>
          <t>Ду10</t>
        </is>
      </c>
      <c r="E208" s="16" t="inlineStr">
        <is>
          <t>Клапан для колонки указательной Ду10 Ру16</t>
        </is>
      </c>
      <c r="F208" s="15" t="inlineStr"/>
      <c r="G208" s="17" t="n"/>
      <c r="H208" s="15" t="n">
        <v>6</v>
      </c>
      <c r="I208" s="17" t="n"/>
      <c r="J208" s="18">
        <f>IF(I208="","",I208-H208)</f>
        <v/>
      </c>
      <c r="K208" s="19" t="n">
        <v>5</v>
      </c>
      <c r="L208" s="20">
        <f>K208*'Расходы на доставку'!$C$18</f>
        <v/>
      </c>
      <c r="M208" s="21" t="n">
        <v>6000</v>
      </c>
      <c r="N208" s="20">
        <f>IF(M208="","",M208+L208)</f>
        <v/>
      </c>
      <c r="O208" s="22">
        <f>IFERROR(L208/N208,"")</f>
        <v/>
      </c>
      <c r="P208" s="21" t="n"/>
      <c r="Q208" s="22">
        <f>IFERROR(P208/N208-1,"")</f>
        <v/>
      </c>
      <c r="R208" s="17" t="n"/>
      <c r="S208" s="23" t="n"/>
    </row>
    <row r="209">
      <c r="A209" s="15" t="n">
        <v>205</v>
      </c>
      <c r="B209" s="15" t="inlineStr">
        <is>
          <t>Контейнер 2</t>
        </is>
      </c>
      <c r="C209" s="15" t="inlineStr">
        <is>
          <t>клапан фланцевый</t>
        </is>
      </c>
      <c r="D209" s="15" t="inlineStr">
        <is>
          <t>Ду200</t>
        </is>
      </c>
      <c r="E209" s="16" t="inlineStr">
        <is>
          <t>Клапан фланцевый проходной Ду200</t>
        </is>
      </c>
      <c r="F209" s="15" t="inlineStr"/>
      <c r="G209" s="17" t="n"/>
      <c r="H209" s="15" t="n">
        <v>3</v>
      </c>
      <c r="I209" s="17" t="n"/>
      <c r="J209" s="18">
        <f>IF(I209="","",I209-H209)</f>
        <v/>
      </c>
      <c r="K209" s="19" t="n">
        <v>130</v>
      </c>
      <c r="L209" s="20">
        <f>K209*'Расходы на доставку'!$C$18</f>
        <v/>
      </c>
      <c r="M209" s="21" t="n">
        <v>150000</v>
      </c>
      <c r="N209" s="20">
        <f>IF(M209="","",M209+L209)</f>
        <v/>
      </c>
      <c r="O209" s="22">
        <f>IFERROR(L209/N209,"")</f>
        <v/>
      </c>
      <c r="P209" s="21" t="n"/>
      <c r="Q209" s="22">
        <f>IFERROR(P209/N209-1,"")</f>
        <v/>
      </c>
      <c r="R209" s="17" t="n"/>
      <c r="S209" s="23" t="n"/>
    </row>
    <row r="210">
      <c r="A210" s="15" t="n">
        <v>206</v>
      </c>
      <c r="B210" s="15" t="inlineStr">
        <is>
          <t>Контейнер 2</t>
        </is>
      </c>
      <c r="C210" s="15" t="inlineStr">
        <is>
          <t>клапан фланцевый</t>
        </is>
      </c>
      <c r="D210" s="15" t="inlineStr">
        <is>
          <t>Ду80</t>
        </is>
      </c>
      <c r="E210" s="16" t="inlineStr">
        <is>
          <t>Клапан фланцевый проходной Ду 80 Ру 10, 521 -35.3451</t>
        </is>
      </c>
      <c r="F210" s="15" t="inlineStr"/>
      <c r="G210" s="17" t="n"/>
      <c r="H210" s="15" t="n">
        <v>1</v>
      </c>
      <c r="I210" s="17" t="n"/>
      <c r="J210" s="18">
        <f>IF(I210="","",I210-H210)</f>
        <v/>
      </c>
      <c r="K210" s="19" t="n">
        <v>28</v>
      </c>
      <c r="L210" s="20">
        <f>K210*'Расходы на доставку'!$C$18</f>
        <v/>
      </c>
      <c r="M210" s="21" t="n">
        <v>32000</v>
      </c>
      <c r="N210" s="20">
        <f>IF(M210="","",M210+L210)</f>
        <v/>
      </c>
      <c r="O210" s="22">
        <f>IFERROR(L210/N210,"")</f>
        <v/>
      </c>
      <c r="P210" s="21" t="n"/>
      <c r="Q210" s="22">
        <f>IFERROR(P210/N210-1,"")</f>
        <v/>
      </c>
      <c r="R210" s="17" t="n"/>
      <c r="S210" s="23" t="n"/>
    </row>
    <row r="211">
      <c r="A211" s="15" t="n">
        <v>207</v>
      </c>
      <c r="B211" s="15" t="inlineStr">
        <is>
          <t>Контейнер 2</t>
        </is>
      </c>
      <c r="C211" s="15" t="inlineStr">
        <is>
          <t>захлопка</t>
        </is>
      </c>
      <c r="D211" s="15" t="inlineStr">
        <is>
          <t>Ду100</t>
        </is>
      </c>
      <c r="E211" s="16" t="inlineStr">
        <is>
          <t>Захлопка фланцевая проходная Ду100Ру6,3</t>
        </is>
      </c>
      <c r="F211" s="15" t="inlineStr"/>
      <c r="G211" s="17" t="n"/>
      <c r="H211" s="15" t="n">
        <v>1</v>
      </c>
      <c r="I211" s="17" t="n"/>
      <c r="J211" s="18">
        <f>IF(I211="","",I211-H211)</f>
        <v/>
      </c>
      <c r="K211" s="19" t="n">
        <v>35</v>
      </c>
      <c r="L211" s="20">
        <f>K211*'Расходы на доставку'!$C$18</f>
        <v/>
      </c>
      <c r="M211" s="21" t="n">
        <v>40000</v>
      </c>
      <c r="N211" s="20">
        <f>IF(M211="","",M211+L211)</f>
        <v/>
      </c>
      <c r="O211" s="22">
        <f>IFERROR(L211/N211,"")</f>
        <v/>
      </c>
      <c r="P211" s="21" t="n"/>
      <c r="Q211" s="22">
        <f>IFERROR(P211/N211-1,"")</f>
        <v/>
      </c>
      <c r="R211" s="17" t="n"/>
      <c r="S211" s="23" t="n"/>
    </row>
    <row r="212">
      <c r="A212" s="15" t="n">
        <v>208</v>
      </c>
      <c r="B212" s="15" t="inlineStr">
        <is>
          <t>Контейнер 2</t>
        </is>
      </c>
      <c r="C212" s="15" t="inlineStr">
        <is>
          <t>захлопка</t>
        </is>
      </c>
      <c r="D212" s="15" t="inlineStr">
        <is>
          <t>Ду100</t>
        </is>
      </c>
      <c r="E212" s="16" t="inlineStr">
        <is>
          <t>Захлопка фланцевая горизон. Ду100 Ру10</t>
        </is>
      </c>
      <c r="F212" s="15" t="inlineStr"/>
      <c r="G212" s="17" t="n"/>
      <c r="H212" s="15" t="n">
        <v>3</v>
      </c>
      <c r="I212" s="17" t="n"/>
      <c r="J212" s="18">
        <f>IF(I212="","",I212-H212)</f>
        <v/>
      </c>
      <c r="K212" s="19" t="n">
        <v>35</v>
      </c>
      <c r="L212" s="20">
        <f>K212*'Расходы на доставку'!$C$18</f>
        <v/>
      </c>
      <c r="M212" s="21" t="n">
        <v>40000</v>
      </c>
      <c r="N212" s="20">
        <f>IF(M212="","",M212+L212)</f>
        <v/>
      </c>
      <c r="O212" s="22">
        <f>IFERROR(L212/N212,"")</f>
        <v/>
      </c>
      <c r="P212" s="21" t="n"/>
      <c r="Q212" s="22">
        <f>IFERROR(P212/N212-1,"")</f>
        <v/>
      </c>
      <c r="R212" s="17" t="n"/>
      <c r="S212" s="23" t="n"/>
    </row>
    <row r="213">
      <c r="A213" s="15" t="n">
        <v>209</v>
      </c>
      <c r="B213" s="15" t="inlineStr">
        <is>
          <t>Контейнер 2</t>
        </is>
      </c>
      <c r="C213" s="15" t="inlineStr">
        <is>
          <t>захлопка</t>
        </is>
      </c>
      <c r="D213" s="15" t="inlineStr">
        <is>
          <t>Ду100</t>
        </is>
      </c>
      <c r="E213" s="16" t="inlineStr">
        <is>
          <t>Захлопка фланцевая вертикальная Ду100</t>
        </is>
      </c>
      <c r="F213" s="15" t="inlineStr"/>
      <c r="G213" s="17" t="n"/>
      <c r="H213" s="15" t="n">
        <v>1</v>
      </c>
      <c r="I213" s="17" t="n"/>
      <c r="J213" s="18">
        <f>IF(I213="","",I213-H213)</f>
        <v/>
      </c>
      <c r="K213" s="19" t="n">
        <v>35</v>
      </c>
      <c r="L213" s="20">
        <f>K213*'Расходы на доставку'!$C$18</f>
        <v/>
      </c>
      <c r="M213" s="21" t="n">
        <v>40000</v>
      </c>
      <c r="N213" s="20">
        <f>IF(M213="","",M213+L213)</f>
        <v/>
      </c>
      <c r="O213" s="22">
        <f>IFERROR(L213/N213,"")</f>
        <v/>
      </c>
      <c r="P213" s="21" t="n"/>
      <c r="Q213" s="22">
        <f>IFERROR(P213/N213-1,"")</f>
        <v/>
      </c>
      <c r="R213" s="17" t="n"/>
      <c r="S213" s="23" t="n"/>
    </row>
    <row r="214">
      <c r="A214" s="15" t="n">
        <v>210</v>
      </c>
      <c r="B214" s="15" t="inlineStr">
        <is>
          <t>Контейнер 2</t>
        </is>
      </c>
      <c r="C214" s="15" t="inlineStr">
        <is>
          <t>захлопка</t>
        </is>
      </c>
      <c r="D214" s="15" t="inlineStr">
        <is>
          <t>Ду100</t>
        </is>
      </c>
      <c r="E214" s="16" t="inlineStr">
        <is>
          <t>Захлопка фланцевая угловая Ду100Ру10</t>
        </is>
      </c>
      <c r="F214" s="15" t="inlineStr"/>
      <c r="G214" s="17" t="n"/>
      <c r="H214" s="15" t="n">
        <v>1</v>
      </c>
      <c r="I214" s="17" t="n"/>
      <c r="J214" s="18">
        <f>IF(I214="","",I214-H214)</f>
        <v/>
      </c>
      <c r="K214" s="19" t="n">
        <v>35</v>
      </c>
      <c r="L214" s="20">
        <f>K214*'Расходы на доставку'!$C$18</f>
        <v/>
      </c>
      <c r="M214" s="21" t="n">
        <v>40000</v>
      </c>
      <c r="N214" s="20">
        <f>IF(M214="","",M214+L214)</f>
        <v/>
      </c>
      <c r="O214" s="22">
        <f>IFERROR(L214/N214,"")</f>
        <v/>
      </c>
      <c r="P214" s="21" t="n"/>
      <c r="Q214" s="22">
        <f>IFERROR(P214/N214-1,"")</f>
        <v/>
      </c>
      <c r="R214" s="17" t="n"/>
      <c r="S214" s="23" t="n"/>
    </row>
    <row r="215">
      <c r="A215" s="15" t="n">
        <v>211</v>
      </c>
      <c r="B215" s="15" t="inlineStr">
        <is>
          <t>Контейнер 2</t>
        </is>
      </c>
      <c r="C215" s="15" t="inlineStr">
        <is>
          <t>клинкет (задвижка)</t>
        </is>
      </c>
      <c r="D215" s="15" t="inlineStr">
        <is>
          <t>Ду60</t>
        </is>
      </c>
      <c r="E215" s="16" t="inlineStr">
        <is>
          <t>Задвижка клинкетная Ду60</t>
        </is>
      </c>
      <c r="F215" s="15" t="inlineStr"/>
      <c r="G215" s="17" t="n"/>
      <c r="H215" s="15" t="n">
        <v>1</v>
      </c>
      <c r="I215" s="17" t="n"/>
      <c r="J215" s="18">
        <f>IF(I215="","",I215-H215)</f>
        <v/>
      </c>
      <c r="K215" s="19" t="n">
        <v>16</v>
      </c>
      <c r="L215" s="20">
        <f>K215*'Расходы на доставку'!$C$18</f>
        <v/>
      </c>
      <c r="M215" s="21" t="n">
        <v>18000</v>
      </c>
      <c r="N215" s="20">
        <f>IF(M215="","",M215+L215)</f>
        <v/>
      </c>
      <c r="O215" s="22">
        <f>IFERROR(L215/N215,"")</f>
        <v/>
      </c>
      <c r="P215" s="21" t="n"/>
      <c r="Q215" s="22">
        <f>IFERROR(P215/N215-1,"")</f>
        <v/>
      </c>
      <c r="R215" s="17" t="n"/>
      <c r="S215" s="23" t="n"/>
    </row>
    <row r="216">
      <c r="A216" s="15" t="n">
        <v>212</v>
      </c>
      <c r="B216" s="15" t="inlineStr">
        <is>
          <t>Контейнер 2</t>
        </is>
      </c>
      <c r="C216" s="15" t="inlineStr">
        <is>
          <t>клинкет (задвижка)</t>
        </is>
      </c>
      <c r="D216" s="15" t="inlineStr">
        <is>
          <t>Ду200</t>
        </is>
      </c>
      <c r="E216" s="16" t="inlineStr">
        <is>
          <t>Клинкет Ду 200</t>
        </is>
      </c>
      <c r="F216" s="15" t="inlineStr"/>
      <c r="G216" s="17" t="n"/>
      <c r="H216" s="15" t="n">
        <v>11</v>
      </c>
      <c r="I216" s="17" t="n"/>
      <c r="J216" s="18">
        <f>IF(I216="","",I216-H216)</f>
        <v/>
      </c>
      <c r="K216" s="19" t="n">
        <v>140</v>
      </c>
      <c r="L216" s="20">
        <f>K216*'Расходы на доставку'!$C$18</f>
        <v/>
      </c>
      <c r="M216" s="21" t="n">
        <v>150000</v>
      </c>
      <c r="N216" s="20">
        <f>IF(M216="","",M216+L216)</f>
        <v/>
      </c>
      <c r="O216" s="22">
        <f>IFERROR(L216/N216,"")</f>
        <v/>
      </c>
      <c r="P216" s="21" t="n"/>
      <c r="Q216" s="22">
        <f>IFERROR(P216/N216-1,"")</f>
        <v/>
      </c>
      <c r="R216" s="17" t="n"/>
      <c r="S216" s="23" t="n"/>
    </row>
    <row r="217">
      <c r="A217" s="15" t="n">
        <v>213</v>
      </c>
      <c r="B217" s="15" t="inlineStr">
        <is>
          <t>Контейнер 2</t>
        </is>
      </c>
      <c r="C217" s="15" t="inlineStr">
        <is>
          <t>клапан фланцевый</t>
        </is>
      </c>
      <c r="D217" s="15" t="inlineStr">
        <is>
          <t>Ду50</t>
        </is>
      </c>
      <c r="E217" s="16" t="inlineStr">
        <is>
          <t>Клапан фланцевый проходной Ду50 Ру 40 сталь (522-01-322)</t>
        </is>
      </c>
      <c r="F217" s="15" t="inlineStr">
        <is>
          <t>сталь</t>
        </is>
      </c>
      <c r="G217" s="17" t="n"/>
      <c r="H217" s="15" t="n">
        <v>2</v>
      </c>
      <c r="I217" s="17" t="n"/>
      <c r="J217" s="18">
        <f>IF(I217="","",I217-H217)</f>
        <v/>
      </c>
      <c r="K217" s="19" t="n">
        <v>14</v>
      </c>
      <c r="L217" s="20">
        <f>K217*'Расходы на доставку'!$C$18</f>
        <v/>
      </c>
      <c r="M217" s="21" t="n">
        <v>15000</v>
      </c>
      <c r="N217" s="20">
        <f>IF(M217="","",M217+L217)</f>
        <v/>
      </c>
      <c r="O217" s="22">
        <f>IFERROR(L217/N217,"")</f>
        <v/>
      </c>
      <c r="P217" s="21" t="n"/>
      <c r="Q217" s="22">
        <f>IFERROR(P217/N217-1,"")</f>
        <v/>
      </c>
      <c r="R217" s="17" t="n"/>
      <c r="S217" s="23" t="n"/>
    </row>
    <row r="218">
      <c r="A218" s="15" t="n">
        <v>214</v>
      </c>
      <c r="B218" s="15" t="inlineStr">
        <is>
          <t>Контейнер 2</t>
        </is>
      </c>
      <c r="C218" s="15" t="inlineStr">
        <is>
          <t>клапан фланцевый</t>
        </is>
      </c>
      <c r="D218" s="15" t="inlineStr">
        <is>
          <t>Ду150</t>
        </is>
      </c>
      <c r="E218" s="16" t="inlineStr">
        <is>
          <t>Клапан фланцевый проходной Ду150</t>
        </is>
      </c>
      <c r="F218" s="15" t="inlineStr"/>
      <c r="G218" s="17" t="n"/>
      <c r="H218" s="15" t="n">
        <v>2</v>
      </c>
      <c r="I218" s="17" t="n"/>
      <c r="J218" s="18">
        <f>IF(I218="","",I218-H218)</f>
        <v/>
      </c>
      <c r="K218" s="19" t="n">
        <v>75</v>
      </c>
      <c r="L218" s="20">
        <f>K218*'Расходы на доставку'!$C$18</f>
        <v/>
      </c>
      <c r="M218" s="21" t="n">
        <v>80000</v>
      </c>
      <c r="N218" s="20">
        <f>IF(M218="","",M218+L218)</f>
        <v/>
      </c>
      <c r="O218" s="22">
        <f>IFERROR(L218/N218,"")</f>
        <v/>
      </c>
      <c r="P218" s="21" t="n"/>
      <c r="Q218" s="22">
        <f>IFERROR(P218/N218-1,"")</f>
        <v/>
      </c>
      <c r="R218" s="17" t="n"/>
      <c r="S218" s="23" t="n"/>
    </row>
    <row r="219">
      <c r="A219" s="15" t="n">
        <v>215</v>
      </c>
      <c r="B219" s="15" t="inlineStr">
        <is>
          <t>Контейнер 2</t>
        </is>
      </c>
      <c r="C219" s="15" t="inlineStr">
        <is>
          <t>клапан фланцевый</t>
        </is>
      </c>
      <c r="D219" s="15" t="inlineStr">
        <is>
          <t>Ду100</t>
        </is>
      </c>
      <c r="E219" s="16" t="inlineStr">
        <is>
          <t>Клапан фланцевый проходной Ду100 Ру10</t>
        </is>
      </c>
      <c r="F219" s="15" t="inlineStr"/>
      <c r="G219" s="17" t="n"/>
      <c r="H219" s="15" t="n">
        <v>5</v>
      </c>
      <c r="I219" s="17" t="n"/>
      <c r="J219" s="18">
        <f>IF(I219="","",I219-H219)</f>
        <v/>
      </c>
      <c r="K219" s="19" t="n">
        <v>40</v>
      </c>
      <c r="L219" s="20">
        <f>K219*'Расходы на доставку'!$C$18</f>
        <v/>
      </c>
      <c r="M219" s="21" t="n">
        <v>42000</v>
      </c>
      <c r="N219" s="20">
        <f>IF(M219="","",M219+L219)</f>
        <v/>
      </c>
      <c r="O219" s="22">
        <f>IFERROR(L219/N219,"")</f>
        <v/>
      </c>
      <c r="P219" s="21" t="n"/>
      <c r="Q219" s="22">
        <f>IFERROR(P219/N219-1,"")</f>
        <v/>
      </c>
      <c r="R219" s="17" t="n"/>
      <c r="S219" s="23" t="n"/>
    </row>
    <row r="220">
      <c r="A220" s="15" t="n">
        <v>216</v>
      </c>
      <c r="B220" s="15" t="inlineStr">
        <is>
          <t>Контейнер 2</t>
        </is>
      </c>
      <c r="C220" s="15" t="inlineStr">
        <is>
          <t>коробка клапанная</t>
        </is>
      </c>
      <c r="D220" s="15" t="inlineStr">
        <is>
          <t>Ду80</t>
        </is>
      </c>
      <c r="E220" s="16" t="inlineStr">
        <is>
          <t>Коробка 2-х клапановая фланцевая Ду80</t>
        </is>
      </c>
      <c r="F220" s="15" t="inlineStr"/>
      <c r="G220" s="17" t="n"/>
      <c r="H220" s="15" t="n">
        <v>2</v>
      </c>
      <c r="I220" s="17" t="n"/>
      <c r="J220" s="18">
        <f>IF(I220="","",I220-H220)</f>
        <v/>
      </c>
      <c r="K220" s="19" t="n">
        <v>45</v>
      </c>
      <c r="L220" s="20">
        <f>K220*'Расходы на доставку'!$C$18</f>
        <v/>
      </c>
      <c r="M220" s="21" t="n">
        <v>44000</v>
      </c>
      <c r="N220" s="20">
        <f>IF(M220="","",M220+L220)</f>
        <v/>
      </c>
      <c r="O220" s="22">
        <f>IFERROR(L220/N220,"")</f>
        <v/>
      </c>
      <c r="P220" s="21" t="n"/>
      <c r="Q220" s="22">
        <f>IFERROR(P220/N220-1,"")</f>
        <v/>
      </c>
      <c r="R220" s="17" t="n"/>
      <c r="S220" s="23" t="n"/>
    </row>
    <row r="221">
      <c r="A221" s="15" t="n">
        <v>217</v>
      </c>
      <c r="B221" s="15" t="inlineStr">
        <is>
          <t>Контейнер 2</t>
        </is>
      </c>
      <c r="C221" s="15" t="inlineStr">
        <is>
          <t>коробка клапанная</t>
        </is>
      </c>
      <c r="D221" s="15" t="inlineStr">
        <is>
          <t>Ду80</t>
        </is>
      </c>
      <c r="E221" s="16" t="inlineStr">
        <is>
          <t>Коробка 2-х клапановая фланцевая Ду80</t>
        </is>
      </c>
      <c r="F221" s="15" t="inlineStr"/>
      <c r="G221" s="17" t="n"/>
      <c r="H221" s="15" t="n">
        <v>15</v>
      </c>
      <c r="I221" s="17" t="n"/>
      <c r="J221" s="18">
        <f>IF(I221="","",I221-H221)</f>
        <v/>
      </c>
      <c r="K221" s="19" t="n">
        <v>45</v>
      </c>
      <c r="L221" s="20">
        <f>K221*'Расходы на доставку'!$C$18</f>
        <v/>
      </c>
      <c r="M221" s="21" t="n">
        <v>44000</v>
      </c>
      <c r="N221" s="20">
        <f>IF(M221="","",M221+L221)</f>
        <v/>
      </c>
      <c r="O221" s="22">
        <f>IFERROR(L221/N221,"")</f>
        <v/>
      </c>
      <c r="P221" s="21" t="n"/>
      <c r="Q221" s="22">
        <f>IFERROR(P221/N221-1,"")</f>
        <v/>
      </c>
      <c r="R221" s="17" t="n"/>
      <c r="S221" s="23" t="n"/>
    </row>
    <row r="222">
      <c r="A222" s="15" t="n">
        <v>218</v>
      </c>
      <c r="B222" s="15" t="inlineStr">
        <is>
          <t>Контейнер 2</t>
        </is>
      </c>
      <c r="C222" s="15" t="inlineStr">
        <is>
          <t>клапан фланцевый</t>
        </is>
      </c>
      <c r="D222" s="15" t="inlineStr">
        <is>
          <t>Ду200</t>
        </is>
      </c>
      <c r="E222" s="16" t="inlineStr">
        <is>
          <t>Клапан фланцевый проходной Ду200 Ру6</t>
        </is>
      </c>
      <c r="F222" s="15" t="inlineStr"/>
      <c r="G222" s="17" t="n"/>
      <c r="H222" s="15" t="n">
        <v>1</v>
      </c>
      <c r="I222" s="17" t="n"/>
      <c r="J222" s="18">
        <f>IF(I222="","",I222-H222)</f>
        <v/>
      </c>
      <c r="K222" s="19" t="n">
        <v>130</v>
      </c>
      <c r="L222" s="20">
        <f>K222*'Расходы на доставку'!$C$18</f>
        <v/>
      </c>
      <c r="M222" s="21" t="n">
        <v>120000</v>
      </c>
      <c r="N222" s="20">
        <f>IF(M222="","",M222+L222)</f>
        <v/>
      </c>
      <c r="O222" s="22">
        <f>IFERROR(L222/N222,"")</f>
        <v/>
      </c>
      <c r="P222" s="21" t="n"/>
      <c r="Q222" s="22">
        <f>IFERROR(P222/N222-1,"")</f>
        <v/>
      </c>
      <c r="R222" s="17" t="n"/>
      <c r="S222" s="23" t="n"/>
    </row>
    <row r="223">
      <c r="A223" s="15" t="n">
        <v>219</v>
      </c>
      <c r="B223" s="15" t="inlineStr">
        <is>
          <t>Контейнер 2</t>
        </is>
      </c>
      <c r="C223" s="15" t="inlineStr">
        <is>
          <t>кингстон</t>
        </is>
      </c>
      <c r="D223" s="15" t="inlineStr">
        <is>
          <t>Ду80</t>
        </is>
      </c>
      <c r="E223" s="16" t="inlineStr">
        <is>
          <t>Кингстон донный фланцевый Ду80 Ру2,5</t>
        </is>
      </c>
      <c r="F223" s="15" t="inlineStr"/>
      <c r="G223" s="17" t="n"/>
      <c r="H223" s="15" t="n">
        <v>2</v>
      </c>
      <c r="I223" s="17" t="n"/>
      <c r="J223" s="18">
        <f>IF(I223="","",I223-H223)</f>
        <v/>
      </c>
      <c r="K223" s="19" t="n">
        <v>35</v>
      </c>
      <c r="L223" s="20">
        <f>K223*'Расходы на доставку'!$C$18</f>
        <v/>
      </c>
      <c r="M223" s="21" t="n">
        <v>32000</v>
      </c>
      <c r="N223" s="20">
        <f>IF(M223="","",M223+L223)</f>
        <v/>
      </c>
      <c r="O223" s="22">
        <f>IFERROR(L223/N223,"")</f>
        <v/>
      </c>
      <c r="P223" s="21" t="n"/>
      <c r="Q223" s="22">
        <f>IFERROR(P223/N223-1,"")</f>
        <v/>
      </c>
      <c r="R223" s="17" t="n"/>
      <c r="S223" s="23" t="n"/>
    </row>
    <row r="224">
      <c r="A224" s="15" t="n">
        <v>220</v>
      </c>
      <c r="B224" s="15" t="inlineStr">
        <is>
          <t>Контейнер 2</t>
        </is>
      </c>
      <c r="C224" s="15" t="inlineStr">
        <is>
          <t>клапан фланцевый</t>
        </is>
      </c>
      <c r="D224" s="15" t="inlineStr">
        <is>
          <t>Ду65</t>
        </is>
      </c>
      <c r="E224" s="16" t="inlineStr">
        <is>
          <t>Клапан проходной фланцевый Ду65 КОРПУС - БРАК</t>
        </is>
      </c>
      <c r="F224" s="15" t="inlineStr"/>
      <c r="G224" s="17" t="n"/>
      <c r="H224" s="15" t="n">
        <v>1</v>
      </c>
      <c r="I224" s="17" t="n"/>
      <c r="J224" s="18">
        <f>IF(I224="","",I224-H224)</f>
        <v/>
      </c>
      <c r="K224" s="19" t="n">
        <v>20</v>
      </c>
      <c r="L224" s="20">
        <f>K224*'Расходы на доставку'!$C$18</f>
        <v/>
      </c>
      <c r="M224" s="21" t="n">
        <v>18000</v>
      </c>
      <c r="N224" s="20">
        <f>IF(M224="","",M224+L224)</f>
        <v/>
      </c>
      <c r="O224" s="22">
        <f>IFERROR(L224/N224,"")</f>
        <v/>
      </c>
      <c r="P224" s="21" t="n"/>
      <c r="Q224" s="22">
        <f>IFERROR(P224/N224-1,"")</f>
        <v/>
      </c>
      <c r="R224" s="17" t="n"/>
      <c r="S224" s="23" t="n"/>
    </row>
    <row r="225">
      <c r="A225" s="15" t="n">
        <v>221</v>
      </c>
      <c r="B225" s="15" t="inlineStr">
        <is>
          <t>Контейнер 2</t>
        </is>
      </c>
      <c r="C225" s="15" t="inlineStr">
        <is>
          <t>клапан фланцевый</t>
        </is>
      </c>
      <c r="D225" s="15" t="inlineStr"/>
      <c r="E225" s="16" t="inlineStr">
        <is>
          <t>Клапан проходной фланцевый сталь</t>
        </is>
      </c>
      <c r="F225" s="15" t="inlineStr">
        <is>
          <t>сталь</t>
        </is>
      </c>
      <c r="G225" s="17" t="n"/>
      <c r="H225" s="15" t="n">
        <v>2</v>
      </c>
      <c r="I225" s="17" t="n"/>
      <c r="J225" s="18">
        <f>IF(I225="","",I225-H225)</f>
        <v/>
      </c>
      <c r="K225" s="19" t="n">
        <v>20</v>
      </c>
      <c r="L225" s="20">
        <f>K225*'Расходы на доставку'!$C$18</f>
        <v/>
      </c>
      <c r="M225" s="21" t="n">
        <v>18000</v>
      </c>
      <c r="N225" s="20">
        <f>IF(M225="","",M225+L225)</f>
        <v/>
      </c>
      <c r="O225" s="22">
        <f>IFERROR(L225/N225,"")</f>
        <v/>
      </c>
      <c r="P225" s="21" t="n"/>
      <c r="Q225" s="22">
        <f>IFERROR(P225/N225-1,"")</f>
        <v/>
      </c>
      <c r="R225" s="17" t="n"/>
      <c r="S225" s="23" t="n"/>
    </row>
    <row r="226">
      <c r="A226" s="15" t="n">
        <v>222</v>
      </c>
      <c r="B226" s="15" t="inlineStr">
        <is>
          <t>Контейнер 2</t>
        </is>
      </c>
      <c r="C226" s="15" t="inlineStr">
        <is>
          <t>кингстон</t>
        </is>
      </c>
      <c r="D226" s="15" t="inlineStr">
        <is>
          <t>Ду50</t>
        </is>
      </c>
      <c r="E226" s="16" t="inlineStr">
        <is>
          <t>Кингстон донный фланцевый Ду50 Ру2,5</t>
        </is>
      </c>
      <c r="F226" s="15" t="inlineStr"/>
      <c r="G226" s="17" t="n"/>
      <c r="H226" s="15" t="n">
        <v>1</v>
      </c>
      <c r="I226" s="17" t="n"/>
      <c r="J226" s="18">
        <f>IF(I226="","",I226-H226)</f>
        <v/>
      </c>
      <c r="K226" s="19" t="n">
        <v>20</v>
      </c>
      <c r="L226" s="20">
        <f>K226*'Расходы на доставку'!$C$18</f>
        <v/>
      </c>
      <c r="M226" s="21" t="n">
        <v>17500</v>
      </c>
      <c r="N226" s="20">
        <f>IF(M226="","",M226+L226)</f>
        <v/>
      </c>
      <c r="O226" s="22">
        <f>IFERROR(L226/N226,"")</f>
        <v/>
      </c>
      <c r="P226" s="21" t="n"/>
      <c r="Q226" s="22">
        <f>IFERROR(P226/N226-1,"")</f>
        <v/>
      </c>
      <c r="R226" s="17" t="n"/>
      <c r="S226" s="23" t="n"/>
    </row>
    <row r="227">
      <c r="A227" s="15" t="n">
        <v>223</v>
      </c>
      <c r="B227" s="15" t="inlineStr">
        <is>
          <t>Контейнер 2</t>
        </is>
      </c>
      <c r="C227" s="15" t="inlineStr">
        <is>
          <t>кингстон</t>
        </is>
      </c>
      <c r="D227" s="15" t="inlineStr">
        <is>
          <t>Ду50</t>
        </is>
      </c>
      <c r="E227" s="16" t="inlineStr">
        <is>
          <t>Кингстон донный фланцевый Ду50 Ру2,5</t>
        </is>
      </c>
      <c r="F227" s="15" t="inlineStr"/>
      <c r="G227" s="17" t="n"/>
      <c r="H227" s="15" t="n">
        <v>1</v>
      </c>
      <c r="I227" s="17" t="n"/>
      <c r="J227" s="18">
        <f>IF(I227="","",I227-H227)</f>
        <v/>
      </c>
      <c r="K227" s="19" t="n">
        <v>20</v>
      </c>
      <c r="L227" s="20">
        <f>K227*'Расходы на доставку'!$C$18</f>
        <v/>
      </c>
      <c r="M227" s="21" t="n">
        <v>17500</v>
      </c>
      <c r="N227" s="20">
        <f>IF(M227="","",M227+L227)</f>
        <v/>
      </c>
      <c r="O227" s="22">
        <f>IFERROR(L227/N227,"")</f>
        <v/>
      </c>
      <c r="P227" s="21" t="n"/>
      <c r="Q227" s="22">
        <f>IFERROR(P227/N227-1,"")</f>
        <v/>
      </c>
      <c r="R227" s="17" t="n"/>
      <c r="S227" s="23" t="n"/>
    </row>
    <row r="228">
      <c r="A228" s="15" t="n">
        <v>224</v>
      </c>
      <c r="B228" s="15" t="inlineStr">
        <is>
          <t>Контейнер 2</t>
        </is>
      </c>
      <c r="C228" s="15" t="inlineStr">
        <is>
          <t>клинкет (задвижка)</t>
        </is>
      </c>
      <c r="D228" s="15" t="inlineStr">
        <is>
          <t>Ду80</t>
        </is>
      </c>
      <c r="E228" s="16" t="inlineStr">
        <is>
          <t>Задвижка клинкетная Ду80 ( в разборе)</t>
        </is>
      </c>
      <c r="F228" s="15" t="inlineStr"/>
      <c r="G228" s="17" t="n"/>
      <c r="H228" s="15" t="n">
        <v>2</v>
      </c>
      <c r="I228" s="17" t="n"/>
      <c r="J228" s="18">
        <f>IF(I228="","",I228-H228)</f>
        <v/>
      </c>
      <c r="K228" s="19" t="n">
        <v>28</v>
      </c>
      <c r="L228" s="20">
        <f>K228*'Расходы на доставку'!$C$18</f>
        <v/>
      </c>
      <c r="M228" s="21" t="n">
        <v>24000</v>
      </c>
      <c r="N228" s="20">
        <f>IF(M228="","",M228+L228)</f>
        <v/>
      </c>
      <c r="O228" s="22">
        <f>IFERROR(L228/N228,"")</f>
        <v/>
      </c>
      <c r="P228" s="21" t="n"/>
      <c r="Q228" s="22">
        <f>IFERROR(P228/N228-1,"")</f>
        <v/>
      </c>
      <c r="R228" s="17" t="n"/>
      <c r="S228" s="23" t="n"/>
    </row>
    <row r="229">
      <c r="A229" s="15" t="n">
        <v>225</v>
      </c>
      <c r="B229" s="15" t="inlineStr">
        <is>
          <t>Контейнер 2</t>
        </is>
      </c>
      <c r="C229" s="15" t="inlineStr">
        <is>
          <t>клапан фланцевый</t>
        </is>
      </c>
      <c r="D229" s="15" t="inlineStr">
        <is>
          <t>Ду100</t>
        </is>
      </c>
      <c r="E229" s="16" t="inlineStr">
        <is>
          <t>Клапана невозвратный проходной фланцевый Ду100 Ру10 (522-03.205)</t>
        </is>
      </c>
      <c r="F229" s="15" t="inlineStr"/>
      <c r="G229" s="17" t="n"/>
      <c r="H229" s="15" t="n">
        <v>5</v>
      </c>
      <c r="I229" s="17" t="n"/>
      <c r="J229" s="18">
        <f>IF(I229="","",I229-H229)</f>
        <v/>
      </c>
      <c r="K229" s="19" t="n">
        <v>40</v>
      </c>
      <c r="L229" s="20">
        <f>K229*'Расходы на доставку'!$C$18</f>
        <v/>
      </c>
      <c r="M229" s="21" t="n">
        <v>34000</v>
      </c>
      <c r="N229" s="20">
        <f>IF(M229="","",M229+L229)</f>
        <v/>
      </c>
      <c r="O229" s="22">
        <f>IFERROR(L229/N229,"")</f>
        <v/>
      </c>
      <c r="P229" s="21" t="n"/>
      <c r="Q229" s="22">
        <f>IFERROR(P229/N229-1,"")</f>
        <v/>
      </c>
      <c r="R229" s="17" t="n"/>
      <c r="S229" s="23" t="n"/>
    </row>
    <row r="230">
      <c r="A230" s="15" t="n">
        <v>226</v>
      </c>
      <c r="B230" s="15" t="inlineStr">
        <is>
          <t>Контейнер 2</t>
        </is>
      </c>
      <c r="C230" s="15" t="inlineStr">
        <is>
          <t>клапан фланцевый</t>
        </is>
      </c>
      <c r="D230" s="15" t="inlineStr">
        <is>
          <t>Ду125</t>
        </is>
      </c>
      <c r="E230" s="16" t="inlineStr">
        <is>
          <t>Клапан фланцевый проходной Ду125</t>
        </is>
      </c>
      <c r="F230" s="15" t="inlineStr"/>
      <c r="G230" s="17" t="n"/>
      <c r="H230" s="15" t="n">
        <v>6</v>
      </c>
      <c r="I230" s="17" t="n"/>
      <c r="J230" s="18">
        <f>IF(I230="","",I230-H230)</f>
        <v/>
      </c>
      <c r="K230" s="19" t="n">
        <v>55</v>
      </c>
      <c r="L230" s="20">
        <f>K230*'Расходы на доставку'!$C$18</f>
        <v/>
      </c>
      <c r="M230" s="21" t="n">
        <v>46000</v>
      </c>
      <c r="N230" s="20">
        <f>IF(M230="","",M230+L230)</f>
        <v/>
      </c>
      <c r="O230" s="22">
        <f>IFERROR(L230/N230,"")</f>
        <v/>
      </c>
      <c r="P230" s="21" t="n"/>
      <c r="Q230" s="22">
        <f>IFERROR(P230/N230-1,"")</f>
        <v/>
      </c>
      <c r="R230" s="17" t="n"/>
      <c r="S230" s="23" t="n"/>
    </row>
    <row r="231">
      <c r="A231" s="15" t="n">
        <v>227</v>
      </c>
      <c r="B231" s="15" t="inlineStr">
        <is>
          <t>Контейнер 2</t>
        </is>
      </c>
      <c r="C231" s="15" t="inlineStr">
        <is>
          <t>клапан фланцевый</t>
        </is>
      </c>
      <c r="D231" s="15" t="inlineStr">
        <is>
          <t>Ду125</t>
        </is>
      </c>
      <c r="E231" s="16" t="inlineStr">
        <is>
          <t>Клапан фланцевый проходной Ду125 Ру10</t>
        </is>
      </c>
      <c r="F231" s="15" t="inlineStr"/>
      <c r="G231" s="17" t="n"/>
      <c r="H231" s="15" t="n">
        <v>3</v>
      </c>
      <c r="I231" s="17" t="n"/>
      <c r="J231" s="18">
        <f>IF(I231="","",I231-H231)</f>
        <v/>
      </c>
      <c r="K231" s="19" t="n">
        <v>55</v>
      </c>
      <c r="L231" s="20">
        <f>K231*'Расходы на доставку'!$C$18</f>
        <v/>
      </c>
      <c r="M231" s="21" t="n">
        <v>46000</v>
      </c>
      <c r="N231" s="20">
        <f>IF(M231="","",M231+L231)</f>
        <v/>
      </c>
      <c r="O231" s="22">
        <f>IFERROR(L231/N231,"")</f>
        <v/>
      </c>
      <c r="P231" s="21" t="n"/>
      <c r="Q231" s="22">
        <f>IFERROR(P231/N231-1,"")</f>
        <v/>
      </c>
      <c r="R231" s="17" t="n"/>
      <c r="S231" s="23" t="n"/>
    </row>
    <row r="232">
      <c r="A232" s="15" t="n">
        <v>228</v>
      </c>
      <c r="B232" s="15" t="inlineStr">
        <is>
          <t>Контейнер 2</t>
        </is>
      </c>
      <c r="C232" s="15" t="inlineStr">
        <is>
          <t>клапан фланцевый</t>
        </is>
      </c>
      <c r="D232" s="15" t="inlineStr">
        <is>
          <t>Ду80</t>
        </is>
      </c>
      <c r="E232" s="16" t="inlineStr">
        <is>
          <t>Клапан фланцевый проходной Ду80 Ру 40 сталь (521-35.3437)</t>
        </is>
      </c>
      <c r="F232" s="15" t="inlineStr">
        <is>
          <t>сталь</t>
        </is>
      </c>
      <c r="G232" s="17" t="n"/>
      <c r="H232" s="15" t="n">
        <v>1</v>
      </c>
      <c r="I232" s="17" t="n"/>
      <c r="J232" s="18">
        <f>IF(I232="","",I232-H232)</f>
        <v/>
      </c>
      <c r="K232" s="19" t="n">
        <v>28</v>
      </c>
      <c r="L232" s="20">
        <f>K232*'Расходы на доставку'!$C$18</f>
        <v/>
      </c>
      <c r="M232" s="21" t="n">
        <v>22000</v>
      </c>
      <c r="N232" s="20">
        <f>IF(M232="","",M232+L232)</f>
        <v/>
      </c>
      <c r="O232" s="22">
        <f>IFERROR(L232/N232,"")</f>
        <v/>
      </c>
      <c r="P232" s="21" t="n"/>
      <c r="Q232" s="22">
        <f>IFERROR(P232/N232-1,"")</f>
        <v/>
      </c>
      <c r="R232" s="17" t="n"/>
      <c r="S232" s="23" t="n"/>
    </row>
    <row r="233">
      <c r="A233" s="15" t="n">
        <v>229</v>
      </c>
      <c r="B233" s="15" t="inlineStr">
        <is>
          <t>Контейнер 2</t>
        </is>
      </c>
      <c r="C233" s="15" t="inlineStr">
        <is>
          <t>клапан фланцевый</t>
        </is>
      </c>
      <c r="D233" s="15" t="inlineStr">
        <is>
          <t>Ду80</t>
        </is>
      </c>
      <c r="E233" s="16" t="inlineStr">
        <is>
          <t>Клапан фланцевый проходной Ду80 Ру 40 сталь (522-01.101)</t>
        </is>
      </c>
      <c r="F233" s="15" t="inlineStr">
        <is>
          <t>сталь</t>
        </is>
      </c>
      <c r="G233" s="17" t="n"/>
      <c r="H233" s="15" t="n">
        <v>1</v>
      </c>
      <c r="I233" s="17" t="n"/>
      <c r="J233" s="18">
        <f>IF(I233="","",I233-H233)</f>
        <v/>
      </c>
      <c r="K233" s="19" t="n">
        <v>28</v>
      </c>
      <c r="L233" s="20">
        <f>K233*'Расходы на доставку'!$C$18</f>
        <v/>
      </c>
      <c r="M233" s="21" t="n">
        <v>22000</v>
      </c>
      <c r="N233" s="20">
        <f>IF(M233="","",M233+L233)</f>
        <v/>
      </c>
      <c r="O233" s="22">
        <f>IFERROR(L233/N233,"")</f>
        <v/>
      </c>
      <c r="P233" s="21" t="n"/>
      <c r="Q233" s="22">
        <f>IFERROR(P233/N233-1,"")</f>
        <v/>
      </c>
      <c r="R233" s="17" t="n"/>
      <c r="S233" s="23" t="n"/>
    </row>
    <row r="234">
      <c r="A234" s="15" t="n">
        <v>230</v>
      </c>
      <c r="B234" s="15" t="inlineStr">
        <is>
          <t>Контейнер 2</t>
        </is>
      </c>
      <c r="C234" s="15" t="inlineStr">
        <is>
          <t>клинкет (задвижка)</t>
        </is>
      </c>
      <c r="D234" s="15" t="inlineStr">
        <is>
          <t>Ду80</t>
        </is>
      </c>
      <c r="E234" s="16" t="inlineStr">
        <is>
          <t>Задвижка клинкетная ДУ 80, сталь</t>
        </is>
      </c>
      <c r="F234" s="15" t="inlineStr">
        <is>
          <t>сталь</t>
        </is>
      </c>
      <c r="G234" s="17" t="n"/>
      <c r="H234" s="15" t="n">
        <v>1</v>
      </c>
      <c r="I234" s="17" t="n"/>
      <c r="J234" s="18">
        <f>IF(I234="","",I234-H234)</f>
        <v/>
      </c>
      <c r="K234" s="19" t="n">
        <v>28</v>
      </c>
      <c r="L234" s="20">
        <f>K234*'Расходы на доставку'!$C$18</f>
        <v/>
      </c>
      <c r="M234" s="21" t="n">
        <v>22000</v>
      </c>
      <c r="N234" s="20">
        <f>IF(M234="","",M234+L234)</f>
        <v/>
      </c>
      <c r="O234" s="22">
        <f>IFERROR(L234/N234,"")</f>
        <v/>
      </c>
      <c r="P234" s="21" t="n"/>
      <c r="Q234" s="22">
        <f>IFERROR(P234/N234-1,"")</f>
        <v/>
      </c>
      <c r="R234" s="17" t="n"/>
      <c r="S234" s="23" t="n"/>
    </row>
    <row r="235">
      <c r="A235" s="15" t="n">
        <v>231</v>
      </c>
      <c r="B235" s="15" t="inlineStr">
        <is>
          <t>Контейнер 2</t>
        </is>
      </c>
      <c r="C235" s="15" t="inlineStr">
        <is>
          <t>клинкет (задвижка)</t>
        </is>
      </c>
      <c r="D235" s="15" t="inlineStr">
        <is>
          <t>Ду100</t>
        </is>
      </c>
      <c r="E235" s="16" t="inlineStr">
        <is>
          <t>Задвижка клинкетная Ду100 без штока и блинов ( в разборе)</t>
        </is>
      </c>
      <c r="F235" s="15" t="inlineStr"/>
      <c r="G235" s="17" t="n"/>
      <c r="H235" s="15" t="n">
        <v>1</v>
      </c>
      <c r="I235" s="17" t="n"/>
      <c r="J235" s="18">
        <f>IF(I235="","",I235-H235)</f>
        <v/>
      </c>
      <c r="K235" s="19" t="n">
        <v>45</v>
      </c>
      <c r="L235" s="20">
        <f>K235*'Расходы на доставку'!$C$18</f>
        <v/>
      </c>
      <c r="M235" s="21" t="n">
        <v>35000</v>
      </c>
      <c r="N235" s="20">
        <f>IF(M235="","",M235+L235)</f>
        <v/>
      </c>
      <c r="O235" s="22">
        <f>IFERROR(L235/N235,"")</f>
        <v/>
      </c>
      <c r="P235" s="21" t="n"/>
      <c r="Q235" s="22">
        <f>IFERROR(P235/N235-1,"")</f>
        <v/>
      </c>
      <c r="R235" s="17" t="n"/>
      <c r="S235" s="23" t="n"/>
    </row>
    <row r="236">
      <c r="A236" s="15" t="n">
        <v>232</v>
      </c>
      <c r="B236" s="15" t="inlineStr">
        <is>
          <t>Контейнер 2</t>
        </is>
      </c>
      <c r="C236" s="15" t="inlineStr">
        <is>
          <t>клапан фланцевый</t>
        </is>
      </c>
      <c r="D236" s="15" t="inlineStr">
        <is>
          <t>Ду125</t>
        </is>
      </c>
      <c r="E236" s="16" t="inlineStr">
        <is>
          <t>Клапан фланцевый проходной Ду125 ок.входа</t>
        </is>
      </c>
      <c r="F236" s="15" t="inlineStr"/>
      <c r="G236" s="17" t="n"/>
      <c r="H236" s="15" t="n">
        <v>2</v>
      </c>
      <c r="I236" s="17" t="n"/>
      <c r="J236" s="18">
        <f>IF(I236="","",I236-H236)</f>
        <v/>
      </c>
      <c r="K236" s="19" t="n">
        <v>55</v>
      </c>
      <c r="L236" s="20">
        <f>K236*'Расходы на доставку'!$C$18</f>
        <v/>
      </c>
      <c r="M236" s="21" t="n">
        <v>37500</v>
      </c>
      <c r="N236" s="20">
        <f>IF(M236="","",M236+L236)</f>
        <v/>
      </c>
      <c r="O236" s="22">
        <f>IFERROR(L236/N236,"")</f>
        <v/>
      </c>
      <c r="P236" s="21" t="n"/>
      <c r="Q236" s="22">
        <f>IFERROR(P236/N236-1,"")</f>
        <v/>
      </c>
      <c r="R236" s="17" t="n"/>
      <c r="S236" s="23" t="n"/>
    </row>
    <row r="237">
      <c r="A237" s="15" t="n">
        <v>233</v>
      </c>
      <c r="B237" s="15" t="inlineStr">
        <is>
          <t>Контейнер 2</t>
        </is>
      </c>
      <c r="C237" s="15" t="inlineStr">
        <is>
          <t>клинкет (задвижка)</t>
        </is>
      </c>
      <c r="D237" s="15" t="inlineStr">
        <is>
          <t>Ду100</t>
        </is>
      </c>
      <c r="E237" s="16" t="inlineStr">
        <is>
          <t>Клинкет Ду 100, сталь</t>
        </is>
      </c>
      <c r="F237" s="15" t="inlineStr">
        <is>
          <t>сталь</t>
        </is>
      </c>
      <c r="G237" s="17" t="n"/>
      <c r="H237" s="15" t="n">
        <v>2</v>
      </c>
      <c r="I237" s="17" t="n"/>
      <c r="J237" s="18">
        <f>IF(I237="","",I237-H237)</f>
        <v/>
      </c>
      <c r="K237" s="19" t="n">
        <v>45</v>
      </c>
      <c r="L237" s="20">
        <f>K237*'Расходы на доставку'!$C$18</f>
        <v/>
      </c>
      <c r="M237" s="21" t="n">
        <v>30000</v>
      </c>
      <c r="N237" s="20">
        <f>IF(M237="","",M237+L237)</f>
        <v/>
      </c>
      <c r="O237" s="22">
        <f>IFERROR(L237/N237,"")</f>
        <v/>
      </c>
      <c r="P237" s="21" t="n"/>
      <c r="Q237" s="22">
        <f>IFERROR(P237/N237-1,"")</f>
        <v/>
      </c>
      <c r="R237" s="17" t="n"/>
      <c r="S237" s="23" t="n"/>
    </row>
    <row r="238">
      <c r="A238" s="15" t="n">
        <v>234</v>
      </c>
      <c r="B238" s="15" t="inlineStr">
        <is>
          <t>Контейнер 2</t>
        </is>
      </c>
      <c r="C238" s="15" t="inlineStr">
        <is>
          <t>клапан фланцевый</t>
        </is>
      </c>
      <c r="D238" s="15" t="inlineStr">
        <is>
          <t>Ду125</t>
        </is>
      </c>
      <c r="E238" s="16" t="inlineStr">
        <is>
          <t>Клапан фланцевый проходной Ду 125 (без чертежа)</t>
        </is>
      </c>
      <c r="F238" s="15" t="inlineStr"/>
      <c r="G238" s="17" t="n"/>
      <c r="H238" s="15" t="n">
        <v>1</v>
      </c>
      <c r="I238" s="17" t="n"/>
      <c r="J238" s="18">
        <f>IF(I238="","",I238-H238)</f>
        <v/>
      </c>
      <c r="K238" s="19" t="n">
        <v>55</v>
      </c>
      <c r="L238" s="20">
        <f>K238*'Расходы на доставку'!$C$18</f>
        <v/>
      </c>
      <c r="M238" s="21" t="n">
        <v>30000</v>
      </c>
      <c r="N238" s="20">
        <f>IF(M238="","",M238+L238)</f>
        <v/>
      </c>
      <c r="O238" s="22">
        <f>IFERROR(L238/N238,"")</f>
        <v/>
      </c>
      <c r="P238" s="21" t="n"/>
      <c r="Q238" s="22">
        <f>IFERROR(P238/N238-1,"")</f>
        <v/>
      </c>
      <c r="R238" s="17" t="n"/>
      <c r="S238" s="23" t="n"/>
    </row>
    <row r="239">
      <c r="A239" s="15" t="n">
        <v>235</v>
      </c>
      <c r="B239" s="15" t="inlineStr">
        <is>
          <t>Контейнер 2</t>
        </is>
      </c>
      <c r="C239" s="15" t="inlineStr">
        <is>
          <t>клапан фланцевый</t>
        </is>
      </c>
      <c r="D239" s="15" t="inlineStr">
        <is>
          <t>Ду50</t>
        </is>
      </c>
      <c r="E239" s="16" t="inlineStr">
        <is>
          <t>Клапан невозвратно-приемный фланцевый Ду 50 Ру1 (522-35.4043-01)</t>
        </is>
      </c>
      <c r="F239" s="15" t="inlineStr"/>
      <c r="G239" s="17" t="n"/>
      <c r="H239" s="15" t="n">
        <v>6</v>
      </c>
      <c r="I239" s="17" t="n"/>
      <c r="J239" s="18">
        <f>IF(I239="","",I239-H239)</f>
        <v/>
      </c>
      <c r="K239" s="19" t="n">
        <v>14</v>
      </c>
      <c r="L239" s="20">
        <f>K239*'Расходы на доставку'!$C$18</f>
        <v/>
      </c>
      <c r="M239" s="21" t="n">
        <v>7500</v>
      </c>
      <c r="N239" s="20">
        <f>IF(M239="","",M239+L239)</f>
        <v/>
      </c>
      <c r="O239" s="22">
        <f>IFERROR(L239/N239,"")</f>
        <v/>
      </c>
      <c r="P239" s="21" t="n"/>
      <c r="Q239" s="22">
        <f>IFERROR(P239/N239-1,"")</f>
        <v/>
      </c>
      <c r="R239" s="17" t="n"/>
      <c r="S239" s="23" t="n"/>
    </row>
    <row r="240">
      <c r="A240" s="15" t="n">
        <v>236</v>
      </c>
      <c r="B240" s="15" t="inlineStr">
        <is>
          <t>Контейнер 2</t>
        </is>
      </c>
      <c r="C240" s="15" t="inlineStr">
        <is>
          <t>клапан штуцерный</t>
        </is>
      </c>
      <c r="D240" s="15" t="inlineStr">
        <is>
          <t>Ду25</t>
        </is>
      </c>
      <c r="E240" s="16" t="inlineStr">
        <is>
          <t>Клапан муфтовый проходной запорный Ду25Ру16</t>
        </is>
      </c>
      <c r="F240" s="15" t="inlineStr"/>
      <c r="G240" s="17" t="n"/>
      <c r="H240" s="15" t="n">
        <v>2</v>
      </c>
      <c r="I240" s="17" t="n"/>
      <c r="J240" s="18">
        <f>IF(I240="","",I240-H240)</f>
        <v/>
      </c>
      <c r="K240" s="19" t="n">
        <v>2.5</v>
      </c>
      <c r="L240" s="20">
        <f>K240*'Расходы на доставку'!$C$18</f>
        <v/>
      </c>
      <c r="M240" s="21" t="n">
        <v>1250</v>
      </c>
      <c r="N240" s="20">
        <f>IF(M240="","",M240+L240)</f>
        <v/>
      </c>
      <c r="O240" s="22">
        <f>IFERROR(L240/N240,"")</f>
        <v/>
      </c>
      <c r="P240" s="21" t="n"/>
      <c r="Q240" s="22">
        <f>IFERROR(P240/N240-1,"")</f>
        <v/>
      </c>
      <c r="R240" s="17" t="n"/>
      <c r="S240" s="23" t="n"/>
    </row>
    <row r="241">
      <c r="A241" s="15" t="n">
        <v>237</v>
      </c>
      <c r="B241" s="15" t="inlineStr">
        <is>
          <t>Контейнер 2</t>
        </is>
      </c>
      <c r="C241" s="15" t="inlineStr">
        <is>
          <t>коробка клапанная</t>
        </is>
      </c>
      <c r="D241" s="15" t="inlineStr"/>
      <c r="E241" s="16" t="inlineStr">
        <is>
          <t>Коробка 2-х клапанная корпус</t>
        </is>
      </c>
      <c r="F241" s="15" t="inlineStr"/>
      <c r="G241" s="17" t="n"/>
      <c r="H241" s="15" t="n">
        <v>1</v>
      </c>
      <c r="I241" s="17" t="n"/>
      <c r="J241" s="18">
        <f>IF(I241="","",I241-H241)</f>
        <v/>
      </c>
      <c r="K241" s="19" t="n">
        <v>40</v>
      </c>
      <c r="L241" s="20">
        <f>K241*'Расходы на доставку'!$C$18</f>
        <v/>
      </c>
      <c r="M241" s="21" t="n">
        <v>20000</v>
      </c>
      <c r="N241" s="20">
        <f>IF(M241="","",M241+L241)</f>
        <v/>
      </c>
      <c r="O241" s="22">
        <f>IFERROR(L241/N241,"")</f>
        <v/>
      </c>
      <c r="P241" s="21" t="n"/>
      <c r="Q241" s="22">
        <f>IFERROR(P241/N241-1,"")</f>
        <v/>
      </c>
      <c r="R241" s="17" t="n"/>
      <c r="S241" s="23" t="n"/>
    </row>
    <row r="242">
      <c r="A242" s="15" t="n">
        <v>238</v>
      </c>
      <c r="B242" s="15" t="inlineStr">
        <is>
          <t>Контейнер 2</t>
        </is>
      </c>
      <c r="C242" s="15" t="inlineStr">
        <is>
          <t>клапан фланцевый</t>
        </is>
      </c>
      <c r="D242" s="15" t="inlineStr">
        <is>
          <t>Ду65</t>
        </is>
      </c>
      <c r="E242" s="16" t="inlineStr">
        <is>
          <t>Клапан невозвратно-приемный фланцевый Ду 65 Ру1 (522-03.023)</t>
        </is>
      </c>
      <c r="F242" s="15" t="inlineStr"/>
      <c r="G242" s="17" t="n"/>
      <c r="H242" s="15" t="n">
        <v>2</v>
      </c>
      <c r="I242" s="17" t="n"/>
      <c r="J242" s="18">
        <f>IF(I242="","",I242-H242)</f>
        <v/>
      </c>
      <c r="K242" s="19" t="n">
        <v>20</v>
      </c>
      <c r="L242" s="20">
        <f>K242*'Расходы на доставку'!$C$18</f>
        <v/>
      </c>
      <c r="M242" s="21" t="n">
        <v>9750</v>
      </c>
      <c r="N242" s="20">
        <f>IF(M242="","",M242+L242)</f>
        <v/>
      </c>
      <c r="O242" s="22">
        <f>IFERROR(L242/N242,"")</f>
        <v/>
      </c>
      <c r="P242" s="21" t="n"/>
      <c r="Q242" s="22">
        <f>IFERROR(P242/N242-1,"")</f>
        <v/>
      </c>
      <c r="R242" s="17" t="n"/>
      <c r="S242" s="23" t="n"/>
    </row>
    <row r="243">
      <c r="A243" s="15" t="n">
        <v>239</v>
      </c>
      <c r="B243" s="15" t="inlineStr">
        <is>
          <t>Контейнер 2</t>
        </is>
      </c>
      <c r="C243" s="15" t="inlineStr">
        <is>
          <t>клапан фланцевый</t>
        </is>
      </c>
      <c r="D243" s="15" t="inlineStr">
        <is>
          <t>Ду65</t>
        </is>
      </c>
      <c r="E243" s="16" t="inlineStr">
        <is>
          <t>Клапан невозвратно-приемный фланцевый Ду 65 Ру1 (522-35.4044-01)</t>
        </is>
      </c>
      <c r="F243" s="15" t="inlineStr"/>
      <c r="G243" s="17" t="n"/>
      <c r="H243" s="15" t="n">
        <v>1</v>
      </c>
      <c r="I243" s="17" t="n"/>
      <c r="J243" s="18">
        <f>IF(I243="","",I243-H243)</f>
        <v/>
      </c>
      <c r="K243" s="19" t="n">
        <v>20</v>
      </c>
      <c r="L243" s="20">
        <f>K243*'Расходы на доставку'!$C$18</f>
        <v/>
      </c>
      <c r="M243" s="21" t="n">
        <v>9750</v>
      </c>
      <c r="N243" s="20">
        <f>IF(M243="","",M243+L243)</f>
        <v/>
      </c>
      <c r="O243" s="22">
        <f>IFERROR(L243/N243,"")</f>
        <v/>
      </c>
      <c r="P243" s="21" t="n"/>
      <c r="Q243" s="22">
        <f>IFERROR(P243/N243-1,"")</f>
        <v/>
      </c>
      <c r="R243" s="17" t="n"/>
      <c r="S243" s="23" t="n"/>
    </row>
    <row r="244">
      <c r="A244" s="15" t="n">
        <v>240</v>
      </c>
      <c r="B244" s="15" t="inlineStr">
        <is>
          <t>Контейнер 2</t>
        </is>
      </c>
      <c r="C244" s="15" t="inlineStr">
        <is>
          <t>клинкет (задвижка)</t>
        </is>
      </c>
      <c r="D244" s="15" t="inlineStr">
        <is>
          <t>Ду300</t>
        </is>
      </c>
      <c r="E244" s="16" t="inlineStr">
        <is>
          <t>Задвижка клинкетная стальная Ду300</t>
        </is>
      </c>
      <c r="F244" s="15" t="inlineStr">
        <is>
          <t>сталь</t>
        </is>
      </c>
      <c r="G244" s="17" t="n"/>
      <c r="H244" s="15" t="n">
        <v>2</v>
      </c>
      <c r="I244" s="17" t="n"/>
      <c r="J244" s="18">
        <f>IF(I244="","",I244-H244)</f>
        <v/>
      </c>
      <c r="K244" s="19" t="n">
        <v>300</v>
      </c>
      <c r="L244" s="20">
        <f>K244*'Расходы на доставку'!$C$18</f>
        <v/>
      </c>
      <c r="M244" s="21" t="n">
        <v>75000</v>
      </c>
      <c r="N244" s="20">
        <f>IF(M244="","",M244+L244)</f>
        <v/>
      </c>
      <c r="O244" s="22">
        <f>IFERROR(L244/N244,"")</f>
        <v/>
      </c>
      <c r="P244" s="21" t="n"/>
      <c r="Q244" s="22">
        <f>IFERROR(P244/N244-1,"")</f>
        <v/>
      </c>
      <c r="R244" s="17" t="n"/>
      <c r="S244" s="23" t="n"/>
    </row>
    <row r="245">
      <c r="A245" s="15" t="n">
        <v>241</v>
      </c>
      <c r="B245" s="15" t="inlineStr">
        <is>
          <t>Контейнер 2</t>
        </is>
      </c>
      <c r="C245" s="15" t="inlineStr">
        <is>
          <t>прочая арматура</t>
        </is>
      </c>
      <c r="D245" s="15" t="inlineStr"/>
      <c r="E245" s="16" t="inlineStr">
        <is>
          <t>Клапан</t>
        </is>
      </c>
      <c r="F245" s="15" t="inlineStr"/>
      <c r="G245" s="17" t="n"/>
      <c r="H245" s="15" t="n">
        <v>1</v>
      </c>
      <c r="I245" s="17" t="n"/>
      <c r="J245" s="18">
        <f>IF(I245="","",I245-H245)</f>
        <v/>
      </c>
      <c r="K245" s="19" t="n">
        <v>5</v>
      </c>
      <c r="L245" s="20">
        <f>K245*'Расходы на доставку'!$C$18</f>
        <v/>
      </c>
      <c r="M245" s="21" t="n"/>
      <c r="N245" s="20">
        <f>IF(M245="","",M245+L245)</f>
        <v/>
      </c>
      <c r="O245" s="22">
        <f>IFERROR(L245/N245,"")</f>
        <v/>
      </c>
      <c r="P245" s="21" t="n"/>
      <c r="Q245" s="22">
        <f>IFERROR(P245/N245-1,"")</f>
        <v/>
      </c>
      <c r="R245" s="17" t="n"/>
      <c r="S245" s="23" t="n"/>
    </row>
    <row r="246">
      <c r="A246" s="15" t="n">
        <v>242</v>
      </c>
      <c r="B246" s="15" t="inlineStr">
        <is>
          <t>Контейнер 2</t>
        </is>
      </c>
      <c r="C246" s="15" t="inlineStr">
        <is>
          <t>прочая арматура</t>
        </is>
      </c>
      <c r="D246" s="15" t="inlineStr"/>
      <c r="E246" s="16" t="inlineStr">
        <is>
          <t>Клапан фреоновый саленоидный</t>
        </is>
      </c>
      <c r="F246" s="15" t="inlineStr"/>
      <c r="G246" s="17" t="n"/>
      <c r="H246" s="15" t="n">
        <v>2</v>
      </c>
      <c r="I246" s="17" t="n"/>
      <c r="J246" s="18">
        <f>IF(I246="","",I246-H246)</f>
        <v/>
      </c>
      <c r="K246" s="19" t="n">
        <v>5</v>
      </c>
      <c r="L246" s="20">
        <f>K246*'Расходы на доставку'!$C$18</f>
        <v/>
      </c>
      <c r="M246" s="21" t="n"/>
      <c r="N246" s="20">
        <f>IF(M246="","",M246+L246)</f>
        <v/>
      </c>
      <c r="O246" s="22">
        <f>IFERROR(L246/N246,"")</f>
        <v/>
      </c>
      <c r="P246" s="21" t="n"/>
      <c r="Q246" s="22">
        <f>IFERROR(P246/N246-1,"")</f>
        <v/>
      </c>
      <c r="R246" s="17" t="n"/>
      <c r="S246" s="23" t="n"/>
    </row>
    <row r="247">
      <c r="A247" s="15" t="n">
        <v>243</v>
      </c>
      <c r="B247" s="15" t="inlineStr">
        <is>
          <t>Контейнер 2</t>
        </is>
      </c>
      <c r="C247" s="15" t="inlineStr">
        <is>
          <t>прочая арматура</t>
        </is>
      </c>
      <c r="D247" s="15" t="inlineStr">
        <is>
          <t>Ду65</t>
        </is>
      </c>
      <c r="E247" s="16" t="inlineStr">
        <is>
          <t>Клапан паровой Ду65Ру10</t>
        </is>
      </c>
      <c r="F247" s="15" t="inlineStr"/>
      <c r="G247" s="17" t="n"/>
      <c r="H247" s="15" t="n">
        <v>1</v>
      </c>
      <c r="I247" s="17" t="n"/>
      <c r="J247" s="18">
        <f>IF(I247="","",I247-H247)</f>
        <v/>
      </c>
      <c r="K247" s="19" t="n">
        <v>5</v>
      </c>
      <c r="L247" s="20">
        <f>K247*'Расходы на доставку'!$C$18</f>
        <v/>
      </c>
      <c r="M247" s="21" t="n"/>
      <c r="N247" s="20">
        <f>IF(M247="","",M247+L247)</f>
        <v/>
      </c>
      <c r="O247" s="22">
        <f>IFERROR(L247/N247,"")</f>
        <v/>
      </c>
      <c r="P247" s="21" t="n"/>
      <c r="Q247" s="22">
        <f>IFERROR(P247/N247-1,"")</f>
        <v/>
      </c>
      <c r="R247" s="17" t="n"/>
      <c r="S247" s="23" t="n"/>
    </row>
    <row r="248">
      <c r="A248" s="15" t="n">
        <v>244</v>
      </c>
      <c r="B248" s="15" t="inlineStr">
        <is>
          <t>Контейнер 2</t>
        </is>
      </c>
      <c r="C248" s="15" t="inlineStr">
        <is>
          <t>клапан фланцевый</t>
        </is>
      </c>
      <c r="D248" s="15" t="inlineStr">
        <is>
          <t>Ду50</t>
        </is>
      </c>
      <c r="E248" s="16" t="inlineStr">
        <is>
          <t>Клапан фланц. концевой пожарный угловой Ду50 Ру25</t>
        </is>
      </c>
      <c r="F248" s="15" t="inlineStr"/>
      <c r="G248" s="17" t="n"/>
      <c r="H248" s="15" t="n">
        <v>1</v>
      </c>
      <c r="I248" s="17" t="n"/>
      <c r="J248" s="18">
        <f>IF(I248="","",I248-H248)</f>
        <v/>
      </c>
      <c r="K248" s="19" t="n">
        <v>14</v>
      </c>
      <c r="L248" s="20">
        <f>K248*'Расходы на доставку'!$C$18</f>
        <v/>
      </c>
      <c r="M248" s="21" t="n"/>
      <c r="N248" s="20">
        <f>IF(M248="","",M248+L248)</f>
        <v/>
      </c>
      <c r="O248" s="22">
        <f>IFERROR(L248/N248,"")</f>
        <v/>
      </c>
      <c r="P248" s="21" t="n"/>
      <c r="Q248" s="22">
        <f>IFERROR(P248/N248-1,"")</f>
        <v/>
      </c>
      <c r="R248" s="17" t="n"/>
      <c r="S248" s="23" t="n"/>
    </row>
    <row r="249">
      <c r="A249" s="15" t="n">
        <v>245</v>
      </c>
      <c r="B249" s="15" t="inlineStr">
        <is>
          <t>Контейнер 2</t>
        </is>
      </c>
      <c r="C249" s="15" t="inlineStr">
        <is>
          <t>клапан фланцевый</t>
        </is>
      </c>
      <c r="D249" s="15" t="inlineStr">
        <is>
          <t>Ду50</t>
        </is>
      </c>
      <c r="E249" s="16" t="inlineStr">
        <is>
          <t>Клапан фланц. концевой пожарный угловой Ду50 Ру25</t>
        </is>
      </c>
      <c r="F249" s="15" t="inlineStr"/>
      <c r="G249" s="17" t="n"/>
      <c r="H249" s="15" t="n">
        <v>1</v>
      </c>
      <c r="I249" s="17" t="n"/>
      <c r="J249" s="18">
        <f>IF(I249="","",I249-H249)</f>
        <v/>
      </c>
      <c r="K249" s="19" t="n">
        <v>14</v>
      </c>
      <c r="L249" s="20">
        <f>K249*'Расходы на доставку'!$C$18</f>
        <v/>
      </c>
      <c r="M249" s="21" t="n"/>
      <c r="N249" s="20">
        <f>IF(M249="","",M249+L249)</f>
        <v/>
      </c>
      <c r="O249" s="22">
        <f>IFERROR(L249/N249,"")</f>
        <v/>
      </c>
      <c r="P249" s="21" t="n"/>
      <c r="Q249" s="22">
        <f>IFERROR(P249/N249-1,"")</f>
        <v/>
      </c>
      <c r="R249" s="17" t="n"/>
      <c r="S249" s="23" t="n"/>
    </row>
    <row r="250">
      <c r="A250" s="15" t="n">
        <v>246</v>
      </c>
      <c r="B250" s="15" t="inlineStr">
        <is>
          <t>Контейнер 2</t>
        </is>
      </c>
      <c r="C250" s="15" t="inlineStr">
        <is>
          <t>прочая арматура</t>
        </is>
      </c>
      <c r="D250" s="15" t="inlineStr"/>
      <c r="E250" s="16" t="inlineStr">
        <is>
          <t>Кланан Рр18-2 45/25</t>
        </is>
      </c>
      <c r="F250" s="15" t="inlineStr"/>
      <c r="G250" s="17" t="n"/>
      <c r="H250" s="15" t="n">
        <v>1</v>
      </c>
      <c r="I250" s="17" t="n"/>
      <c r="J250" s="18">
        <f>IF(I250="","",I250-H250)</f>
        <v/>
      </c>
      <c r="K250" s="19" t="n">
        <v>5</v>
      </c>
      <c r="L250" s="20">
        <f>K250*'Расходы на доставку'!$C$18</f>
        <v/>
      </c>
      <c r="M250" s="21" t="n"/>
      <c r="N250" s="20">
        <f>IF(M250="","",M250+L250)</f>
        <v/>
      </c>
      <c r="O250" s="22">
        <f>IFERROR(L250/N250,"")</f>
        <v/>
      </c>
      <c r="P250" s="21" t="n"/>
      <c r="Q250" s="22">
        <f>IFERROR(P250/N250-1,"")</f>
        <v/>
      </c>
      <c r="R250" s="17" t="n"/>
      <c r="S250" s="23" t="n"/>
    </row>
    <row r="251">
      <c r="A251" s="15" t="n">
        <v>247</v>
      </c>
      <c r="B251" s="15" t="inlineStr">
        <is>
          <t>Контейнер 2</t>
        </is>
      </c>
      <c r="C251" s="15" t="inlineStr">
        <is>
          <t>прочая арматура</t>
        </is>
      </c>
      <c r="D251" s="15" t="inlineStr"/>
      <c r="E251" s="16" t="inlineStr">
        <is>
          <t>Клапан электромагнитный б/у</t>
        </is>
      </c>
      <c r="F251" s="15" t="inlineStr"/>
      <c r="G251" s="17" t="n"/>
      <c r="H251" s="15" t="n">
        <v>4</v>
      </c>
      <c r="I251" s="17" t="n"/>
      <c r="J251" s="18">
        <f>IF(I251="","",I251-H251)</f>
        <v/>
      </c>
      <c r="K251" s="19" t="n">
        <v>5</v>
      </c>
      <c r="L251" s="20">
        <f>K251*'Расходы на доставку'!$C$18</f>
        <v/>
      </c>
      <c r="M251" s="21" t="n"/>
      <c r="N251" s="20">
        <f>IF(M251="","",M251+L251)</f>
        <v/>
      </c>
      <c r="O251" s="22">
        <f>IFERROR(L251/N251,"")</f>
        <v/>
      </c>
      <c r="P251" s="21" t="n"/>
      <c r="Q251" s="22">
        <f>IFERROR(P251/N251-1,"")</f>
        <v/>
      </c>
      <c r="R251" s="17" t="n"/>
      <c r="S251" s="23" t="n"/>
    </row>
    <row r="252">
      <c r="A252" s="15" t="n">
        <v>248</v>
      </c>
      <c r="B252" s="15" t="inlineStr">
        <is>
          <t>Контейнер 2</t>
        </is>
      </c>
      <c r="C252" s="15" t="inlineStr">
        <is>
          <t>клинкет (задвижка)</t>
        </is>
      </c>
      <c r="D252" s="15" t="inlineStr"/>
      <c r="E252" s="16" t="inlineStr">
        <is>
          <t>Задвижки (желтая) ок. крышек</t>
        </is>
      </c>
      <c r="F252" s="15" t="inlineStr"/>
      <c r="G252" s="17" t="n"/>
      <c r="H252" s="15" t="n">
        <v>13</v>
      </c>
      <c r="I252" s="17" t="n"/>
      <c r="J252" s="18">
        <f>IF(I252="","",I252-H252)</f>
        <v/>
      </c>
      <c r="K252" s="19" t="n">
        <v>40</v>
      </c>
      <c r="L252" s="20">
        <f>K252*'Расходы на доставку'!$C$18</f>
        <v/>
      </c>
      <c r="M252" s="21" t="n"/>
      <c r="N252" s="20">
        <f>IF(M252="","",M252+L252)</f>
        <v/>
      </c>
      <c r="O252" s="22">
        <f>IFERROR(L252/N252,"")</f>
        <v/>
      </c>
      <c r="P252" s="21" t="n"/>
      <c r="Q252" s="22">
        <f>IFERROR(P252/N252-1,"")</f>
        <v/>
      </c>
      <c r="R252" s="17" t="n"/>
      <c r="S252" s="23" t="n"/>
    </row>
    <row r="253">
      <c r="A253" s="15" t="n">
        <v>249</v>
      </c>
      <c r="B253" s="15" t="inlineStr">
        <is>
          <t>Контейнер 2</t>
        </is>
      </c>
      <c r="C253" s="15" t="inlineStr">
        <is>
          <t>клинкет (задвижка)</t>
        </is>
      </c>
      <c r="D253" s="15" t="inlineStr">
        <is>
          <t>Ду100</t>
        </is>
      </c>
      <c r="E253" s="16" t="inlineStr">
        <is>
          <t>Блины к клинкету Ду100</t>
        </is>
      </c>
      <c r="F253" s="15" t="inlineStr"/>
      <c r="G253" s="17" t="n"/>
      <c r="H253" s="15" t="n">
        <v>11</v>
      </c>
      <c r="I253" s="17" t="n"/>
      <c r="J253" s="18">
        <f>IF(I253="","",I253-H253)</f>
        <v/>
      </c>
      <c r="K253" s="19" t="n">
        <v>45</v>
      </c>
      <c r="L253" s="20">
        <f>K253*'Расходы на доставку'!$C$18</f>
        <v/>
      </c>
      <c r="M253" s="21" t="n"/>
      <c r="N253" s="20">
        <f>IF(M253="","",M253+L253)</f>
        <v/>
      </c>
      <c r="O253" s="22">
        <f>IFERROR(L253/N253,"")</f>
        <v/>
      </c>
      <c r="P253" s="21" t="n"/>
      <c r="Q253" s="22">
        <f>IFERROR(P253/N253-1,"")</f>
        <v/>
      </c>
      <c r="R253" s="17" t="n"/>
      <c r="S253" s="23" t="n"/>
    </row>
    <row r="254">
      <c r="A254" s="15" t="n">
        <v>250</v>
      </c>
      <c r="B254" s="15" t="inlineStr">
        <is>
          <t>Контейнер 2</t>
        </is>
      </c>
      <c r="C254" s="15" t="inlineStr">
        <is>
          <t>клапан штуцерный</t>
        </is>
      </c>
      <c r="D254" s="15" t="inlineStr">
        <is>
          <t>Ду15</t>
        </is>
      </c>
      <c r="E254" s="16" t="inlineStr">
        <is>
          <t>Клапан штуцерный проходной бессальниковый Ду15/1</t>
        </is>
      </c>
      <c r="F254" s="15" t="inlineStr"/>
      <c r="G254" s="17" t="n"/>
      <c r="H254" s="15" t="n">
        <v>3</v>
      </c>
      <c r="I254" s="17" t="n"/>
      <c r="J254" s="18">
        <f>IF(I254="","",I254-H254)</f>
        <v/>
      </c>
      <c r="K254" s="19" t="n">
        <v>1</v>
      </c>
      <c r="L254" s="20">
        <f>K254*'Расходы на доставку'!$C$18</f>
        <v/>
      </c>
      <c r="M254" s="21" t="n"/>
      <c r="N254" s="20">
        <f>IF(M254="","",M254+L254)</f>
        <v/>
      </c>
      <c r="O254" s="22">
        <f>IFERROR(L254/N254,"")</f>
        <v/>
      </c>
      <c r="P254" s="21" t="n"/>
      <c r="Q254" s="22">
        <f>IFERROR(P254/N254-1,"")</f>
        <v/>
      </c>
      <c r="R254" s="17" t="n"/>
      <c r="S254" s="23" t="n"/>
    </row>
    <row r="255">
      <c r="A255" s="15" t="n">
        <v>251</v>
      </c>
      <c r="B255" s="15" t="inlineStr">
        <is>
          <t>Контейнер 2</t>
        </is>
      </c>
      <c r="C255" s="15" t="inlineStr">
        <is>
          <t>клапан штуцерный</t>
        </is>
      </c>
      <c r="D255" s="15" t="inlineStr"/>
      <c r="E255" s="16" t="inlineStr">
        <is>
          <t>Клапан дроссельный угловой штуцерный</t>
        </is>
      </c>
      <c r="F255" s="15" t="inlineStr"/>
      <c r="G255" s="17" t="n"/>
      <c r="H255" s="15" t="n">
        <v>1</v>
      </c>
      <c r="I255" s="17" t="n"/>
      <c r="J255" s="18">
        <f>IF(I255="","",I255-H255)</f>
        <v/>
      </c>
      <c r="K255" s="19" t="n">
        <v>2</v>
      </c>
      <c r="L255" s="20">
        <f>K255*'Расходы на доставку'!$C$18</f>
        <v/>
      </c>
      <c r="M255" s="21" t="n"/>
      <c r="N255" s="20">
        <f>IF(M255="","",M255+L255)</f>
        <v/>
      </c>
      <c r="O255" s="22">
        <f>IFERROR(L255/N255,"")</f>
        <v/>
      </c>
      <c r="P255" s="21" t="n"/>
      <c r="Q255" s="22">
        <f>IFERROR(P255/N255-1,"")</f>
        <v/>
      </c>
      <c r="R255" s="17" t="n"/>
      <c r="S255" s="23" t="n"/>
    </row>
    <row r="256">
      <c r="A256" s="15" t="n">
        <v>252</v>
      </c>
      <c r="B256" s="15" t="inlineStr">
        <is>
          <t>Контейнер 2</t>
        </is>
      </c>
      <c r="C256" s="15" t="inlineStr">
        <is>
          <t>клапан штуцерный</t>
        </is>
      </c>
      <c r="D256" s="15" t="inlineStr">
        <is>
          <t>Ду10</t>
        </is>
      </c>
      <c r="E256" s="16" t="inlineStr">
        <is>
          <t>Клапан штуцерный угловой Ду10 Ру100</t>
        </is>
      </c>
      <c r="F256" s="15" t="inlineStr"/>
      <c r="G256" s="17" t="n"/>
      <c r="H256" s="15" t="n">
        <v>1</v>
      </c>
      <c r="I256" s="17" t="n"/>
      <c r="J256" s="18">
        <f>IF(I256="","",I256-H256)</f>
        <v/>
      </c>
      <c r="K256" s="19" t="n">
        <v>0.6</v>
      </c>
      <c r="L256" s="20">
        <f>K256*'Расходы на доставку'!$C$18</f>
        <v/>
      </c>
      <c r="M256" s="21" t="n"/>
      <c r="N256" s="20">
        <f>IF(M256="","",M256+L256)</f>
        <v/>
      </c>
      <c r="O256" s="22">
        <f>IFERROR(L256/N256,"")</f>
        <v/>
      </c>
      <c r="P256" s="21" t="n"/>
      <c r="Q256" s="22">
        <f>IFERROR(P256/N256-1,"")</f>
        <v/>
      </c>
      <c r="R256" s="17" t="n"/>
      <c r="S256" s="23" t="n"/>
    </row>
    <row r="257">
      <c r="A257" s="15" t="n">
        <v>253</v>
      </c>
      <c r="B257" s="15" t="inlineStr">
        <is>
          <t>Контейнер 2</t>
        </is>
      </c>
      <c r="C257" s="15" t="inlineStr">
        <is>
          <t>клапан штуцерный</t>
        </is>
      </c>
      <c r="D257" s="15" t="inlineStr"/>
      <c r="E257" s="16" t="inlineStr">
        <is>
          <t>Клапан штуцерный угловой Ду НЕРЖ</t>
        </is>
      </c>
      <c r="F257" s="15" t="inlineStr"/>
      <c r="G257" s="17" t="n"/>
      <c r="H257" s="15" t="n">
        <v>1</v>
      </c>
      <c r="I257" s="17" t="n"/>
      <c r="J257" s="18">
        <f>IF(I257="","",I257-H257)</f>
        <v/>
      </c>
      <c r="K257" s="19" t="n">
        <v>2</v>
      </c>
      <c r="L257" s="20">
        <f>K257*'Расходы на доставку'!$C$18</f>
        <v/>
      </c>
      <c r="M257" s="21" t="n"/>
      <c r="N257" s="20">
        <f>IF(M257="","",M257+L257)</f>
        <v/>
      </c>
      <c r="O257" s="22">
        <f>IFERROR(L257/N257,"")</f>
        <v/>
      </c>
      <c r="P257" s="21" t="n"/>
      <c r="Q257" s="22">
        <f>IFERROR(P257/N257-1,"")</f>
        <v/>
      </c>
      <c r="R257" s="17" t="n"/>
      <c r="S257" s="23" t="n"/>
    </row>
    <row r="258">
      <c r="A258" s="15" t="n">
        <v>254</v>
      </c>
      <c r="B258" s="15" t="inlineStr">
        <is>
          <t>Контейнер 2</t>
        </is>
      </c>
      <c r="C258" s="15" t="inlineStr">
        <is>
          <t>прочая арматура</t>
        </is>
      </c>
      <c r="D258" s="15" t="inlineStr">
        <is>
          <t>Ду20</t>
        </is>
      </c>
      <c r="E258" s="16" t="inlineStr">
        <is>
          <t>Клапан редукционный штуц.проход.односедельный Ду20Ру400 у входа</t>
        </is>
      </c>
      <c r="F258" s="15" t="inlineStr"/>
      <c r="G258" s="17" t="n"/>
      <c r="H258" s="15" t="n">
        <v>9</v>
      </c>
      <c r="I258" s="17" t="n"/>
      <c r="J258" s="18">
        <f>IF(I258="","",I258-H258)</f>
        <v/>
      </c>
      <c r="K258" s="19" t="n">
        <v>5</v>
      </c>
      <c r="L258" s="20">
        <f>K258*'Расходы на доставку'!$C$18</f>
        <v/>
      </c>
      <c r="M258" s="21" t="n"/>
      <c r="N258" s="20">
        <f>IF(M258="","",M258+L258)</f>
        <v/>
      </c>
      <c r="O258" s="22">
        <f>IFERROR(L258/N258,"")</f>
        <v/>
      </c>
      <c r="P258" s="21" t="n"/>
      <c r="Q258" s="22">
        <f>IFERROR(P258/N258-1,"")</f>
        <v/>
      </c>
      <c r="R258" s="17" t="n"/>
      <c r="S258" s="23" t="n"/>
    </row>
    <row r="259">
      <c r="A259" s="15" t="n">
        <v>255</v>
      </c>
      <c r="B259" s="15" t="inlineStr">
        <is>
          <t>Контейнер 2</t>
        </is>
      </c>
      <c r="C259" s="15" t="inlineStr">
        <is>
          <t>прочая арматура</t>
        </is>
      </c>
      <c r="D259" s="15" t="inlineStr">
        <is>
          <t>Ду20</t>
        </is>
      </c>
      <c r="E259" s="16" t="inlineStr">
        <is>
          <t>Клапан с электромагнитным ручным управлением Ду20/10 перем. 220В</t>
        </is>
      </c>
      <c r="F259" s="15" t="inlineStr"/>
      <c r="G259" s="17" t="n"/>
      <c r="H259" s="15" t="n">
        <v>1</v>
      </c>
      <c r="I259" s="17" t="n"/>
      <c r="J259" s="18">
        <f>IF(I259="","",I259-H259)</f>
        <v/>
      </c>
      <c r="K259" s="19" t="n">
        <v>5</v>
      </c>
      <c r="L259" s="20">
        <f>K259*'Расходы на доставку'!$C$18</f>
        <v/>
      </c>
      <c r="M259" s="21" t="n"/>
      <c r="N259" s="20">
        <f>IF(M259="","",M259+L259)</f>
        <v/>
      </c>
      <c r="O259" s="22">
        <f>IFERROR(L259/N259,"")</f>
        <v/>
      </c>
      <c r="P259" s="21" t="n"/>
      <c r="Q259" s="22">
        <f>IFERROR(P259/N259-1,"")</f>
        <v/>
      </c>
      <c r="R259" s="17" t="n"/>
      <c r="S259" s="23" t="n"/>
    </row>
    <row r="260">
      <c r="A260" s="15" t="n">
        <v>256</v>
      </c>
      <c r="B260" s="15" t="inlineStr">
        <is>
          <t>Контейнер 2</t>
        </is>
      </c>
      <c r="C260" s="15" t="inlineStr">
        <is>
          <t>прочая арматура</t>
        </is>
      </c>
      <c r="D260" s="15" t="inlineStr">
        <is>
          <t>Ду20</t>
        </is>
      </c>
      <c r="E260" s="16" t="inlineStr">
        <is>
          <t>Клапан пусковой Ду20Ру125</t>
        </is>
      </c>
      <c r="F260" s="15" t="inlineStr"/>
      <c r="G260" s="17" t="n"/>
      <c r="H260" s="15" t="n">
        <v>7</v>
      </c>
      <c r="I260" s="17" t="n"/>
      <c r="J260" s="18">
        <f>IF(I260="","",I260-H260)</f>
        <v/>
      </c>
      <c r="K260" s="19" t="n">
        <v>5</v>
      </c>
      <c r="L260" s="20">
        <f>K260*'Расходы на доставку'!$C$18</f>
        <v/>
      </c>
      <c r="M260" s="21" t="n"/>
      <c r="N260" s="20">
        <f>IF(M260="","",M260+L260)</f>
        <v/>
      </c>
      <c r="O260" s="22">
        <f>IFERROR(L260/N260,"")</f>
        <v/>
      </c>
      <c r="P260" s="21" t="n"/>
      <c r="Q260" s="22">
        <f>IFERROR(P260/N260-1,"")</f>
        <v/>
      </c>
      <c r="R260" s="17" t="n"/>
      <c r="S260" s="23" t="n"/>
    </row>
    <row r="261">
      <c r="A261" s="15" t="n">
        <v>257</v>
      </c>
      <c r="B261" s="15" t="inlineStr">
        <is>
          <t>Контейнер 2</t>
        </is>
      </c>
      <c r="C261" s="15" t="inlineStr">
        <is>
          <t>прочая арматура</t>
        </is>
      </c>
      <c r="D261" s="15" t="inlineStr">
        <is>
          <t>Ду32</t>
        </is>
      </c>
      <c r="E261" s="16" t="inlineStr">
        <is>
          <t>Клапан пусковой Ду32Ру125</t>
        </is>
      </c>
      <c r="F261" s="15" t="inlineStr"/>
      <c r="G261" s="17" t="n"/>
      <c r="H261" s="15" t="n">
        <v>8</v>
      </c>
      <c r="I261" s="17" t="n"/>
      <c r="J261" s="18">
        <f>IF(I261="","",I261-H261)</f>
        <v/>
      </c>
      <c r="K261" s="19" t="n">
        <v>5</v>
      </c>
      <c r="L261" s="20">
        <f>K261*'Расходы на доставку'!$C$18</f>
        <v/>
      </c>
      <c r="M261" s="21" t="n"/>
      <c r="N261" s="20">
        <f>IF(M261="","",M261+L261)</f>
        <v/>
      </c>
      <c r="O261" s="22">
        <f>IFERROR(L261/N261,"")</f>
        <v/>
      </c>
      <c r="P261" s="21" t="n"/>
      <c r="Q261" s="22">
        <f>IFERROR(P261/N261-1,"")</f>
        <v/>
      </c>
      <c r="R261" s="17" t="n"/>
      <c r="S261" s="23" t="n"/>
    </row>
    <row r="262">
      <c r="A262" s="15" t="n">
        <v>258</v>
      </c>
      <c r="B262" s="15" t="inlineStr">
        <is>
          <t>Контейнер 2</t>
        </is>
      </c>
      <c r="C262" s="15" t="inlineStr">
        <is>
          <t>клапан фланцевый</t>
        </is>
      </c>
      <c r="D262" s="15" t="inlineStr">
        <is>
          <t>Ду32</t>
        </is>
      </c>
      <c r="E262" s="16" t="inlineStr">
        <is>
          <t>Клапан фланц. концевой пожарный угловой Ду32 Ру10</t>
        </is>
      </c>
      <c r="F262" s="15" t="inlineStr"/>
      <c r="G262" s="17" t="n"/>
      <c r="H262" s="15" t="n">
        <v>1</v>
      </c>
      <c r="I262" s="17" t="n"/>
      <c r="J262" s="18">
        <f>IF(I262="","",I262-H262)</f>
        <v/>
      </c>
      <c r="K262" s="19" t="n">
        <v>7</v>
      </c>
      <c r="L262" s="20">
        <f>K262*'Расходы на доставку'!$C$18</f>
        <v/>
      </c>
      <c r="M262" s="21" t="n"/>
      <c r="N262" s="20">
        <f>IF(M262="","",M262+L262)</f>
        <v/>
      </c>
      <c r="O262" s="22">
        <f>IFERROR(L262/N262,"")</f>
        <v/>
      </c>
      <c r="P262" s="21" t="n"/>
      <c r="Q262" s="22">
        <f>IFERROR(P262/N262-1,"")</f>
        <v/>
      </c>
      <c r="R262" s="17" t="n"/>
      <c r="S262" s="23" t="n"/>
    </row>
    <row r="263">
      <c r="A263" s="15" t="n">
        <v>259</v>
      </c>
      <c r="B263" s="15" t="inlineStr">
        <is>
          <t>Контейнер 2</t>
        </is>
      </c>
      <c r="C263" s="15" t="inlineStr">
        <is>
          <t>клапан фланцевый</t>
        </is>
      </c>
      <c r="D263" s="15" t="inlineStr">
        <is>
          <t>Ду32</t>
        </is>
      </c>
      <c r="E263" s="16" t="inlineStr">
        <is>
          <t>Клапан фланц. концевой пожарный угловой Ду32 Ру16</t>
        </is>
      </c>
      <c r="F263" s="15" t="inlineStr"/>
      <c r="G263" s="17" t="n"/>
      <c r="H263" s="15" t="n">
        <v>2</v>
      </c>
      <c r="I263" s="17" t="n"/>
      <c r="J263" s="18">
        <f>IF(I263="","",I263-H263)</f>
        <v/>
      </c>
      <c r="K263" s="19" t="n">
        <v>7</v>
      </c>
      <c r="L263" s="20">
        <f>K263*'Расходы на доставку'!$C$18</f>
        <v/>
      </c>
      <c r="M263" s="21" t="n"/>
      <c r="N263" s="20">
        <f>IF(M263="","",M263+L263)</f>
        <v/>
      </c>
      <c r="O263" s="22">
        <f>IFERROR(L263/N263,"")</f>
        <v/>
      </c>
      <c r="P263" s="21" t="n"/>
      <c r="Q263" s="22">
        <f>IFERROR(P263/N263-1,"")</f>
        <v/>
      </c>
      <c r="R263" s="17" t="n"/>
      <c r="S263" s="23" t="n"/>
    </row>
    <row r="264">
      <c r="A264" s="15" t="n">
        <v>260</v>
      </c>
      <c r="B264" s="15" t="inlineStr">
        <is>
          <t>Контейнер 2</t>
        </is>
      </c>
      <c r="C264" s="15" t="inlineStr">
        <is>
          <t>клапан штуцерный</t>
        </is>
      </c>
      <c r="D264" s="15" t="inlineStr">
        <is>
          <t>Ду50</t>
        </is>
      </c>
      <c r="E264" s="16" t="inlineStr">
        <is>
          <t>Клапан невозв-запорн.с присоед.под дюрит прох. Ду 50</t>
        </is>
      </c>
      <c r="F264" s="15" t="inlineStr"/>
      <c r="G264" s="17" t="n"/>
      <c r="H264" s="15" t="n">
        <v>10</v>
      </c>
      <c r="I264" s="17" t="n"/>
      <c r="J264" s="18">
        <f>IF(I264="","",I264-H264)</f>
        <v/>
      </c>
      <c r="K264" s="19" t="n">
        <v>7</v>
      </c>
      <c r="L264" s="20">
        <f>K264*'Расходы на доставку'!$C$18</f>
        <v/>
      </c>
      <c r="M264" s="21" t="n"/>
      <c r="N264" s="20">
        <f>IF(M264="","",M264+L264)</f>
        <v/>
      </c>
      <c r="O264" s="22">
        <f>IFERROR(L264/N264,"")</f>
        <v/>
      </c>
      <c r="P264" s="21" t="n"/>
      <c r="Q264" s="22">
        <f>IFERROR(P264/N264-1,"")</f>
        <v/>
      </c>
      <c r="R264" s="17" t="n"/>
      <c r="S264" s="23" t="n"/>
    </row>
    <row r="265">
      <c r="A265" s="15" t="n">
        <v>261</v>
      </c>
      <c r="B265" s="15" t="inlineStr">
        <is>
          <t>Контейнер 2</t>
        </is>
      </c>
      <c r="C265" s="15" t="inlineStr">
        <is>
          <t>клапан штуцерный</t>
        </is>
      </c>
      <c r="D265" s="15" t="inlineStr">
        <is>
          <t>Ду65</t>
        </is>
      </c>
      <c r="E265" s="16" t="inlineStr">
        <is>
          <t>Клапан запорн.с присоед.под дюрит прох. Ду65</t>
        </is>
      </c>
      <c r="F265" s="15" t="inlineStr"/>
      <c r="G265" s="17" t="n"/>
      <c r="H265" s="15" t="n">
        <v>20</v>
      </c>
      <c r="I265" s="17" t="n"/>
      <c r="J265" s="18">
        <f>IF(I265="","",I265-H265)</f>
        <v/>
      </c>
      <c r="K265" s="19" t="n">
        <v>10</v>
      </c>
      <c r="L265" s="20">
        <f>K265*'Расходы на доставку'!$C$18</f>
        <v/>
      </c>
      <c r="M265" s="21" t="n"/>
      <c r="N265" s="20">
        <f>IF(M265="","",M265+L265)</f>
        <v/>
      </c>
      <c r="O265" s="22">
        <f>IFERROR(L265/N265,"")</f>
        <v/>
      </c>
      <c r="P265" s="21" t="n"/>
      <c r="Q265" s="22">
        <f>IFERROR(P265/N265-1,"")</f>
        <v/>
      </c>
      <c r="R265" s="17" t="n"/>
      <c r="S265" s="23" t="n"/>
    </row>
    <row r="266">
      <c r="A266" s="15" t="n">
        <v>262</v>
      </c>
      <c r="B266" s="15" t="inlineStr">
        <is>
          <t>Контейнер 2</t>
        </is>
      </c>
      <c r="C266" s="15" t="inlineStr">
        <is>
          <t>коробка клапанная</t>
        </is>
      </c>
      <c r="D266" s="15" t="inlineStr">
        <is>
          <t>Ду50</t>
        </is>
      </c>
      <c r="E266" s="16" t="inlineStr">
        <is>
          <t>Коробка 3-х клап.фланцевая Ду50</t>
        </is>
      </c>
      <c r="F266" s="15" t="inlineStr"/>
      <c r="G266" s="17" t="n"/>
      <c r="H266" s="15" t="n">
        <v>3</v>
      </c>
      <c r="I266" s="17" t="n"/>
      <c r="J266" s="18">
        <f>IF(I266="","",I266-H266)</f>
        <v/>
      </c>
      <c r="K266" s="19" t="n">
        <v>25</v>
      </c>
      <c r="L266" s="20">
        <f>K266*'Расходы на доставку'!$C$18</f>
        <v/>
      </c>
      <c r="M266" s="21" t="n"/>
      <c r="N266" s="20">
        <f>IF(M266="","",M266+L266)</f>
        <v/>
      </c>
      <c r="O266" s="22">
        <f>IFERROR(L266/N266,"")</f>
        <v/>
      </c>
      <c r="P266" s="21" t="n"/>
      <c r="Q266" s="22">
        <f>IFERROR(P266/N266-1,"")</f>
        <v/>
      </c>
      <c r="R266" s="17" t="n"/>
      <c r="S266" s="23" t="n"/>
    </row>
    <row r="267">
      <c r="A267" s="15" t="n">
        <v>263</v>
      </c>
      <c r="B267" s="15" t="inlineStr">
        <is>
          <t>Контейнер 2</t>
        </is>
      </c>
      <c r="C267" s="15" t="inlineStr">
        <is>
          <t>коробка клапанная</t>
        </is>
      </c>
      <c r="D267" s="15" t="inlineStr">
        <is>
          <t>Ду80</t>
        </is>
      </c>
      <c r="E267" s="16" t="inlineStr">
        <is>
          <t>Коробка 3-х клап.фланцевая Ду80</t>
        </is>
      </c>
      <c r="F267" s="15" t="inlineStr"/>
      <c r="G267" s="17" t="n"/>
      <c r="H267" s="15" t="n">
        <v>8</v>
      </c>
      <c r="I267" s="17" t="n"/>
      <c r="J267" s="18">
        <f>IF(I267="","",I267-H267)</f>
        <v/>
      </c>
      <c r="K267" s="19" t="n">
        <v>45</v>
      </c>
      <c r="L267" s="20">
        <f>K267*'Расходы на доставку'!$C$18</f>
        <v/>
      </c>
      <c r="M267" s="21" t="n"/>
      <c r="N267" s="20">
        <f>IF(M267="","",M267+L267)</f>
        <v/>
      </c>
      <c r="O267" s="22">
        <f>IFERROR(L267/N267,"")</f>
        <v/>
      </c>
      <c r="P267" s="21" t="n"/>
      <c r="Q267" s="22">
        <f>IFERROR(P267/N267-1,"")</f>
        <v/>
      </c>
      <c r="R267" s="17" t="n"/>
      <c r="S267" s="23" t="n"/>
    </row>
    <row r="268">
      <c r="A268" s="15" t="n">
        <v>264</v>
      </c>
      <c r="B268" s="15" t="inlineStr">
        <is>
          <t>Контейнер 2</t>
        </is>
      </c>
      <c r="C268" s="15" t="inlineStr">
        <is>
          <t>коробка клапанная</t>
        </is>
      </c>
      <c r="D268" s="15" t="inlineStr">
        <is>
          <t>Ду100</t>
        </is>
      </c>
      <c r="E268" s="16" t="inlineStr">
        <is>
          <t>Коробка 3-х клап.фланцевая Ду100</t>
        </is>
      </c>
      <c r="F268" s="15" t="inlineStr"/>
      <c r="G268" s="17" t="n"/>
      <c r="H268" s="15" t="n">
        <v>1</v>
      </c>
      <c r="I268" s="17" t="n"/>
      <c r="J268" s="18">
        <f>IF(I268="","",I268-H268)</f>
        <v/>
      </c>
      <c r="K268" s="19" t="n">
        <v>60</v>
      </c>
      <c r="L268" s="20">
        <f>K268*'Расходы на доставку'!$C$18</f>
        <v/>
      </c>
      <c r="M268" s="21" t="n"/>
      <c r="N268" s="20">
        <f>IF(M268="","",M268+L268)</f>
        <v/>
      </c>
      <c r="O268" s="22">
        <f>IFERROR(L268/N268,"")</f>
        <v/>
      </c>
      <c r="P268" s="21" t="n"/>
      <c r="Q268" s="22">
        <f>IFERROR(P268/N268-1,"")</f>
        <v/>
      </c>
      <c r="R268" s="17" t="n"/>
      <c r="S268" s="23" t="n"/>
    </row>
    <row r="269">
      <c r="A269" s="15" t="n">
        <v>265</v>
      </c>
      <c r="B269" s="15" t="inlineStr">
        <is>
          <t>Контейнер 2</t>
        </is>
      </c>
      <c r="C269" s="15" t="inlineStr">
        <is>
          <t>коробка клапанная</t>
        </is>
      </c>
      <c r="D269" s="15" t="inlineStr">
        <is>
          <t>Ду50</t>
        </is>
      </c>
      <c r="E269" s="16" t="inlineStr">
        <is>
          <t>Коробка 2-х клапановая фланцевая Ду50</t>
        </is>
      </c>
      <c r="F269" s="15" t="inlineStr"/>
      <c r="G269" s="17" t="n"/>
      <c r="H269" s="15" t="n">
        <v>2</v>
      </c>
      <c r="I269" s="17" t="n"/>
      <c r="J269" s="18">
        <f>IF(I269="","",I269-H269)</f>
        <v/>
      </c>
      <c r="K269" s="19" t="n">
        <v>25</v>
      </c>
      <c r="L269" s="20">
        <f>K269*'Расходы на доставку'!$C$18</f>
        <v/>
      </c>
      <c r="M269" s="21" t="n"/>
      <c r="N269" s="20">
        <f>IF(M269="","",M269+L269)</f>
        <v/>
      </c>
      <c r="O269" s="22">
        <f>IFERROR(L269/N269,"")</f>
        <v/>
      </c>
      <c r="P269" s="21" t="n"/>
      <c r="Q269" s="22">
        <f>IFERROR(P269/N269-1,"")</f>
        <v/>
      </c>
      <c r="R269" s="17" t="n"/>
      <c r="S269" s="23" t="n"/>
    </row>
    <row r="270">
      <c r="A270" s="15" t="n">
        <v>266</v>
      </c>
      <c r="B270" s="15" t="inlineStr">
        <is>
          <t>Контейнер 2</t>
        </is>
      </c>
      <c r="C270" s="15" t="inlineStr">
        <is>
          <t>коробка клапанная</t>
        </is>
      </c>
      <c r="D270" s="15" t="inlineStr">
        <is>
          <t>Ду80</t>
        </is>
      </c>
      <c r="E270" s="16" t="inlineStr">
        <is>
          <t>Коробка 2-х клапановая фланцевая Ду80</t>
        </is>
      </c>
      <c r="F270" s="15" t="inlineStr"/>
      <c r="G270" s="17" t="n"/>
      <c r="H270" s="15" t="n">
        <v>13</v>
      </c>
      <c r="I270" s="17" t="n"/>
      <c r="J270" s="18">
        <f>IF(I270="","",I270-H270)</f>
        <v/>
      </c>
      <c r="K270" s="19" t="n">
        <v>45</v>
      </c>
      <c r="L270" s="20">
        <f>K270*'Расходы на доставку'!$C$18</f>
        <v/>
      </c>
      <c r="M270" s="21" t="n"/>
      <c r="N270" s="20">
        <f>IF(M270="","",M270+L270)</f>
        <v/>
      </c>
      <c r="O270" s="22">
        <f>IFERROR(L270/N270,"")</f>
        <v/>
      </c>
      <c r="P270" s="21" t="n"/>
      <c r="Q270" s="22">
        <f>IFERROR(P270/N270-1,"")</f>
        <v/>
      </c>
      <c r="R270" s="17" t="n"/>
      <c r="S270" s="23" t="n"/>
    </row>
    <row r="271">
      <c r="A271" s="15" t="n">
        <v>267</v>
      </c>
      <c r="B271" s="15" t="inlineStr">
        <is>
          <t>Контейнер 2</t>
        </is>
      </c>
      <c r="C271" s="15" t="inlineStr">
        <is>
          <t>коробка клапанная</t>
        </is>
      </c>
      <c r="D271" s="15" t="inlineStr">
        <is>
          <t>Ду50</t>
        </is>
      </c>
      <c r="E271" s="16" t="inlineStr">
        <is>
          <t>Коробка 3-х клап.фланцевая запорная Ду50 Ру6</t>
        </is>
      </c>
      <c r="F271" s="15" t="inlineStr"/>
      <c r="G271" s="17" t="n"/>
      <c r="H271" s="15" t="n">
        <v>1</v>
      </c>
      <c r="I271" s="17" t="n"/>
      <c r="J271" s="18">
        <f>IF(I271="","",I271-H271)</f>
        <v/>
      </c>
      <c r="K271" s="19" t="n">
        <v>25</v>
      </c>
      <c r="L271" s="20">
        <f>K271*'Расходы на доставку'!$C$18</f>
        <v/>
      </c>
      <c r="M271" s="21" t="n"/>
      <c r="N271" s="20">
        <f>IF(M271="","",M271+L271)</f>
        <v/>
      </c>
      <c r="O271" s="22">
        <f>IFERROR(L271/N271,"")</f>
        <v/>
      </c>
      <c r="P271" s="21" t="n"/>
      <c r="Q271" s="22">
        <f>IFERROR(P271/N271-1,"")</f>
        <v/>
      </c>
      <c r="R271" s="17" t="n"/>
      <c r="S271" s="23" t="n"/>
    </row>
    <row r="272">
      <c r="A272" s="15" t="n">
        <v>268</v>
      </c>
      <c r="B272" s="15" t="inlineStr">
        <is>
          <t>Контейнер 2</t>
        </is>
      </c>
      <c r="C272" s="15" t="inlineStr">
        <is>
          <t>коробка клапанная</t>
        </is>
      </c>
      <c r="D272" s="15" t="inlineStr">
        <is>
          <t>Ду50</t>
        </is>
      </c>
      <c r="E272" s="16" t="inlineStr">
        <is>
          <t>Коробка 3-х клап.фланцевая запорная Ду50 Ру6</t>
        </is>
      </c>
      <c r="F272" s="15" t="inlineStr"/>
      <c r="G272" s="17" t="n"/>
      <c r="H272" s="15" t="n">
        <v>2</v>
      </c>
      <c r="I272" s="17" t="n"/>
      <c r="J272" s="18">
        <f>IF(I272="","",I272-H272)</f>
        <v/>
      </c>
      <c r="K272" s="19" t="n">
        <v>25</v>
      </c>
      <c r="L272" s="20">
        <f>K272*'Расходы на доставку'!$C$18</f>
        <v/>
      </c>
      <c r="M272" s="21" t="n"/>
      <c r="N272" s="20">
        <f>IF(M272="","",M272+L272)</f>
        <v/>
      </c>
      <c r="O272" s="22">
        <f>IFERROR(L272/N272,"")</f>
        <v/>
      </c>
      <c r="P272" s="21" t="n"/>
      <c r="Q272" s="22">
        <f>IFERROR(P272/N272-1,"")</f>
        <v/>
      </c>
      <c r="R272" s="17" t="n"/>
      <c r="S272" s="23" t="n"/>
    </row>
    <row r="273">
      <c r="A273" s="15" t="n">
        <v>269</v>
      </c>
      <c r="B273" s="15" t="inlineStr">
        <is>
          <t>Контейнер 2</t>
        </is>
      </c>
      <c r="C273" s="15" t="inlineStr">
        <is>
          <t>коробка клапанная</t>
        </is>
      </c>
      <c r="D273" s="15" t="inlineStr">
        <is>
          <t>Ду80</t>
        </is>
      </c>
      <c r="E273" s="16" t="inlineStr">
        <is>
          <t>Коробка 3-х клап.фланцевая невозврат.Ду80 Ру6</t>
        </is>
      </c>
      <c r="F273" s="15" t="inlineStr"/>
      <c r="G273" s="17" t="n"/>
      <c r="H273" s="15" t="n">
        <v>2</v>
      </c>
      <c r="I273" s="17" t="n"/>
      <c r="J273" s="18">
        <f>IF(I273="","",I273-H273)</f>
        <v/>
      </c>
      <c r="K273" s="19" t="n">
        <v>45</v>
      </c>
      <c r="L273" s="20">
        <f>K273*'Расходы на доставку'!$C$18</f>
        <v/>
      </c>
      <c r="M273" s="21" t="n"/>
      <c r="N273" s="20">
        <f>IF(M273="","",M273+L273)</f>
        <v/>
      </c>
      <c r="O273" s="22">
        <f>IFERROR(L273/N273,"")</f>
        <v/>
      </c>
      <c r="P273" s="21" t="n"/>
      <c r="Q273" s="22">
        <f>IFERROR(P273/N273-1,"")</f>
        <v/>
      </c>
      <c r="R273" s="17" t="n"/>
      <c r="S273" s="23" t="n"/>
    </row>
    <row r="274">
      <c r="A274" s="15" t="n">
        <v>270</v>
      </c>
      <c r="B274" s="15" t="inlineStr">
        <is>
          <t>Контейнер 2</t>
        </is>
      </c>
      <c r="C274" s="15" t="inlineStr">
        <is>
          <t>коробка клапанная</t>
        </is>
      </c>
      <c r="D274" s="15" t="inlineStr">
        <is>
          <t>Ду80</t>
        </is>
      </c>
      <c r="E274" s="16" t="inlineStr">
        <is>
          <t>Коробка 3-х клап.фланцевая Ду80</t>
        </is>
      </c>
      <c r="F274" s="15" t="inlineStr"/>
      <c r="G274" s="17" t="n"/>
      <c r="H274" s="15" t="n">
        <v>3</v>
      </c>
      <c r="I274" s="17" t="n"/>
      <c r="J274" s="18">
        <f>IF(I274="","",I274-H274)</f>
        <v/>
      </c>
      <c r="K274" s="19" t="n">
        <v>45</v>
      </c>
      <c r="L274" s="20">
        <f>K274*'Расходы на доставку'!$C$18</f>
        <v/>
      </c>
      <c r="M274" s="21" t="n"/>
      <c r="N274" s="20">
        <f>IF(M274="","",M274+L274)</f>
        <v/>
      </c>
      <c r="O274" s="22">
        <f>IFERROR(L274/N274,"")</f>
        <v/>
      </c>
      <c r="P274" s="21" t="n"/>
      <c r="Q274" s="22">
        <f>IFERROR(P274/N274-1,"")</f>
        <v/>
      </c>
      <c r="R274" s="17" t="n"/>
      <c r="S274" s="23" t="n"/>
    </row>
    <row r="275">
      <c r="E275" s="7" t="inlineStr">
        <is>
          <t>ИТОГО</t>
        </is>
      </c>
      <c r="H275" s="24">
        <f>SUM(H5:H274)</f>
        <v/>
      </c>
      <c r="I275" s="24">
        <f>SUM(I5:I274)</f>
        <v/>
      </c>
      <c r="J275" s="24">
        <f>SUM(J5:J274)</f>
        <v/>
      </c>
    </row>
  </sheetData>
  <autoFilter ref="A4:S274"/>
  <dataValidations count="1">
    <dataValidation sqref="G5:G274" showDropDown="0" showInputMessage="0" showErrorMessage="0" allowBlank="1" type="list">
      <formula1>"Новое,Б/у,Восстановленное"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4" customWidth="1" min="4" max="4"/>
    <col width="18" customWidth="1" min="5" max="5"/>
    <col width="16" customWidth="1" min="6" max="6"/>
    <col width="22" customWidth="1" min="7" max="7"/>
  </cols>
  <sheetData>
    <row r="1">
      <c r="A1" s="1" t="inlineStr">
        <is>
          <t>Что лежит на складе в Питере и сколько это стоит</t>
        </is>
      </c>
    </row>
    <row r="2">
      <c r="A2" s="2" t="inlineStr">
        <is>
          <t>Считается по листу цены. Пока приемка не заполнена, часть строк будет пустой.</t>
        </is>
      </c>
    </row>
    <row r="4">
      <c r="A4" s="9" t="inlineStr">
        <is>
          <t>По контейнерам</t>
        </is>
      </c>
    </row>
    <row r="5" ht="28" customHeight="1">
      <c r="A5" s="3" t="inlineStr">
        <is>
          <t>Контейнер</t>
        </is>
      </c>
      <c r="B5" s="3" t="inlineStr">
        <is>
          <t>Позиций</t>
        </is>
      </c>
      <c r="C5" s="3" t="inlineStr">
        <is>
          <t>Отправлено, шт</t>
        </is>
      </c>
      <c r="D5" s="3" t="inlineStr">
        <is>
          <t>Принято, шт</t>
        </is>
      </c>
      <c r="E5" s="3" t="inlineStr">
        <is>
          <t>Цена склада, руб</t>
        </is>
      </c>
      <c r="F5" s="3" t="inlineStr">
        <is>
          <t>Доставка, руб</t>
        </is>
      </c>
      <c r="G5" s="3" t="inlineStr">
        <is>
          <t>Себестоимость в Питере, руб</t>
        </is>
      </c>
    </row>
    <row r="6">
      <c r="A6" s="4" t="inlineStr">
        <is>
          <t>Контейнер 1</t>
        </is>
      </c>
      <c r="B6" s="4">
        <f>COUNTIF('Цена на складе в Питере'!$B$5:$B$274,"Контейнер 1")</f>
        <v/>
      </c>
      <c r="C6" s="4">
        <f>SUMIF('Цена на складе в Питере'!$B$5:$B$274,"Контейнер 1",'Цена на складе в Питере'!$H$5:$H$274)</f>
        <v/>
      </c>
      <c r="D6" s="4">
        <f>SUMIF('Цена на складе в Питере'!$B$5:$B$274,"Контейнер 1",'Цена на складе в Питере'!$I$5:$I$274)</f>
        <v/>
      </c>
      <c r="E6" s="11">
        <f>SUMPRODUCT(('Цена на складе в Питере'!$B$5:$B$274="Контейнер 1")*IFERROR('Цена на складе в Питере'!$H$5:$H$274*'Цена на складе в Питере'!$M$5:$M$274,0))</f>
        <v/>
      </c>
      <c r="F6" s="11">
        <f>SUMPRODUCT(('Цена на складе в Питере'!$B$5:$B$274="Контейнер 1")*IFERROR('Цена на складе в Питере'!$H$5:$H$274*'Цена на складе в Питере'!$L$5:$L$274,0))</f>
        <v/>
      </c>
      <c r="G6" s="11">
        <f>E6+F6</f>
        <v/>
      </c>
    </row>
    <row r="7">
      <c r="A7" s="4" t="inlineStr">
        <is>
          <t>Контейнер 2</t>
        </is>
      </c>
      <c r="B7" s="4">
        <f>COUNTIF('Цена на складе в Питере'!$B$5:$B$274,"Контейнер 2")</f>
        <v/>
      </c>
      <c r="C7" s="4">
        <f>SUMIF('Цена на складе в Питере'!$B$5:$B$274,"Контейнер 2",'Цена на складе в Питере'!$H$5:$H$274)</f>
        <v/>
      </c>
      <c r="D7" s="4">
        <f>SUMIF('Цена на складе в Питере'!$B$5:$B$274,"Контейнер 2",'Цена на складе в Питере'!$I$5:$I$274)</f>
        <v/>
      </c>
      <c r="E7" s="11">
        <f>SUMPRODUCT(('Цена на складе в Питере'!$B$5:$B$274="Контейнер 2")*IFERROR('Цена на складе в Питере'!$H$5:$H$274*'Цена на складе в Питере'!$M$5:$M$274,0))</f>
        <v/>
      </c>
      <c r="F7" s="11">
        <f>SUMPRODUCT(('Цена на складе в Питере'!$B$5:$B$274="Контейнер 2")*IFERROR('Цена на складе в Питере'!$H$5:$H$274*'Цена на складе в Питере'!$L$5:$L$274,0))</f>
        <v/>
      </c>
      <c r="G7" s="11">
        <f>E7+F7</f>
        <v/>
      </c>
    </row>
    <row r="8">
      <c r="A8" s="7" t="inlineStr">
        <is>
          <t>ИТОГО</t>
        </is>
      </c>
      <c r="B8" s="24">
        <f>SUM(B6:B7)</f>
        <v/>
      </c>
      <c r="C8" s="24">
        <f>SUM(C6:C7)</f>
        <v/>
      </c>
      <c r="D8" s="24">
        <f>SUM(D6:D7)</f>
        <v/>
      </c>
      <c r="E8" s="24">
        <f>SUM(E6:E7)</f>
        <v/>
      </c>
      <c r="F8" s="24">
        <f>SUM(F6:F7)</f>
        <v/>
      </c>
      <c r="G8" s="24">
        <f>SUM(G6:G7)</f>
        <v/>
      </c>
    </row>
    <row r="10">
      <c r="A10" s="9" t="inlineStr">
        <is>
          <t>Приемка</t>
        </is>
      </c>
    </row>
    <row r="11">
      <c r="A11" s="10" t="inlineStr">
        <is>
          <t>Строк принято</t>
        </is>
      </c>
      <c r="B11" s="24">
        <f>COUNT('Цена на складе в Питере'!$I$5:$I$274)</f>
        <v/>
      </c>
    </row>
    <row r="12">
      <c r="A12" s="10" t="inlineStr">
        <is>
          <t>Строк осталось принять</t>
        </is>
      </c>
      <c r="B12" s="24">
        <f>COUNTA('Цена на складе в Питере'!$E$5:$E$274)-COUNT('Цена на складе в Питере'!$I$5:$I$274)</f>
        <v/>
      </c>
    </row>
    <row r="13">
      <c r="A13" s="10" t="inlineStr">
        <is>
          <t>Расхождение всего, шт</t>
        </is>
      </c>
      <c r="B13" s="24">
        <f>SUM('Цена на складе в Питере'!$J$5:$J$274)</f>
        <v/>
      </c>
    </row>
    <row r="14">
      <c r="A14" s="10" t="inlineStr">
        <is>
          <t>Строк с расхождением</t>
        </is>
      </c>
      <c r="B14" s="24">
        <f>COUNTIF('Цена на складе в Питере'!$J$5:$J$274,"&lt;&gt;0")-COUNTBLANK('Цена на складе в Питере'!$J$5:$J$274)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84" customWidth="1" min="3" max="3"/>
  </cols>
  <sheetData>
    <row r="1">
      <c r="A1" s="1" t="inlineStr">
        <is>
          <t>Порядок работы</t>
        </is>
      </c>
    </row>
    <row r="3" ht="22" customHeight="1">
      <c r="A3" s="3" t="inlineStr">
        <is>
          <t>№</t>
        </is>
      </c>
      <c r="B3" s="3" t="inlineStr">
        <is>
          <t>Правило</t>
        </is>
      </c>
      <c r="C3" s="3" t="inlineStr">
        <is>
          <t>Почему так</t>
        </is>
      </c>
    </row>
    <row r="4" ht="52" customHeight="1">
      <c r="A4" s="15" t="n">
        <v>1</v>
      </c>
      <c r="B4" s="16" t="inlineStr">
        <is>
          <t>Сначала расходы, потом цены</t>
        </is>
      </c>
      <c r="C4" s="16" t="inlineStr">
        <is>
          <t>Пока на листе расходов нули, доставка на единицу будет нулевой, и себестоимость в Питере совпадет с ценой склада. Ставить цену продажи от такой цифры нельзя.</t>
        </is>
      </c>
    </row>
    <row r="5" ht="52" customHeight="1">
      <c r="A5" s="15" t="n">
        <v>2</v>
      </c>
      <c r="B5" s="16" t="inlineStr">
        <is>
          <t>Принимаем по местам, а не по памяти</t>
        </is>
      </c>
      <c r="C5" s="16" t="inlineStr">
        <is>
          <t>Номер места в этой таблице должен совпадать с биркой на ящике и строкой упаковочного листа. Расхождение фиксируем в день выгрузки, иначе повторим владивостокскую историю с недостоверными остатками.</t>
        </is>
      </c>
    </row>
    <row r="6" ht="52" customHeight="1">
      <c r="A6" s="15" t="n">
        <v>3</v>
      </c>
      <c r="B6" s="16" t="inlineStr">
        <is>
          <t>Состояние переносим из отгрузки</t>
        </is>
      </c>
      <c r="C6" s="16" t="inlineStr">
        <is>
          <t>Новое и б/у на питерском складе продаются по разной цене. Если состояние не проставили при погрузке, на приемке это уже спорно.</t>
        </is>
      </c>
    </row>
    <row r="7" ht="52" customHeight="1">
      <c r="A7" s="15" t="n">
        <v>4</v>
      </c>
      <c r="B7" s="16" t="inlineStr">
        <is>
          <t>Цена продажи считается от себестоимости в Питере</t>
        </is>
      </c>
      <c r="C7" s="16" t="inlineStr">
        <is>
          <t>Это цена склада плюс доставка. На тяжелой арматуре доставка заметна, на мелочи почти нет — поэтому наценку ставим по строке, а не одним процентом на весь склад.</t>
        </is>
      </c>
    </row>
    <row r="8" ht="52" customHeight="1">
      <c r="A8" s="15" t="n">
        <v>5</v>
      </c>
      <c r="B8" s="16" t="inlineStr">
        <is>
          <t>Хранение считаем отдельно</t>
        </is>
      </c>
      <c r="C8" s="16" t="inlineStr">
        <is>
          <t>Доставка — разовый расход, хранение идет каждый месяц. Если арматура лежит год-два, хранение способно перекрыть доставку. Ставку за квадратный метр или за паллетоместо надо знать до того, как контейнеры выехали.</t>
        </is>
      </c>
    </row>
    <row r="9" ht="52" customHeight="1">
      <c r="A9" s="15" t="n">
        <v>6</v>
      </c>
      <c r="B9" s="16" t="inlineStr">
        <is>
          <t>Позиции без цены не продаем вслепую</t>
        </is>
      </c>
      <c r="C9" s="16" t="inlineStr">
        <is>
          <t>В складских файлах часть позиций идет без цены. Пока цена не проставлена, себестоимость в Питере по ним не считается.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2026-09-30T00:06:08Z</dcterms:created>
  <dcterms:modified xsi:type="dcterms:W3CDTF">2026-09-30T00:06:08Z</dcterms:modified>
</cp:coreProperties>
</file>
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итановая арматур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3" fontId="4" fillId="3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0" fontId="5" fillId="0" borderId="0" pivotButton="0" quotePrefix="0" xfId="0"/>
    <xf numFmtId="0" fontId="5" fillId="0" borderId="1" pivotButton="0" quotePrefix="0" xfId="0"/>
    <xf numFmtId="3" fontId="5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20" customWidth="1" min="3" max="3"/>
    <col width="11" customWidth="1" min="4" max="4"/>
    <col width="11" customWidth="1" min="5" max="5"/>
    <col width="20" customWidth="1" min="6" max="6"/>
    <col width="16" customWidth="1" min="7" max="7"/>
    <col width="16" customWidth="1" min="8" max="8"/>
    <col width="13" customWidth="1" min="9" max="9"/>
    <col width="16" customWidth="1" min="10" max="10"/>
    <col width="34" customWidth="1" min="11" max="11"/>
  </cols>
  <sheetData>
    <row r="1">
      <c r="A1" s="1" t="inlineStr">
        <is>
          <t>Титановая арматура на складе</t>
        </is>
      </c>
    </row>
    <row r="2">
      <c r="A2" s="2" t="inlineStr">
        <is>
          <t>Желтые колонки заполняем сами. Цен по титану в учете нет ни на одну позицию.</t>
        </is>
      </c>
    </row>
    <row r="4" ht="30" customHeight="1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Чертеж</t>
        </is>
      </c>
      <c r="D4" s="3" t="inlineStr">
        <is>
          <t>Диаметр</t>
        </is>
      </c>
      <c r="E4" s="3" t="inlineStr">
        <is>
          <t>Числится</t>
        </is>
      </c>
      <c r="F4" s="3" t="inlineStr">
        <is>
          <t>Факт после пересчета</t>
        </is>
      </c>
      <c r="G4" s="3" t="inlineStr">
        <is>
          <t>Цена за ед., руб</t>
        </is>
      </c>
      <c r="H4" s="3" t="inlineStr">
        <is>
          <t>Сумма, руб</t>
        </is>
      </c>
      <c r="I4" s="3" t="inlineStr">
        <is>
          <t>Вес ед., кг</t>
        </is>
      </c>
      <c r="J4" s="3" t="inlineStr">
        <is>
          <t>Локация</t>
        </is>
      </c>
      <c r="K4" s="3" t="inlineStr">
        <is>
          <t>Комментарий</t>
        </is>
      </c>
    </row>
    <row r="5">
      <c r="A5" s="4" t="n">
        <v>1</v>
      </c>
      <c r="B5" s="5" t="inlineStr">
        <is>
          <t>Клапан фланцевый проходной титановые Ду50Ру10</t>
        </is>
      </c>
      <c r="C5" s="4" t="inlineStr">
        <is>
          <t>521-182.110</t>
        </is>
      </c>
      <c r="D5" s="4" t="inlineStr">
        <is>
          <t>Ду50</t>
        </is>
      </c>
      <c r="E5" s="4" t="n">
        <v>5</v>
      </c>
      <c r="F5" s="6" t="n"/>
      <c r="G5" s="7" t="n"/>
      <c r="H5" s="8">
        <f>IF(OR(F5="",G5=""),"",F5*G5)</f>
        <v/>
      </c>
      <c r="I5" s="6" t="n"/>
      <c r="J5" s="4" t="inlineStr">
        <is>
          <t>Склад 2</t>
        </is>
      </c>
      <c r="K5" s="6" t="inlineStr"/>
    </row>
    <row r="6">
      <c r="A6" s="4" t="n">
        <v>2</v>
      </c>
      <c r="B6" s="5" t="inlineStr">
        <is>
          <t>Клапан фланцевый проходной титановые Ду100Ру10</t>
        </is>
      </c>
      <c r="C6" s="4" t="inlineStr">
        <is>
          <t>521-182.116</t>
        </is>
      </c>
      <c r="D6" s="4" t="inlineStr">
        <is>
          <t>Ду100</t>
        </is>
      </c>
      <c r="E6" s="4" t="n">
        <v>1</v>
      </c>
      <c r="F6" s="6" t="n"/>
      <c r="G6" s="7" t="n"/>
      <c r="H6" s="8">
        <f>IF(OR(F6="",G6=""),"",F6*G6)</f>
        <v/>
      </c>
      <c r="I6" s="6" t="n"/>
      <c r="J6" s="4" t="inlineStr">
        <is>
          <t>Склад 2</t>
        </is>
      </c>
      <c r="K6" s="6" t="inlineStr"/>
    </row>
    <row r="7">
      <c r="B7" s="9" t="inlineStr">
        <is>
          <t>ИТОГО</t>
        </is>
      </c>
      <c r="E7" s="10">
        <f>SUM(E5:E6)</f>
        <v/>
      </c>
      <c r="F7" s="10">
        <f>SUM(F5:F6)</f>
        <v/>
      </c>
      <c r="H7" s="11">
        <f>SUM(H5:H6)</f>
        <v/>
      </c>
    </row>
    <row r="8">
      <c r="B8" s="12" t="inlineStr">
        <is>
          <t>Общий вес, кг</t>
        </is>
      </c>
      <c r="E8" s="9">
        <f>SUMPRODUCT(F5:F6,I5:I6)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2026-09-27T22:34:37Z</dcterms:created>
  <dcterms:modified xsi:type="dcterms:W3CDTF">2026-09-27T22:34:37Z</dcterms:modified>
</cp:coreProperties>
</file>
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группам" sheetId="1" state="visible" r:id="rId1"/>
    <sheet name="Сводка по группам" sheetId="2" state="visible" r:id="rId2"/>
    <sheet name="Ценные группы" sheetId="3" state="visible" r:id="rId3"/>
    <sheet name="Без чертежа" sheetId="4" state="visible" r:id="rId4"/>
    <sheet name="Расхождения и вопросы" sheetId="5" state="visible" r:id="rId5"/>
  </sheets>
  <definedNames>
    <definedName name="_xlnm._FilterDatabase" localSheetId="0" hidden="1">'По группам'!$A$4:$Q$144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00"/>
      </patternFill>
    </fill>
    <fill>
      <patternFill patternType="solid">
        <fgColor rgb="00E2E2E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3" fontId="5" fillId="5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7" borderId="1" applyAlignment="1" pivotButton="0" quotePrefix="0" xfId="0">
      <alignment vertical="top"/>
    </xf>
    <xf numFmtId="0" fontId="5" fillId="7" borderId="1" applyAlignment="1" pivotButton="0" quotePrefix="0" xfId="0">
      <alignment vertical="top" wrapText="1"/>
    </xf>
    <xf numFmtId="164" fontId="5" fillId="7" borderId="1" applyAlignment="1" pivotButton="0" quotePrefix="0" xfId="0">
      <alignment vertical="top"/>
    </xf>
    <xf numFmtId="3" fontId="5" fillId="7" borderId="1" applyAlignment="1" pivotButton="0" quotePrefix="0" xfId="0">
      <alignment vertical="top"/>
    </xf>
    <xf numFmtId="0" fontId="6" fillId="0" borderId="0" pivotButton="0" quotePrefix="0" xfId="0"/>
    <xf numFmtId="3" fontId="6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3" fontId="5" fillId="5" borderId="1" pivotButton="0" quotePrefix="0" xfId="0"/>
    <xf numFmtId="165" fontId="5" fillId="0" borderId="1" pivotButton="0" quotePrefix="0" xfId="0"/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8" customWidth="1" min="4" max="4"/>
    <col width="54" customWidth="1" min="5" max="5"/>
    <col width="24" customWidth="1" min="6" max="6"/>
    <col width="11" customWidth="1" min="7" max="7"/>
    <col width="26" customWidth="1" min="8" max="8"/>
    <col width="11" customWidth="1" min="9" max="9"/>
    <col width="13" customWidth="1" min="10" max="10"/>
    <col width="11" customWidth="1" min="11" max="11"/>
    <col width="11" customWidth="1" min="12" max="12"/>
    <col width="12" customWidth="1" min="13" max="13"/>
    <col width="16" customWidth="1" min="14" max="14"/>
    <col width="18" customWidth="1" min="15" max="15"/>
    <col width="24" customWidth="1" min="16" max="16"/>
    <col width="10" customWidth="1" min="17" max="17"/>
  </cols>
  <sheetData>
    <row r="1">
      <c r="A1" s="1" t="inlineStr">
        <is>
          <t>Остатки по питерскому списку на 30.09.2026</t>
        </is>
      </c>
    </row>
    <row r="2">
      <c r="A2" s="2" t="inlineStr">
        <is>
          <t>Приложения 2 и 3 сведены вместе. Внутри группы — от меньшего диаметра к большему. Чертеж стоит напротив каждой позиции; где его нет, ячейка желтая — впишите руками. Оранжевым помечены титан, высокое давление, котельная арматура, педальные и электромагнитные.</t>
        </is>
      </c>
    </row>
    <row r="4" ht="40" customHeight="1">
      <c r="A4" s="3" t="inlineStr">
        <is>
          <t>№</t>
        </is>
      </c>
      <c r="B4" s="3" t="inlineStr">
        <is>
          <t>Группа</t>
        </is>
      </c>
      <c r="C4" s="3" t="inlineStr">
        <is>
          <t>Ду</t>
        </is>
      </c>
      <c r="D4" s="3" t="inlineStr">
        <is>
          <t>Ру</t>
        </is>
      </c>
      <c r="E4" s="3" t="inlineStr">
        <is>
          <t>Наименование</t>
        </is>
      </c>
      <c r="F4" s="3" t="inlineStr">
        <is>
          <t>Чертеж</t>
        </is>
      </c>
      <c r="G4" s="3" t="inlineStr">
        <is>
          <t>Состояние</t>
        </is>
      </c>
      <c r="H4" s="3" t="inlineStr">
        <is>
          <t>Выделено</t>
        </is>
      </c>
      <c r="I4" s="3" t="inlineStr">
        <is>
          <t>Вес 1 шт, кг</t>
        </is>
      </c>
      <c r="J4" s="3" t="inlineStr">
        <is>
          <t>Кол-во по приложению</t>
        </is>
      </c>
      <c r="K4" s="3" t="inlineStr">
        <is>
          <t>Кол-во факт</t>
        </is>
      </c>
      <c r="L4" s="3" t="inlineStr">
        <is>
          <t>Расхождение</t>
        </is>
      </c>
      <c r="M4" s="3" t="inlineStr">
        <is>
          <t>Общий вес, кг</t>
        </is>
      </c>
      <c r="N4" s="3" t="inlineStr">
        <is>
          <t>Цена по договору</t>
        </is>
      </c>
      <c r="O4" s="3" t="inlineStr">
        <is>
          <t>Ориентир реализации</t>
        </is>
      </c>
      <c r="P4" s="3" t="inlineStr">
        <is>
          <t>Примечание</t>
        </is>
      </c>
      <c r="Q4" s="3" t="inlineStr">
        <is>
          <t>Лист</t>
        </is>
      </c>
    </row>
    <row r="5">
      <c r="A5" s="4" t="inlineStr">
        <is>
          <t>Штуцерная угловая — 16 позиций, 76 шт, 202 кг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5" t="n">
        <v>1</v>
      </c>
      <c r="B6" s="5" t="inlineStr">
        <is>
          <t>Штуцерная угловая</t>
        </is>
      </c>
      <c r="C6" s="5" t="n">
        <v>6</v>
      </c>
      <c r="D6" s="5" t="n"/>
      <c r="E6" s="6" t="inlineStr">
        <is>
          <t>Клапан предохранительный штуцерный угловой Ду6,5-9</t>
        </is>
      </c>
      <c r="F6" s="5" t="inlineStr">
        <is>
          <t>524-03.004</t>
        </is>
      </c>
      <c r="G6" s="5" t="inlineStr">
        <is>
          <t>новый</t>
        </is>
      </c>
      <c r="H6" s="6" t="inlineStr"/>
      <c r="I6" s="7" t="n">
        <v>1.52</v>
      </c>
      <c r="J6" s="8" t="n">
        <v>1</v>
      </c>
      <c r="K6" s="8" t="n">
        <v>1</v>
      </c>
      <c r="L6" s="8" t="n">
        <v>0</v>
      </c>
      <c r="M6" s="7" t="n">
        <v>1.52</v>
      </c>
      <c r="N6" s="5" t="inlineStr">
        <is>
          <t>по согласованию</t>
        </is>
      </c>
      <c r="O6" s="5" t="inlineStr"/>
      <c r="P6" s="6" t="inlineStr"/>
      <c r="Q6" s="5" t="inlineStr">
        <is>
          <t>Прил. 3</t>
        </is>
      </c>
    </row>
    <row r="7">
      <c r="A7" s="5" t="n">
        <v>2</v>
      </c>
      <c r="B7" s="5" t="inlineStr">
        <is>
          <t>Штуцерная угловая</t>
        </is>
      </c>
      <c r="C7" s="5" t="n">
        <v>10</v>
      </c>
      <c r="D7" s="5" t="n">
        <v>160</v>
      </c>
      <c r="E7" s="6" t="inlineStr">
        <is>
          <t>Клапан штуцерный угловой Ду10 Р160</t>
        </is>
      </c>
      <c r="F7" s="5" t="inlineStr">
        <is>
          <t>522-03.149</t>
        </is>
      </c>
      <c r="G7" s="5" t="inlineStr">
        <is>
          <t>новый</t>
        </is>
      </c>
      <c r="H7" s="9" t="inlineStr">
        <is>
          <t>воздух высокого давления Ру160</t>
        </is>
      </c>
      <c r="I7" s="7" t="n">
        <v>0.7</v>
      </c>
      <c r="J7" s="8" t="n">
        <v>6</v>
      </c>
      <c r="K7" s="8" t="n">
        <v>6</v>
      </c>
      <c r="L7" s="8" t="n">
        <v>0</v>
      </c>
      <c r="M7" s="7" t="n">
        <v>4.2</v>
      </c>
      <c r="N7" s="5" t="inlineStr">
        <is>
          <t>3000</t>
        </is>
      </c>
      <c r="O7" s="5" t="inlineStr">
        <is>
          <t>15000</t>
        </is>
      </c>
      <c r="P7" s="6" t="inlineStr"/>
      <c r="Q7" s="5" t="inlineStr">
        <is>
          <t>Прил. 2</t>
        </is>
      </c>
    </row>
    <row r="8">
      <c r="A8" s="5" t="n">
        <v>3</v>
      </c>
      <c r="B8" s="5" t="inlineStr">
        <is>
          <t>Штуцерная угловая</t>
        </is>
      </c>
      <c r="C8" s="5" t="n">
        <v>15</v>
      </c>
      <c r="D8" s="5" t="n"/>
      <c r="E8" s="6" t="inlineStr">
        <is>
          <t>Клапан штуцерный угловой Ду 15</t>
        </is>
      </c>
      <c r="F8" s="5" t="inlineStr">
        <is>
          <t>521--01.468-08</t>
        </is>
      </c>
      <c r="G8" s="5" t="inlineStr">
        <is>
          <t>новый</t>
        </is>
      </c>
      <c r="H8" s="6" t="inlineStr"/>
      <c r="I8" s="7" t="n">
        <v>1.3</v>
      </c>
      <c r="J8" s="8" t="n">
        <v>1</v>
      </c>
      <c r="K8" s="8" t="n">
        <v>1</v>
      </c>
      <c r="L8" s="8" t="n">
        <v>0</v>
      </c>
      <c r="M8" s="7" t="n">
        <v>1.3</v>
      </c>
      <c r="N8" s="5" t="inlineStr">
        <is>
          <t>5000</t>
        </is>
      </c>
      <c r="O8" s="5" t="inlineStr">
        <is>
          <t>20000</t>
        </is>
      </c>
      <c r="P8" s="6" t="inlineStr"/>
      <c r="Q8" s="5" t="inlineStr">
        <is>
          <t>Прил. 2</t>
        </is>
      </c>
    </row>
    <row r="9">
      <c r="A9" s="5" t="n">
        <v>4</v>
      </c>
      <c r="B9" s="5" t="inlineStr">
        <is>
          <t>Штуцерная угловая</t>
        </is>
      </c>
      <c r="C9" s="5" t="n">
        <v>15</v>
      </c>
      <c r="D9" s="5" t="n"/>
      <c r="E9" s="6" t="inlineStr">
        <is>
          <t>Клапан штуцерный угловой Ду 15 НЕРЖ</t>
        </is>
      </c>
      <c r="F9" s="5" t="inlineStr">
        <is>
          <t>521-03.478-01</t>
        </is>
      </c>
      <c r="G9" s="5" t="inlineStr">
        <is>
          <t>б/у</t>
        </is>
      </c>
      <c r="H9" s="6" t="inlineStr"/>
      <c r="I9" s="7" t="n">
        <v>0.9</v>
      </c>
      <c r="J9" s="8" t="n">
        <v>1</v>
      </c>
      <c r="K9" s="8" t="n">
        <v>1</v>
      </c>
      <c r="L9" s="8" t="n">
        <v>0</v>
      </c>
      <c r="M9" s="7" t="n">
        <v>0.9</v>
      </c>
      <c r="N9" s="5" t="inlineStr">
        <is>
          <t>6500</t>
        </is>
      </c>
      <c r="O9" s="5" t="inlineStr">
        <is>
          <t>24000</t>
        </is>
      </c>
      <c r="P9" s="6" t="inlineStr"/>
      <c r="Q9" s="5" t="inlineStr">
        <is>
          <t>Прил. 2</t>
        </is>
      </c>
    </row>
    <row r="10">
      <c r="A10" s="5" t="n">
        <v>5</v>
      </c>
      <c r="B10" s="5" t="inlineStr">
        <is>
          <t>Штуцерная угловая</t>
        </is>
      </c>
      <c r="C10" s="5" t="n">
        <v>15</v>
      </c>
      <c r="D10" s="5" t="n">
        <v>160</v>
      </c>
      <c r="E10" s="6" t="inlineStr">
        <is>
          <t>Клапан штуцерный угловой Ду15 Ру160</t>
        </is>
      </c>
      <c r="F10" s="5" t="inlineStr">
        <is>
          <t>521-03.387</t>
        </is>
      </c>
      <c r="G10" s="5" t="inlineStr">
        <is>
          <t>новый</t>
        </is>
      </c>
      <c r="H10" s="9" t="inlineStr">
        <is>
          <t>воздух высокого давления Ру160</t>
        </is>
      </c>
      <c r="I10" s="7" t="n">
        <v>4.3</v>
      </c>
      <c r="J10" s="8" t="n">
        <v>4</v>
      </c>
      <c r="K10" s="8" t="n">
        <v>4</v>
      </c>
      <c r="L10" s="8" t="n">
        <v>0</v>
      </c>
      <c r="M10" s="7" t="n">
        <v>17.2</v>
      </c>
      <c r="N10" s="5" t="inlineStr">
        <is>
          <t>по согласованию</t>
        </is>
      </c>
      <c r="O10" s="5" t="inlineStr"/>
      <c r="P10" s="6" t="inlineStr"/>
      <c r="Q10" s="5" t="inlineStr">
        <is>
          <t>Прил. 3</t>
        </is>
      </c>
    </row>
    <row r="11">
      <c r="A11" s="5" t="n">
        <v>6</v>
      </c>
      <c r="B11" s="5" t="inlineStr">
        <is>
          <t>Штуцерная угловая</t>
        </is>
      </c>
      <c r="C11" s="5" t="n">
        <v>20</v>
      </c>
      <c r="D11" s="5" t="n">
        <v>6</v>
      </c>
      <c r="E11" s="6" t="inlineStr">
        <is>
          <t>Клапан невозв-запор.цапковый угловой  под дюрит Ду20Ру6</t>
        </is>
      </c>
      <c r="F11" s="5" t="inlineStr">
        <is>
          <t>522-03.123</t>
        </is>
      </c>
      <c r="G11" s="5" t="inlineStr">
        <is>
          <t>новый</t>
        </is>
      </c>
      <c r="H11" s="6" t="inlineStr"/>
      <c r="I11" s="7" t="n">
        <v>1.8</v>
      </c>
      <c r="J11" s="8" t="n">
        <v>2</v>
      </c>
      <c r="K11" s="8" t="n">
        <v>2</v>
      </c>
      <c r="L11" s="8" t="n">
        <v>0</v>
      </c>
      <c r="M11" s="7" t="n">
        <v>3.6</v>
      </c>
      <c r="N11" s="5" t="inlineStr">
        <is>
          <t>10000</t>
        </is>
      </c>
      <c r="O11" s="5" t="inlineStr">
        <is>
          <t>25000</t>
        </is>
      </c>
      <c r="P11" s="6" t="inlineStr"/>
      <c r="Q11" s="5" t="inlineStr">
        <is>
          <t>Прил. 2</t>
        </is>
      </c>
    </row>
    <row r="12">
      <c r="A12" s="5" t="n">
        <v>7</v>
      </c>
      <c r="B12" s="5" t="inlineStr">
        <is>
          <t>Штуцерная угловая</t>
        </is>
      </c>
      <c r="C12" s="5" t="n">
        <v>20</v>
      </c>
      <c r="D12" s="5" t="n">
        <v>100</v>
      </c>
      <c r="E12" s="6" t="inlineStr">
        <is>
          <t>Клапан штуцерный угловой Ду20 Ру100</t>
        </is>
      </c>
      <c r="F12" s="5" t="inlineStr">
        <is>
          <t>521-01.468-05</t>
        </is>
      </c>
      <c r="G12" s="5" t="inlineStr">
        <is>
          <t>б/у</t>
        </is>
      </c>
      <c r="H12" s="9" t="inlineStr">
        <is>
          <t>высокое давление Ру100</t>
        </is>
      </c>
      <c r="I12" s="7" t="n">
        <v>1.9</v>
      </c>
      <c r="J12" s="8" t="n">
        <v>5</v>
      </c>
      <c r="K12" s="8" t="n">
        <v>0</v>
      </c>
      <c r="L12" s="10" t="n">
        <v>-5</v>
      </c>
      <c r="M12" s="7" t="n">
        <v>0</v>
      </c>
      <c r="N12" s="5" t="inlineStr">
        <is>
          <t>4000</t>
        </is>
      </c>
      <c r="O12" s="5" t="inlineStr">
        <is>
          <t>18000</t>
        </is>
      </c>
      <c r="P12" s="6" t="inlineStr"/>
      <c r="Q12" s="5" t="inlineStr">
        <is>
          <t>Прил. 2</t>
        </is>
      </c>
    </row>
    <row r="13">
      <c r="A13" s="5" t="n">
        <v>8</v>
      </c>
      <c r="B13" s="5" t="inlineStr">
        <is>
          <t>Штуцерная угловая</t>
        </is>
      </c>
      <c r="C13" s="5" t="n">
        <v>20</v>
      </c>
      <c r="D13" s="5" t="n">
        <v>160</v>
      </c>
      <c r="E13" s="6" t="inlineStr">
        <is>
          <t>Клапан штуцерный угловой Ду20 Ру160</t>
        </is>
      </c>
      <c r="F13" s="5" t="inlineStr">
        <is>
          <t>521-03.479</t>
        </is>
      </c>
      <c r="G13" s="5" t="inlineStr">
        <is>
          <t>новый</t>
        </is>
      </c>
      <c r="H13" s="9" t="inlineStr">
        <is>
          <t>воздух высокого давления Ру160</t>
        </is>
      </c>
      <c r="I13" s="7" t="n">
        <v>1.8</v>
      </c>
      <c r="J13" s="8" t="n">
        <v>1</v>
      </c>
      <c r="K13" s="8" t="n">
        <v>1</v>
      </c>
      <c r="L13" s="8" t="n">
        <v>0</v>
      </c>
      <c r="M13" s="7" t="n">
        <v>1.8</v>
      </c>
      <c r="N13" s="5" t="inlineStr">
        <is>
          <t>4500</t>
        </is>
      </c>
      <c r="O13" s="5" t="inlineStr">
        <is>
          <t>22000</t>
        </is>
      </c>
      <c r="P13" s="6" t="inlineStr"/>
      <c r="Q13" s="5" t="inlineStr">
        <is>
          <t>Прил. 2</t>
        </is>
      </c>
    </row>
    <row r="14">
      <c r="A14" s="5" t="n">
        <v>9</v>
      </c>
      <c r="B14" s="5" t="inlineStr">
        <is>
          <t>Штуцерная угловая</t>
        </is>
      </c>
      <c r="C14" s="5" t="n">
        <v>25</v>
      </c>
      <c r="D14" s="5" t="n">
        <v>100</v>
      </c>
      <c r="E14" s="6" t="inlineStr">
        <is>
          <t>Клапан штуцерный угловой Ду25 Ру 100</t>
        </is>
      </c>
      <c r="F14" s="5" t="inlineStr">
        <is>
          <t>521--35.3363</t>
        </is>
      </c>
      <c r="G14" s="5" t="inlineStr">
        <is>
          <t>новый</t>
        </is>
      </c>
      <c r="H14" s="9" t="inlineStr">
        <is>
          <t>высокое давление Ру100</t>
        </is>
      </c>
      <c r="I14" s="7" t="n">
        <v>2.9</v>
      </c>
      <c r="J14" s="8" t="n">
        <v>1</v>
      </c>
      <c r="K14" s="8" t="n">
        <v>1</v>
      </c>
      <c r="L14" s="8" t="n">
        <v>0</v>
      </c>
      <c r="M14" s="7" t="n">
        <v>2.9</v>
      </c>
      <c r="N14" s="5" t="inlineStr">
        <is>
          <t>5000</t>
        </is>
      </c>
      <c r="O14" s="5" t="inlineStr">
        <is>
          <t>20000</t>
        </is>
      </c>
      <c r="P14" s="6" t="inlineStr"/>
      <c r="Q14" s="5" t="inlineStr">
        <is>
          <t>Прил. 2</t>
        </is>
      </c>
    </row>
    <row r="15">
      <c r="A15" s="5" t="n">
        <v>10</v>
      </c>
      <c r="B15" s="5" t="inlineStr">
        <is>
          <t>Штуцерная угловая</t>
        </is>
      </c>
      <c r="C15" s="5" t="n">
        <v>32</v>
      </c>
      <c r="D15" s="5" t="n">
        <v>100</v>
      </c>
      <c r="E15" s="6" t="inlineStr">
        <is>
          <t>Клапан штуцерный угловой Ду32Ру100</t>
        </is>
      </c>
      <c r="F15" s="5" t="inlineStr">
        <is>
          <t>521-01.468-07</t>
        </is>
      </c>
      <c r="G15" s="5" t="inlineStr">
        <is>
          <t>новый</t>
        </is>
      </c>
      <c r="H15" s="9" t="inlineStr">
        <is>
          <t>высокое давление Ру100</t>
        </is>
      </c>
      <c r="I15" s="7" t="n">
        <v>3.3</v>
      </c>
      <c r="J15" s="8" t="n">
        <v>31</v>
      </c>
      <c r="K15" s="8" t="n">
        <v>31</v>
      </c>
      <c r="L15" s="8" t="n">
        <v>0</v>
      </c>
      <c r="M15" s="7" t="n">
        <v>102.3</v>
      </c>
      <c r="N15" s="5" t="inlineStr">
        <is>
          <t>6500</t>
        </is>
      </c>
      <c r="O15" s="5" t="inlineStr">
        <is>
          <t>22000</t>
        </is>
      </c>
      <c r="P15" s="6" t="inlineStr"/>
      <c r="Q15" s="5" t="inlineStr">
        <is>
          <t>Прил. 2</t>
        </is>
      </c>
    </row>
    <row r="16">
      <c r="A16" s="5" t="n">
        <v>11</v>
      </c>
      <c r="B16" s="5" t="inlineStr">
        <is>
          <t>Штуцерная угловая</t>
        </is>
      </c>
      <c r="C16" s="5" t="n">
        <v>32</v>
      </c>
      <c r="D16" s="5" t="n">
        <v>100</v>
      </c>
      <c r="E16" s="6" t="inlineStr">
        <is>
          <t>Клапан штуцерный угловой Ду32Ру100</t>
        </is>
      </c>
      <c r="F16" s="5" t="inlineStr">
        <is>
          <t>521-01.464-07</t>
        </is>
      </c>
      <c r="G16" s="5" t="inlineStr">
        <is>
          <t>новый</t>
        </is>
      </c>
      <c r="H16" s="9" t="inlineStr">
        <is>
          <t>высокое давление Ру100</t>
        </is>
      </c>
      <c r="I16" s="7" t="n">
        <v>3.3</v>
      </c>
      <c r="J16" s="8" t="n">
        <v>14</v>
      </c>
      <c r="K16" s="8" t="n">
        <v>14</v>
      </c>
      <c r="L16" s="8" t="n">
        <v>0</v>
      </c>
      <c r="M16" s="7" t="n">
        <v>46.2</v>
      </c>
      <c r="N16" s="5" t="inlineStr">
        <is>
          <t>6500</t>
        </is>
      </c>
      <c r="O16" s="5" t="inlineStr">
        <is>
          <t>22000</t>
        </is>
      </c>
      <c r="P16" s="6" t="inlineStr"/>
      <c r="Q16" s="5" t="inlineStr">
        <is>
          <t>Прил. 2</t>
        </is>
      </c>
    </row>
    <row r="17">
      <c r="A17" s="5" t="n">
        <v>12</v>
      </c>
      <c r="B17" s="5" t="inlineStr">
        <is>
          <t>Штуцерная угловая</t>
        </is>
      </c>
      <c r="C17" s="5" t="n">
        <v>32</v>
      </c>
      <c r="D17" s="5" t="n">
        <v>100</v>
      </c>
      <c r="E17" s="6" t="inlineStr">
        <is>
          <t>Клапан штуцерный угловой Ду32Ру100</t>
        </is>
      </c>
      <c r="F17" s="5" t="inlineStr">
        <is>
          <t>521-01.464-06</t>
        </is>
      </c>
      <c r="G17" s="5" t="inlineStr">
        <is>
          <t>новый</t>
        </is>
      </c>
      <c r="H17" s="9" t="inlineStr">
        <is>
          <t>высокое давление Ру100</t>
        </is>
      </c>
      <c r="I17" s="7" t="n">
        <v>3.3</v>
      </c>
      <c r="J17" s="8" t="n">
        <v>1</v>
      </c>
      <c r="K17" s="8" t="n">
        <v>1</v>
      </c>
      <c r="L17" s="8" t="n">
        <v>0</v>
      </c>
      <c r="M17" s="7" t="n">
        <v>3.3</v>
      </c>
      <c r="N17" s="5" t="inlineStr">
        <is>
          <t>6500</t>
        </is>
      </c>
      <c r="O17" s="5" t="inlineStr">
        <is>
          <t>22000</t>
        </is>
      </c>
      <c r="P17" s="6" t="inlineStr"/>
      <c r="Q17" s="5" t="inlineStr">
        <is>
          <t>Прил. 2</t>
        </is>
      </c>
    </row>
    <row r="18">
      <c r="A18" s="5" t="n">
        <v>13</v>
      </c>
      <c r="B18" s="5" t="inlineStr">
        <is>
          <t>Штуцерная угловая</t>
        </is>
      </c>
      <c r="C18" s="5" t="n">
        <v>32</v>
      </c>
      <c r="D18" s="5" t="n">
        <v>100</v>
      </c>
      <c r="E18" s="6" t="inlineStr">
        <is>
          <t>Клапан штуцерный угловой Ду32Ру100</t>
        </is>
      </c>
      <c r="F18" s="5" t="inlineStr">
        <is>
          <t>522-01.500-07</t>
        </is>
      </c>
      <c r="G18" s="5" t="inlineStr">
        <is>
          <t>новый</t>
        </is>
      </c>
      <c r="H18" s="9" t="inlineStr">
        <is>
          <t>высокое давление Ру100</t>
        </is>
      </c>
      <c r="I18" s="7" t="n">
        <v>3.3</v>
      </c>
      <c r="J18" s="8" t="n">
        <v>1</v>
      </c>
      <c r="K18" s="8" t="n">
        <v>1</v>
      </c>
      <c r="L18" s="8" t="n">
        <v>0</v>
      </c>
      <c r="M18" s="7" t="n">
        <v>3.3</v>
      </c>
      <c r="N18" s="5" t="inlineStr">
        <is>
          <t>6500</t>
        </is>
      </c>
      <c r="O18" s="5" t="inlineStr">
        <is>
          <t>22000</t>
        </is>
      </c>
      <c r="P18" s="6" t="inlineStr"/>
      <c r="Q18" s="5" t="inlineStr">
        <is>
          <t>Прил. 2</t>
        </is>
      </c>
    </row>
    <row r="19">
      <c r="A19" s="5" t="n">
        <v>14</v>
      </c>
      <c r="B19" s="5" t="inlineStr">
        <is>
          <t>Штуцерная угловая</t>
        </is>
      </c>
      <c r="C19" s="5" t="n">
        <v>50</v>
      </c>
      <c r="D19" s="5" t="n">
        <v>4</v>
      </c>
      <c r="E19" s="6" t="inlineStr">
        <is>
          <t>Клапан угловой с присоединением под дюрит Ду50Ру4</t>
        </is>
      </c>
      <c r="F19" s="5" t="inlineStr">
        <is>
          <t>521-03.445-04</t>
        </is>
      </c>
      <c r="G19" s="5" t="inlineStr">
        <is>
          <t>новый</t>
        </is>
      </c>
      <c r="H19" s="6" t="inlineStr"/>
      <c r="I19" s="7" t="n">
        <v>1.3</v>
      </c>
      <c r="J19" s="8" t="n">
        <v>4</v>
      </c>
      <c r="K19" s="8" t="n">
        <v>4</v>
      </c>
      <c r="L19" s="8" t="n">
        <v>0</v>
      </c>
      <c r="M19" s="7" t="n">
        <v>5.2</v>
      </c>
      <c r="N19" s="5" t="inlineStr">
        <is>
          <t>15000</t>
        </is>
      </c>
      <c r="O19" s="5" t="inlineStr">
        <is>
          <t>40000</t>
        </is>
      </c>
      <c r="P19" s="6" t="inlineStr"/>
      <c r="Q19" s="5" t="inlineStr">
        <is>
          <t>Прил. 2</t>
        </is>
      </c>
    </row>
    <row r="20">
      <c r="A20" s="5" t="n">
        <v>15</v>
      </c>
      <c r="B20" s="5" t="inlineStr">
        <is>
          <t>Штуцерная угловая</t>
        </is>
      </c>
      <c r="C20" s="5" t="n"/>
      <c r="D20" s="5" t="n"/>
      <c r="E20" s="6" t="inlineStr">
        <is>
          <t>Клапан дроссельный угловой штуцерный 10/63</t>
        </is>
      </c>
      <c r="F20" s="5" t="inlineStr">
        <is>
          <t>525-35.577</t>
        </is>
      </c>
      <c r="G20" s="5" t="inlineStr"/>
      <c r="H20" s="6" t="inlineStr"/>
      <c r="I20" s="7" t="n">
        <v>1.53</v>
      </c>
      <c r="J20" s="8" t="n">
        <v>1</v>
      </c>
      <c r="K20" s="8" t="n"/>
      <c r="L20" s="8" t="n"/>
      <c r="M20" s="7" t="n">
        <v>0</v>
      </c>
      <c r="N20" s="5" t="inlineStr">
        <is>
          <t>по согласованию</t>
        </is>
      </c>
      <c r="O20" s="5" t="inlineStr"/>
      <c r="P20" s="6" t="inlineStr"/>
      <c r="Q20" s="5" t="inlineStr">
        <is>
          <t>Прил. 3</t>
        </is>
      </c>
    </row>
    <row r="21">
      <c r="A21" s="5" t="n">
        <v>16</v>
      </c>
      <c r="B21" s="5" t="inlineStr">
        <is>
          <t>Штуцерная угловая</t>
        </is>
      </c>
      <c r="C21" s="5" t="n"/>
      <c r="D21" s="5" t="n">
        <v>150</v>
      </c>
      <c r="E21" s="6" t="inlineStr">
        <is>
          <t>Клапан штуцерный угловой Рр150/10</t>
        </is>
      </c>
      <c r="F21" s="5" t="inlineStr">
        <is>
          <t>521-ц22п</t>
        </is>
      </c>
      <c r="G21" s="5" t="inlineStr">
        <is>
          <t>новый</t>
        </is>
      </c>
      <c r="H21" s="9" t="inlineStr">
        <is>
          <t>высокое давление Ру150</t>
        </is>
      </c>
      <c r="I21" s="7" t="n">
        <v>1</v>
      </c>
      <c r="J21" s="8" t="n">
        <v>8</v>
      </c>
      <c r="K21" s="8" t="n">
        <v>8</v>
      </c>
      <c r="L21" s="8" t="n">
        <v>0</v>
      </c>
      <c r="M21" s="7" t="n">
        <v>8</v>
      </c>
      <c r="N21" s="5" t="inlineStr">
        <is>
          <t>3000</t>
        </is>
      </c>
      <c r="O21" s="5" t="inlineStr">
        <is>
          <t>12000</t>
        </is>
      </c>
      <c r="P21" s="6" t="inlineStr"/>
      <c r="Q21" s="5" t="inlineStr">
        <is>
          <t>Прил. 2</t>
        </is>
      </c>
    </row>
    <row r="22">
      <c r="A22" s="4" t="inlineStr">
        <is>
          <t>Штуцерная проходная — 10 позиций, 812 шт, 997 кг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5" t="n">
        <v>17</v>
      </c>
      <c r="B23" s="5" t="inlineStr">
        <is>
          <t>Штуцерная проходная</t>
        </is>
      </c>
      <c r="C23" s="5" t="n">
        <v>10</v>
      </c>
      <c r="D23" s="5" t="n">
        <v>16</v>
      </c>
      <c r="E23" s="6" t="inlineStr">
        <is>
          <t>Клапан запорный штуцерный проходной Ду10 Ру16</t>
        </is>
      </c>
      <c r="F23" s="5" t="inlineStr">
        <is>
          <t>521-35.2754</t>
        </is>
      </c>
      <c r="G23" s="5" t="inlineStr">
        <is>
          <t>б/у</t>
        </is>
      </c>
      <c r="H23" s="6" t="inlineStr"/>
      <c r="I23" s="7" t="n">
        <v>2.3</v>
      </c>
      <c r="J23" s="8" t="n">
        <v>6</v>
      </c>
      <c r="K23" s="8" t="n">
        <v>6</v>
      </c>
      <c r="L23" s="8" t="n">
        <v>0</v>
      </c>
      <c r="M23" s="7" t="n">
        <v>13.8</v>
      </c>
      <c r="N23" s="5" t="inlineStr">
        <is>
          <t>по согласованию</t>
        </is>
      </c>
      <c r="O23" s="5" t="inlineStr"/>
      <c r="P23" s="6" t="inlineStr"/>
      <c r="Q23" s="5" t="inlineStr">
        <is>
          <t>Прил. 3</t>
        </is>
      </c>
    </row>
    <row r="24">
      <c r="A24" s="5" t="n">
        <v>18</v>
      </c>
      <c r="B24" s="5" t="inlineStr">
        <is>
          <t>Штуцерная проходная</t>
        </is>
      </c>
      <c r="C24" s="5" t="n">
        <v>10</v>
      </c>
      <c r="D24" s="5" t="n">
        <v>40</v>
      </c>
      <c r="E24" s="6" t="inlineStr">
        <is>
          <t>Клапан штуцерный проходной Ду 10 Ру40</t>
        </is>
      </c>
      <c r="F24" s="5" t="inlineStr">
        <is>
          <t>521-01.471-01</t>
        </is>
      </c>
      <c r="G24" s="5" t="inlineStr">
        <is>
          <t>новый</t>
        </is>
      </c>
      <c r="H24" s="6" t="inlineStr"/>
      <c r="I24" s="7" t="n">
        <v>1.2</v>
      </c>
      <c r="J24" s="8" t="n">
        <v>798</v>
      </c>
      <c r="K24" s="8" t="n">
        <v>798</v>
      </c>
      <c r="L24" s="8" t="n">
        <v>0</v>
      </c>
      <c r="M24" s="7" t="n">
        <v>957.6</v>
      </c>
      <c r="N24" s="5" t="inlineStr">
        <is>
          <t>3000-5000</t>
        </is>
      </c>
      <c r="O24" s="5" t="inlineStr">
        <is>
          <t>12-14000</t>
        </is>
      </c>
      <c r="P24" s="6" t="inlineStr">
        <is>
          <t>перепроверить кол-во</t>
        </is>
      </c>
      <c r="Q24" s="5" t="inlineStr">
        <is>
          <t>Прил. 2</t>
        </is>
      </c>
    </row>
    <row r="25">
      <c r="A25" s="5" t="n">
        <v>19</v>
      </c>
      <c r="B25" s="5" t="inlineStr">
        <is>
          <t>Штуцерная проходная</t>
        </is>
      </c>
      <c r="C25" s="5" t="n">
        <v>10</v>
      </c>
      <c r="D25" s="5" t="n">
        <v>400</v>
      </c>
      <c r="E25" s="6" t="inlineStr">
        <is>
          <t>Клапан штуцерный проходной Ду 10 Ру400</t>
        </is>
      </c>
      <c r="F25" s="5" t="inlineStr">
        <is>
          <t>521-35.3238</t>
        </is>
      </c>
      <c r="G25" s="5" t="inlineStr">
        <is>
          <t>новый</t>
        </is>
      </c>
      <c r="H25" s="9" t="inlineStr">
        <is>
          <t>воздух высокого давления Ру400</t>
        </is>
      </c>
      <c r="I25" s="7" t="n">
        <v>3.8</v>
      </c>
      <c r="J25" s="8" t="n">
        <v>1</v>
      </c>
      <c r="K25" s="8" t="n">
        <v>1</v>
      </c>
      <c r="L25" s="8" t="n">
        <v>0</v>
      </c>
      <c r="M25" s="7" t="n">
        <v>3.8</v>
      </c>
      <c r="N25" s="5" t="inlineStr">
        <is>
          <t>20000</t>
        </is>
      </c>
      <c r="O25" s="5" t="inlineStr">
        <is>
          <t>65000</t>
        </is>
      </c>
      <c r="P25" s="6" t="inlineStr"/>
      <c r="Q25" s="5" t="inlineStr">
        <is>
          <t>Прил. 2</t>
        </is>
      </c>
    </row>
    <row r="26">
      <c r="A26" s="5" t="n">
        <v>20</v>
      </c>
      <c r="B26" s="5" t="inlineStr">
        <is>
          <t>Штуцерная проходная</t>
        </is>
      </c>
      <c r="C26" s="5" t="n">
        <v>10</v>
      </c>
      <c r="D26" s="5" t="n">
        <v>400</v>
      </c>
      <c r="E26" s="6" t="inlineStr">
        <is>
          <t>Клапан штуцерный проходной Ду 10 Ру400</t>
        </is>
      </c>
      <c r="F26" s="5" t="inlineStr">
        <is>
          <t>521-03.420</t>
        </is>
      </c>
      <c r="G26" s="5" t="inlineStr"/>
      <c r="H26" s="9" t="inlineStr">
        <is>
          <t>воздух высокого давления Ру400</t>
        </is>
      </c>
      <c r="I26" s="7" t="n">
        <v>3.64</v>
      </c>
      <c r="J26" s="8" t="n">
        <v>2</v>
      </c>
      <c r="K26" s="8" t="n"/>
      <c r="L26" s="8" t="n"/>
      <c r="M26" s="7" t="n">
        <v>0</v>
      </c>
      <c r="N26" s="5" t="inlineStr">
        <is>
          <t>по согласованию</t>
        </is>
      </c>
      <c r="O26" s="5" t="inlineStr"/>
      <c r="P26" s="6" t="inlineStr">
        <is>
          <t>не нашла  еще</t>
        </is>
      </c>
      <c r="Q26" s="5" t="inlineStr">
        <is>
          <t>Прил. 3</t>
        </is>
      </c>
    </row>
    <row r="27">
      <c r="A27" s="5" t="n">
        <v>21</v>
      </c>
      <c r="B27" s="5" t="inlineStr">
        <is>
          <t>Штуцерная проходная</t>
        </is>
      </c>
      <c r="C27" s="5" t="n">
        <v>15</v>
      </c>
      <c r="D27" s="5" t="n"/>
      <c r="E27" s="6" t="inlineStr">
        <is>
          <t>Клапан штуцерный проходной бессальниковый  Ду15/1</t>
        </is>
      </c>
      <c r="F27" s="5" t="inlineStr">
        <is>
          <t>521-35.2608-01</t>
        </is>
      </c>
      <c r="G27" s="5" t="inlineStr">
        <is>
          <t>новый</t>
        </is>
      </c>
      <c r="H27" s="6" t="inlineStr"/>
      <c r="I27" s="7" t="n">
        <v>5.7</v>
      </c>
      <c r="J27" s="8" t="n">
        <v>3</v>
      </c>
      <c r="K27" s="8" t="n">
        <v>3</v>
      </c>
      <c r="L27" s="8" t="n">
        <v>0</v>
      </c>
      <c r="M27" s="7" t="n">
        <v>17.1</v>
      </c>
      <c r="N27" s="5" t="inlineStr">
        <is>
          <t>по согласованию</t>
        </is>
      </c>
      <c r="O27" s="5" t="inlineStr"/>
      <c r="P27" s="6" t="inlineStr"/>
      <c r="Q27" s="5" t="inlineStr">
        <is>
          <t>Прил. 3</t>
        </is>
      </c>
    </row>
    <row r="28">
      <c r="A28" s="5" t="n">
        <v>22</v>
      </c>
      <c r="B28" s="5" t="inlineStr">
        <is>
          <t>Штуцерная проходная</t>
        </is>
      </c>
      <c r="C28" s="5" t="n">
        <v>15</v>
      </c>
      <c r="D28" s="5" t="n">
        <v>3</v>
      </c>
      <c r="E28" s="6" t="inlineStr">
        <is>
          <t>(Кнопка)Клапан самозакрывающий проходной муфтовый Ду15Ру3</t>
        </is>
      </c>
      <c r="F28" s="5" t="inlineStr">
        <is>
          <t>528-35.176</t>
        </is>
      </c>
      <c r="G28" s="5" t="inlineStr">
        <is>
          <t>новый</t>
        </is>
      </c>
      <c r="H28" s="6" t="inlineStr"/>
      <c r="I28" s="7" t="n">
        <v>0.8</v>
      </c>
      <c r="J28" s="8" t="n">
        <v>1</v>
      </c>
      <c r="K28" s="8" t="n">
        <v>1</v>
      </c>
      <c r="L28" s="8" t="n">
        <v>0</v>
      </c>
      <c r="M28" s="7" t="n">
        <v>0.8</v>
      </c>
      <c r="N28" s="5" t="inlineStr">
        <is>
          <t>4000</t>
        </is>
      </c>
      <c r="O28" s="5" t="inlineStr">
        <is>
          <t>15000</t>
        </is>
      </c>
      <c r="P28" s="6" t="inlineStr"/>
      <c r="Q28" s="5" t="inlineStr">
        <is>
          <t>Прил. 2</t>
        </is>
      </c>
    </row>
    <row r="29">
      <c r="A29" s="5" t="n">
        <v>23</v>
      </c>
      <c r="B29" s="5" t="inlineStr">
        <is>
          <t>Штуцерная проходная</t>
        </is>
      </c>
      <c r="C29" s="5" t="n">
        <v>20</v>
      </c>
      <c r="D29" s="5" t="n">
        <v>16</v>
      </c>
      <c r="E29" s="6" t="inlineStr">
        <is>
          <t>Клапан муфтовый проходной запорный Ду20Ру16</t>
        </is>
      </c>
      <c r="F29" s="11" t="inlineStr"/>
      <c r="G29" s="5" t="inlineStr"/>
      <c r="H29" s="6" t="inlineStr"/>
      <c r="I29" s="7" t="n"/>
      <c r="J29" s="8" t="n">
        <v>1</v>
      </c>
      <c r="K29" s="8" t="n"/>
      <c r="L29" s="8" t="n"/>
      <c r="M29" s="7" t="n">
        <v>0</v>
      </c>
      <c r="N29" s="5" t="inlineStr">
        <is>
          <t>по согласованию</t>
        </is>
      </c>
      <c r="O29" s="5" t="inlineStr"/>
      <c r="P29" s="6" t="inlineStr"/>
      <c r="Q29" s="5" t="inlineStr">
        <is>
          <t>Прил. 3</t>
        </is>
      </c>
    </row>
    <row r="30">
      <c r="A30" s="5" t="n">
        <v>24</v>
      </c>
      <c r="B30" s="5" t="inlineStr">
        <is>
          <t>Штуцерная проходная</t>
        </is>
      </c>
      <c r="C30" s="5" t="n">
        <v>20</v>
      </c>
      <c r="D30" s="5" t="n">
        <v>160</v>
      </c>
      <c r="E30" s="6" t="inlineStr">
        <is>
          <t>Клапан невозвратный штуцерный проходной Ду20Ру160</t>
        </is>
      </c>
      <c r="F30" s="5" t="inlineStr">
        <is>
          <t>522-03.089</t>
        </is>
      </c>
      <c r="G30" s="5" t="inlineStr">
        <is>
          <t>новый</t>
        </is>
      </c>
      <c r="H30" s="9" t="inlineStr">
        <is>
          <t>воздух высокого давления Ру160</t>
        </is>
      </c>
      <c r="I30" s="7" t="n">
        <v>2.3</v>
      </c>
      <c r="J30" s="8" t="n">
        <v>1</v>
      </c>
      <c r="K30" s="8" t="n">
        <v>1</v>
      </c>
      <c r="L30" s="8" t="n">
        <v>0</v>
      </c>
      <c r="M30" s="7" t="n">
        <v>2.3</v>
      </c>
      <c r="N30" s="5" t="inlineStr">
        <is>
          <t>по согласованию</t>
        </is>
      </c>
      <c r="O30" s="5" t="inlineStr"/>
      <c r="P30" s="6" t="inlineStr"/>
      <c r="Q30" s="5" t="inlineStr">
        <is>
          <t>Прил. 3</t>
        </is>
      </c>
    </row>
    <row r="31">
      <c r="A31" s="5" t="n">
        <v>25</v>
      </c>
      <c r="B31" s="5" t="inlineStr">
        <is>
          <t>Штуцерная проходная</t>
        </is>
      </c>
      <c r="C31" s="5" t="n">
        <v>25</v>
      </c>
      <c r="D31" s="5" t="n">
        <v>16</v>
      </c>
      <c r="E31" s="6" t="inlineStr">
        <is>
          <t>Клапан муфтовый проходной запорный Ду25Ру16                             (Ду25Ру16 -1 шт ; Ду25Ру10 -1шт )</t>
        </is>
      </c>
      <c r="F31" s="5" t="inlineStr">
        <is>
          <t>521-03.124</t>
        </is>
      </c>
      <c r="G31" s="5" t="inlineStr">
        <is>
          <t>б/у</t>
        </is>
      </c>
      <c r="H31" s="6" t="inlineStr"/>
      <c r="I31" s="7" t="n">
        <v>0.6</v>
      </c>
      <c r="J31" s="8" t="n">
        <v>2</v>
      </c>
      <c r="K31" s="8" t="n">
        <v>2</v>
      </c>
      <c r="L31" s="8" t="n">
        <v>0</v>
      </c>
      <c r="M31" s="7" t="n">
        <v>1.2</v>
      </c>
      <c r="N31" s="5" t="inlineStr">
        <is>
          <t>1500</t>
        </is>
      </c>
      <c r="O31" s="5" t="inlineStr">
        <is>
          <t>4500</t>
        </is>
      </c>
      <c r="P31" s="6" t="inlineStr"/>
      <c r="Q31" s="5" t="inlineStr">
        <is>
          <t>Прил. 2</t>
        </is>
      </c>
    </row>
    <row r="32">
      <c r="A32" s="5" t="n">
        <v>26</v>
      </c>
      <c r="B32" s="5" t="inlineStr">
        <is>
          <t>Штуцерная проходная</t>
        </is>
      </c>
      <c r="C32" s="5" t="n">
        <v>32</v>
      </c>
      <c r="D32" s="5" t="n">
        <v>10</v>
      </c>
      <c r="E32" s="6" t="inlineStr">
        <is>
          <t>Клапан муфтовый проходной запорный Ду32Ру10</t>
        </is>
      </c>
      <c r="F32" s="11" t="inlineStr"/>
      <c r="G32" s="5" t="inlineStr"/>
      <c r="H32" s="6" t="inlineStr"/>
      <c r="I32" s="7" t="n"/>
      <c r="J32" s="8" t="n">
        <v>1</v>
      </c>
      <c r="K32" s="8" t="n"/>
      <c r="L32" s="8" t="n"/>
      <c r="M32" s="7" t="n">
        <v>0</v>
      </c>
      <c r="N32" s="5" t="inlineStr">
        <is>
          <t>по согласованию</t>
        </is>
      </c>
      <c r="O32" s="5" t="inlineStr"/>
      <c r="P32" s="6" t="inlineStr"/>
      <c r="Q32" s="5" t="inlineStr">
        <is>
          <t>Прил. 3</t>
        </is>
      </c>
    </row>
    <row r="33">
      <c r="A33" s="4" t="inlineStr">
        <is>
          <t>Штуцерная, угол или проход не указан — 10 позиций, 180 шт, 184 кг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5" t="n">
        <v>27</v>
      </c>
      <c r="B34" s="5" t="inlineStr">
        <is>
          <t>Штуцерная, угол или проход не указан</t>
        </is>
      </c>
      <c r="C34" s="5" t="n">
        <v>3</v>
      </c>
      <c r="D34" s="5" t="n">
        <v>400</v>
      </c>
      <c r="E34" s="6" t="inlineStr">
        <is>
          <t>Клапан для манометра штущерный  Ду3Ру400 новый</t>
        </is>
      </c>
      <c r="F34" s="5" t="inlineStr">
        <is>
          <t>521-03.406</t>
        </is>
      </c>
      <c r="G34" s="5" t="inlineStr">
        <is>
          <t>новый</t>
        </is>
      </c>
      <c r="H34" s="9" t="inlineStr">
        <is>
          <t>воздух высокого давления Ру400</t>
        </is>
      </c>
      <c r="I34" s="7" t="n">
        <v>1.1</v>
      </c>
      <c r="J34" s="8" t="n">
        <v>2</v>
      </c>
      <c r="K34" s="8" t="n">
        <v>2</v>
      </c>
      <c r="L34" s="8" t="n">
        <v>0</v>
      </c>
      <c r="M34" s="7" t="n">
        <v>2.2</v>
      </c>
      <c r="N34" s="5" t="inlineStr">
        <is>
          <t>по согласованию</t>
        </is>
      </c>
      <c r="O34" s="5" t="inlineStr"/>
      <c r="P34" s="6" t="inlineStr"/>
      <c r="Q34" s="5" t="inlineStr">
        <is>
          <t>Прил. 3</t>
        </is>
      </c>
    </row>
    <row r="35">
      <c r="A35" s="12" t="n">
        <v>28</v>
      </c>
      <c r="B35" s="12" t="inlineStr">
        <is>
          <t>Штуцерная, угол или проход не указан</t>
        </is>
      </c>
      <c r="C35" s="12" t="n">
        <v>6</v>
      </c>
      <c r="D35" s="12" t="n"/>
      <c r="E35" s="13" t="inlineStr">
        <is>
          <t>Клапан для манометра штуцерный сальниковый Ду 6</t>
        </is>
      </c>
      <c r="F35" s="12" t="inlineStr">
        <is>
          <t>521-34.3404-03</t>
        </is>
      </c>
      <c r="G35" s="12" t="inlineStr">
        <is>
          <t>новый</t>
        </is>
      </c>
      <c r="H35" s="13" t="inlineStr"/>
      <c r="I35" s="14" t="n">
        <v>0.7</v>
      </c>
      <c r="J35" s="15" t="n">
        <v>18</v>
      </c>
      <c r="K35" s="15" t="n">
        <v>18</v>
      </c>
      <c r="L35" s="15" t="n">
        <v>0</v>
      </c>
      <c r="M35" s="14" t="n">
        <v>0</v>
      </c>
      <c r="N35" s="12" t="inlineStr">
        <is>
          <t>3000 - 4000</t>
        </is>
      </c>
      <c r="O35" s="12" t="inlineStr">
        <is>
          <t>14-17000</t>
        </is>
      </c>
      <c r="P35" s="13" t="inlineStr">
        <is>
          <t>отгружено 29.09.26</t>
        </is>
      </c>
      <c r="Q35" s="12" t="inlineStr">
        <is>
          <t>Прил. 2</t>
        </is>
      </c>
    </row>
    <row r="36">
      <c r="A36" s="12" t="n">
        <v>29</v>
      </c>
      <c r="B36" s="12" t="inlineStr">
        <is>
          <t>Штуцерная, угол или проход не указан</t>
        </is>
      </c>
      <c r="C36" s="12" t="n">
        <v>6</v>
      </c>
      <c r="D36" s="12" t="n">
        <v>100</v>
      </c>
      <c r="E36" s="13" t="inlineStr">
        <is>
          <t>Клапан для манометра штущерный сальниковый Ду6 Ру100 новый                                                                                                       (521-35.3434 -8 шт , 521-02.013 -86 шт , 521-35.3434-04 -30 шт)</t>
        </is>
      </c>
      <c r="F36" s="12" t="inlineStr">
        <is>
          <t>521-02.013</t>
        </is>
      </c>
      <c r="G36" s="12" t="inlineStr">
        <is>
          <t>новый</t>
        </is>
      </c>
      <c r="H36" s="13" t="inlineStr">
        <is>
          <t>высокое давление Ру100</t>
        </is>
      </c>
      <c r="I36" s="14" t="n">
        <v>0.7</v>
      </c>
      <c r="J36" s="15" t="n">
        <v>95</v>
      </c>
      <c r="K36" s="15" t="n">
        <v>124</v>
      </c>
      <c r="L36" s="15" t="n">
        <v>29</v>
      </c>
      <c r="M36" s="14" t="n">
        <v>0</v>
      </c>
      <c r="N36" s="12" t="inlineStr">
        <is>
          <t>3000 - 4000</t>
        </is>
      </c>
      <c r="O36" s="12" t="inlineStr">
        <is>
          <t>14-17000</t>
        </is>
      </c>
      <c r="P36" s="13" t="inlineStr">
        <is>
          <t>отгружено 29.09.26</t>
        </is>
      </c>
      <c r="Q36" s="12" t="inlineStr">
        <is>
          <t>Прил. 2</t>
        </is>
      </c>
    </row>
    <row r="37">
      <c r="A37" s="5" t="n">
        <v>30</v>
      </c>
      <c r="B37" s="5" t="inlineStr">
        <is>
          <t>Штуцерная, угол или проход не указан</t>
        </is>
      </c>
      <c r="C37" s="5" t="n">
        <v>6</v>
      </c>
      <c r="D37" s="5" t="n">
        <v>100</v>
      </c>
      <c r="E37" s="6" t="inlineStr">
        <is>
          <t>Клапан предохранительный штуцерный сигнальный Ду6 Ру100-230</t>
        </is>
      </c>
      <c r="F37" s="5" t="inlineStr">
        <is>
          <t>524-35.2423-01</t>
        </is>
      </c>
      <c r="G37" s="5" t="inlineStr">
        <is>
          <t>новый</t>
        </is>
      </c>
      <c r="H37" s="9" t="inlineStr">
        <is>
          <t>высокое давление Ру100; котельная</t>
        </is>
      </c>
      <c r="I37" s="7" t="n">
        <v>3.5</v>
      </c>
      <c r="J37" s="8" t="n">
        <v>1</v>
      </c>
      <c r="K37" s="8" t="n">
        <v>1</v>
      </c>
      <c r="L37" s="8" t="n">
        <v>0</v>
      </c>
      <c r="M37" s="7" t="n">
        <v>3.5</v>
      </c>
      <c r="N37" s="5" t="inlineStr">
        <is>
          <t>20000</t>
        </is>
      </c>
      <c r="O37" s="5" t="inlineStr">
        <is>
          <t>55000</t>
        </is>
      </c>
      <c r="P37" s="6" t="inlineStr"/>
      <c r="Q37" s="5" t="inlineStr">
        <is>
          <t>Прил. 2</t>
        </is>
      </c>
    </row>
    <row r="38">
      <c r="A38" s="5" t="n">
        <v>31</v>
      </c>
      <c r="B38" s="5" t="inlineStr">
        <is>
          <t>Штуцерная, угол или проход не указан</t>
        </is>
      </c>
      <c r="C38" s="5" t="n">
        <v>6</v>
      </c>
      <c r="D38" s="5" t="n">
        <v>100</v>
      </c>
      <c r="E38" s="6" t="inlineStr">
        <is>
          <t>Клапан предохранительный штуцерный сигнальный Ду6Ру100-250</t>
        </is>
      </c>
      <c r="F38" s="5" t="inlineStr">
        <is>
          <t>524-03.188</t>
        </is>
      </c>
      <c r="G38" s="5" t="inlineStr">
        <is>
          <t>новый</t>
        </is>
      </c>
      <c r="H38" s="9" t="inlineStr">
        <is>
          <t>высокое давление Ру100; котельная</t>
        </is>
      </c>
      <c r="I38" s="7" t="n">
        <v>2.06</v>
      </c>
      <c r="J38" s="8" t="n">
        <v>2</v>
      </c>
      <c r="K38" s="8" t="n">
        <v>2</v>
      </c>
      <c r="L38" s="8" t="n">
        <v>0</v>
      </c>
      <c r="M38" s="7" t="n">
        <v>4.12</v>
      </c>
      <c r="N38" s="5" t="inlineStr">
        <is>
          <t>по согласованию</t>
        </is>
      </c>
      <c r="O38" s="5" t="inlineStr"/>
      <c r="P38" s="6" t="inlineStr"/>
      <c r="Q38" s="5" t="inlineStr">
        <is>
          <t>Прил. 3</t>
        </is>
      </c>
    </row>
    <row r="39">
      <c r="A39" s="5" t="n">
        <v>32</v>
      </c>
      <c r="B39" s="5" t="inlineStr">
        <is>
          <t>Штуцерная, угол или проход не указан</t>
        </is>
      </c>
      <c r="C39" s="5" t="n">
        <v>10</v>
      </c>
      <c r="D39" s="5" t="n">
        <v>1</v>
      </c>
      <c r="E39" s="6" t="inlineStr">
        <is>
          <t>Клапан предохранительный штуцерный сигнальный Ду10Ру1,3-6,5</t>
        </is>
      </c>
      <c r="F39" s="5" t="inlineStr">
        <is>
          <t>524-03.174</t>
        </is>
      </c>
      <c r="G39" s="5" t="inlineStr">
        <is>
          <t>новый</t>
        </is>
      </c>
      <c r="H39" s="9" t="inlineStr">
        <is>
          <t>котельная</t>
        </is>
      </c>
      <c r="I39" s="7" t="n">
        <v>0.77</v>
      </c>
      <c r="J39" s="8" t="n">
        <v>1</v>
      </c>
      <c r="K39" s="8" t="n">
        <v>1</v>
      </c>
      <c r="L39" s="8" t="n">
        <v>0</v>
      </c>
      <c r="M39" s="7" t="n">
        <v>0.77</v>
      </c>
      <c r="N39" s="5" t="inlineStr">
        <is>
          <t>3500</t>
        </is>
      </c>
      <c r="O39" s="5" t="inlineStr">
        <is>
          <t>15000</t>
        </is>
      </c>
      <c r="P39" s="6" t="inlineStr"/>
      <c r="Q39" s="5" t="inlineStr">
        <is>
          <t>Прил. 2</t>
        </is>
      </c>
    </row>
    <row r="40">
      <c r="A40" s="5" t="n">
        <v>33</v>
      </c>
      <c r="B40" s="5" t="inlineStr">
        <is>
          <t>Штуцерная, угол или проход не указан</t>
        </is>
      </c>
      <c r="C40" s="5" t="n">
        <v>10</v>
      </c>
      <c r="D40" s="5" t="n">
        <v>2</v>
      </c>
      <c r="E40" s="6" t="inlineStr">
        <is>
          <t>Клапан предохранительный штуцерный сигнальный Ду10Ру2,5-6,5</t>
        </is>
      </c>
      <c r="F40" s="5" t="inlineStr">
        <is>
          <t>524-03.173</t>
        </is>
      </c>
      <c r="G40" s="5" t="inlineStr">
        <is>
          <t>новый</t>
        </is>
      </c>
      <c r="H40" s="9" t="inlineStr">
        <is>
          <t>котельная</t>
        </is>
      </c>
      <c r="I40" s="7" t="n">
        <v>1.24</v>
      </c>
      <c r="J40" s="8" t="n">
        <v>1</v>
      </c>
      <c r="K40" s="8" t="n">
        <v>1</v>
      </c>
      <c r="L40" s="8" t="n">
        <v>0</v>
      </c>
      <c r="M40" s="7" t="n">
        <v>1.24</v>
      </c>
      <c r="N40" s="5" t="inlineStr">
        <is>
          <t>3500</t>
        </is>
      </c>
      <c r="O40" s="5" t="inlineStr">
        <is>
          <t>15000</t>
        </is>
      </c>
      <c r="P40" s="6" t="inlineStr"/>
      <c r="Q40" s="5" t="inlineStr">
        <is>
          <t>Прил. 2</t>
        </is>
      </c>
    </row>
    <row r="41">
      <c r="A41" s="5" t="n">
        <v>34</v>
      </c>
      <c r="B41" s="5" t="inlineStr">
        <is>
          <t>Штуцерная, угол или проход не указан</t>
        </is>
      </c>
      <c r="C41" s="5" t="n">
        <v>50</v>
      </c>
      <c r="D41" s="5" t="n"/>
      <c r="E41" s="6" t="inlineStr">
        <is>
          <t>Клапан невозв-запорн.с присоед.под дюрит прох. Ду 50</t>
        </is>
      </c>
      <c r="F41" s="5" t="inlineStr">
        <is>
          <t>522-03.122-04</t>
        </is>
      </c>
      <c r="G41" s="5" t="inlineStr">
        <is>
          <t>новый</t>
        </is>
      </c>
      <c r="H41" s="6" t="inlineStr"/>
      <c r="I41" s="7" t="n">
        <v>5.5</v>
      </c>
      <c r="J41" s="8" t="n">
        <v>10</v>
      </c>
      <c r="K41" s="8" t="n">
        <v>10</v>
      </c>
      <c r="L41" s="8" t="n">
        <v>0</v>
      </c>
      <c r="M41" s="7" t="n">
        <v>57</v>
      </c>
      <c r="N41" s="5" t="inlineStr">
        <is>
          <t>15-20</t>
        </is>
      </c>
      <c r="O41" s="5" t="inlineStr">
        <is>
          <t>45-55</t>
        </is>
      </c>
      <c r="P41" s="6" t="inlineStr"/>
      <c r="Q41" s="5" t="inlineStr">
        <is>
          <t>Прил. 2</t>
        </is>
      </c>
    </row>
    <row r="42">
      <c r="A42" s="5" t="n">
        <v>35</v>
      </c>
      <c r="B42" s="5" t="inlineStr">
        <is>
          <t>Штуцерная, угол или проход не указан</t>
        </is>
      </c>
      <c r="C42" s="5" t="n">
        <v>50</v>
      </c>
      <c r="D42" s="5" t="n">
        <v>6</v>
      </c>
      <c r="E42" s="6" t="inlineStr">
        <is>
          <t>Клапан невозв-запорн.с присоед.под дюрит прох. Ду 50 Ру6</t>
        </is>
      </c>
      <c r="F42" s="5" t="inlineStr">
        <is>
          <t>522-03.124-04</t>
        </is>
      </c>
      <c r="G42" s="5" t="inlineStr">
        <is>
          <t>новый</t>
        </is>
      </c>
      <c r="H42" s="6" t="inlineStr"/>
      <c r="I42" s="7" t="n">
        <v>1.52</v>
      </c>
      <c r="J42" s="8" t="n">
        <v>1</v>
      </c>
      <c r="K42" s="8" t="n">
        <v>1</v>
      </c>
      <c r="L42" s="8" t="n">
        <v>0</v>
      </c>
      <c r="M42" s="7" t="n">
        <v>1.52</v>
      </c>
      <c r="N42" s="5" t="inlineStr">
        <is>
          <t>20000</t>
        </is>
      </c>
      <c r="O42" s="5" t="inlineStr">
        <is>
          <t>45000</t>
        </is>
      </c>
      <c r="P42" s="6" t="inlineStr"/>
      <c r="Q42" s="5" t="inlineStr">
        <is>
          <t>Прил. 2</t>
        </is>
      </c>
    </row>
    <row r="43">
      <c r="A43" s="5" t="n">
        <v>36</v>
      </c>
      <c r="B43" s="5" t="inlineStr">
        <is>
          <t>Штуцерная, угол или проход не указан</t>
        </is>
      </c>
      <c r="C43" s="5" t="n">
        <v>65</v>
      </c>
      <c r="D43" s="5" t="n"/>
      <c r="E43" s="6" t="inlineStr">
        <is>
          <t>Клапан запорн.с присоед.под дюрит прох. Ду65</t>
        </is>
      </c>
      <c r="F43" s="5" t="inlineStr">
        <is>
          <t>ИШТЛ 491112-003-04</t>
        </is>
      </c>
      <c r="G43" s="5" t="inlineStr">
        <is>
          <t>новый</t>
        </is>
      </c>
      <c r="H43" s="6" t="inlineStr"/>
      <c r="I43" s="7" t="n">
        <v>5.7</v>
      </c>
      <c r="J43" s="8" t="n">
        <v>20</v>
      </c>
      <c r="K43" s="8" t="n">
        <v>20</v>
      </c>
      <c r="L43" s="8" t="n">
        <v>0</v>
      </c>
      <c r="M43" s="7" t="n">
        <v>114</v>
      </c>
      <c r="N43" s="5" t="inlineStr">
        <is>
          <t>30000</t>
        </is>
      </c>
      <c r="O43" s="5" t="inlineStr">
        <is>
          <t>65-75000</t>
        </is>
      </c>
      <c r="P43" s="6" t="inlineStr"/>
      <c r="Q43" s="5" t="inlineStr">
        <is>
          <t>Прил. 2</t>
        </is>
      </c>
    </row>
    <row r="44">
      <c r="A44" s="4" t="inlineStr">
        <is>
          <t>Фланцевая угловая — 15 позиций, 63 шт, 1 187 кг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5" t="n">
        <v>37</v>
      </c>
      <c r="B45" s="5" t="inlineStr">
        <is>
          <t>Фланцевая угловая</t>
        </is>
      </c>
      <c r="C45" s="5" t="n">
        <v>25</v>
      </c>
      <c r="D45" s="5" t="n"/>
      <c r="E45" s="6" t="inlineStr">
        <is>
          <t>Клапан фланцевый угловой Ду25</t>
        </is>
      </c>
      <c r="F45" s="5" t="inlineStr">
        <is>
          <t>521-3М539</t>
        </is>
      </c>
      <c r="G45" s="5" t="inlineStr">
        <is>
          <t>б/у</t>
        </is>
      </c>
      <c r="H45" s="6" t="inlineStr"/>
      <c r="I45" s="7" t="n">
        <v>5.5</v>
      </c>
      <c r="J45" s="8" t="n">
        <v>15</v>
      </c>
      <c r="K45" s="8" t="n">
        <v>13</v>
      </c>
      <c r="L45" s="10" t="n">
        <v>-2</v>
      </c>
      <c r="M45" s="7" t="n">
        <v>71.5</v>
      </c>
      <c r="N45" s="5" t="inlineStr">
        <is>
          <t>20000</t>
        </is>
      </c>
      <c r="O45" s="5" t="inlineStr">
        <is>
          <t>40000</t>
        </is>
      </c>
      <c r="P45" s="6" t="inlineStr"/>
      <c r="Q45" s="5" t="inlineStr">
        <is>
          <t>Прил. 2</t>
        </is>
      </c>
    </row>
    <row r="46">
      <c r="A46" s="5" t="n">
        <v>38</v>
      </c>
      <c r="B46" s="5" t="inlineStr">
        <is>
          <t>Фланцевая угловая</t>
        </is>
      </c>
      <c r="C46" s="5" t="n">
        <v>25</v>
      </c>
      <c r="D46" s="5" t="n"/>
      <c r="E46" s="6" t="inlineStr">
        <is>
          <t>Клапан фланцевый угловой Ду25</t>
        </is>
      </c>
      <c r="F46" s="5" t="inlineStr">
        <is>
          <t>521-3М.123</t>
        </is>
      </c>
      <c r="G46" s="5" t="inlineStr">
        <is>
          <t>б/у</t>
        </is>
      </c>
      <c r="H46" s="6" t="inlineStr"/>
      <c r="I46" s="7" t="n">
        <v>5.5</v>
      </c>
      <c r="J46" s="8" t="n">
        <v>0</v>
      </c>
      <c r="K46" s="8" t="n">
        <v>1</v>
      </c>
      <c r="L46" s="10" t="n">
        <v>1</v>
      </c>
      <c r="M46" s="7" t="n">
        <v>5.5</v>
      </c>
      <c r="N46" s="5" t="inlineStr"/>
      <c r="O46" s="5" t="inlineStr"/>
      <c r="P46" s="6" t="inlineStr"/>
      <c r="Q46" s="5" t="inlineStr">
        <is>
          <t>Прил. 2</t>
        </is>
      </c>
    </row>
    <row r="47">
      <c r="A47" s="5" t="n">
        <v>39</v>
      </c>
      <c r="B47" s="5" t="inlineStr">
        <is>
          <t>Фланцевая угловая</t>
        </is>
      </c>
      <c r="C47" s="5" t="n">
        <v>32</v>
      </c>
      <c r="D47" s="5" t="n">
        <v>10</v>
      </c>
      <c r="E47" s="6" t="inlineStr">
        <is>
          <t>Клапан фланц. концевой пожарный угловой Ду32 Ру10</t>
        </is>
      </c>
      <c r="F47" s="5" t="inlineStr">
        <is>
          <t>595-03-006</t>
        </is>
      </c>
      <c r="G47" s="5" t="inlineStr">
        <is>
          <t>новый</t>
        </is>
      </c>
      <c r="H47" s="6" t="inlineStr"/>
      <c r="I47" s="7" t="n">
        <v>5.8</v>
      </c>
      <c r="J47" s="8" t="n">
        <v>1</v>
      </c>
      <c r="K47" s="8" t="n">
        <v>1</v>
      </c>
      <c r="L47" s="8" t="n">
        <v>0</v>
      </c>
      <c r="M47" s="7" t="n">
        <v>5.8</v>
      </c>
      <c r="N47" s="5" t="inlineStr">
        <is>
          <t>по согласованию</t>
        </is>
      </c>
      <c r="O47" s="5" t="inlineStr"/>
      <c r="P47" s="6" t="inlineStr"/>
      <c r="Q47" s="5" t="inlineStr">
        <is>
          <t>Прил. 3</t>
        </is>
      </c>
    </row>
    <row r="48">
      <c r="A48" s="5" t="n">
        <v>40</v>
      </c>
      <c r="B48" s="5" t="inlineStr">
        <is>
          <t>Фланцевая угловая</t>
        </is>
      </c>
      <c r="C48" s="5" t="n">
        <v>32</v>
      </c>
      <c r="D48" s="5" t="n">
        <v>16</v>
      </c>
      <c r="E48" s="6" t="inlineStr">
        <is>
          <t>Клапан фланц. концевой пожарный угловой Ду32 Ру16</t>
        </is>
      </c>
      <c r="F48" s="5" t="inlineStr">
        <is>
          <t>595-01-010</t>
        </is>
      </c>
      <c r="G48" s="5" t="inlineStr">
        <is>
          <t>новый</t>
        </is>
      </c>
      <c r="H48" s="6" t="inlineStr"/>
      <c r="I48" s="7" t="n">
        <v>5.4</v>
      </c>
      <c r="J48" s="8" t="n">
        <v>2</v>
      </c>
      <c r="K48" s="8" t="n">
        <v>2</v>
      </c>
      <c r="L48" s="8" t="n">
        <v>0</v>
      </c>
      <c r="M48" s="7" t="n">
        <v>10.8</v>
      </c>
      <c r="N48" s="5" t="inlineStr">
        <is>
          <t>по согласованию</t>
        </is>
      </c>
      <c r="O48" s="5" t="inlineStr"/>
      <c r="P48" s="6" t="inlineStr"/>
      <c r="Q48" s="5" t="inlineStr">
        <is>
          <t>Прил. 3</t>
        </is>
      </c>
    </row>
    <row r="49">
      <c r="A49" s="5" t="n">
        <v>41</v>
      </c>
      <c r="B49" s="5" t="inlineStr">
        <is>
          <t>Фланцевая угловая</t>
        </is>
      </c>
      <c r="C49" s="5" t="n">
        <v>50</v>
      </c>
      <c r="D49" s="5" t="n"/>
      <c r="E49" s="6" t="inlineStr">
        <is>
          <t>Клапан фланц. концевой пожарный угловой Ду50</t>
        </is>
      </c>
      <c r="F49" s="11" t="inlineStr"/>
      <c r="G49" s="5" t="inlineStr">
        <is>
          <t>б/у</t>
        </is>
      </c>
      <c r="H49" s="6" t="inlineStr"/>
      <c r="I49" s="7" t="n">
        <v>9.300000000000001</v>
      </c>
      <c r="J49" s="8" t="n">
        <v>1</v>
      </c>
      <c r="K49" s="8" t="n">
        <v>1</v>
      </c>
      <c r="L49" s="8" t="n">
        <v>0</v>
      </c>
      <c r="M49" s="7" t="n">
        <v>9.300000000000001</v>
      </c>
      <c r="N49" s="5" t="inlineStr"/>
      <c r="O49" s="5" t="inlineStr"/>
      <c r="P49" s="6" t="inlineStr"/>
      <c r="Q49" s="5" t="inlineStr">
        <is>
          <t>Прил. 3</t>
        </is>
      </c>
    </row>
    <row r="50">
      <c r="A50" s="5" t="n">
        <v>42</v>
      </c>
      <c r="B50" s="5" t="inlineStr">
        <is>
          <t>Фланцевая угловая</t>
        </is>
      </c>
      <c r="C50" s="5" t="n">
        <v>50</v>
      </c>
      <c r="D50" s="5" t="n"/>
      <c r="E50" s="6" t="inlineStr">
        <is>
          <t>Клапан фланцевый угловой Ду50</t>
        </is>
      </c>
      <c r="F50" s="11" t="inlineStr"/>
      <c r="G50" s="5" t="inlineStr">
        <is>
          <t>б/у</t>
        </is>
      </c>
      <c r="H50" s="6" t="inlineStr"/>
      <c r="I50" s="7" t="n">
        <v>12</v>
      </c>
      <c r="J50" s="8" t="n">
        <v>0</v>
      </c>
      <c r="K50" s="8" t="n">
        <v>3</v>
      </c>
      <c r="L50" s="10" t="n">
        <v>3</v>
      </c>
      <c r="M50" s="7" t="n">
        <v>36</v>
      </c>
      <c r="N50" s="5" t="inlineStr"/>
      <c r="O50" s="5" t="inlineStr"/>
      <c r="P50" s="6" t="inlineStr"/>
      <c r="Q50" s="5" t="inlineStr">
        <is>
          <t>Прил. 2</t>
        </is>
      </c>
    </row>
    <row r="51">
      <c r="A51" s="5" t="n">
        <v>43</v>
      </c>
      <c r="B51" s="5" t="inlineStr">
        <is>
          <t>Фланцевая угловая</t>
        </is>
      </c>
      <c r="C51" s="5" t="n">
        <v>50</v>
      </c>
      <c r="D51" s="5" t="n">
        <v>25</v>
      </c>
      <c r="E51" s="6" t="inlineStr">
        <is>
          <t>Клапан фланцевый угловой Ду50 Ру25</t>
        </is>
      </c>
      <c r="F51" s="5" t="inlineStr">
        <is>
          <t>СВ/Т3197-95В25050</t>
        </is>
      </c>
      <c r="G51" s="5" t="inlineStr"/>
      <c r="H51" s="6" t="inlineStr"/>
      <c r="I51" s="7" t="n"/>
      <c r="J51" s="8" t="n">
        <v>7</v>
      </c>
      <c r="K51" s="8" t="n"/>
      <c r="L51" s="8" t="n"/>
      <c r="M51" s="7" t="n">
        <v>0</v>
      </c>
      <c r="N51" s="5" t="inlineStr">
        <is>
          <t>по согласованию</t>
        </is>
      </c>
      <c r="O51" s="5" t="inlineStr"/>
      <c r="P51" s="6" t="inlineStr"/>
      <c r="Q51" s="5" t="inlineStr">
        <is>
          <t>Прил. 3</t>
        </is>
      </c>
    </row>
    <row r="52">
      <c r="A52" s="5" t="n">
        <v>44</v>
      </c>
      <c r="B52" s="5" t="inlineStr">
        <is>
          <t>Фланцевая угловая</t>
        </is>
      </c>
      <c r="C52" s="5" t="n">
        <v>65</v>
      </c>
      <c r="D52" s="5" t="n">
        <v>10</v>
      </c>
      <c r="E52" s="6" t="inlineStr">
        <is>
          <t>Клапан фланцевый угловой Ду65 Ру10</t>
        </is>
      </c>
      <c r="F52" s="5" t="inlineStr">
        <is>
          <t>522-35.4154-02</t>
        </is>
      </c>
      <c r="G52" s="5" t="inlineStr">
        <is>
          <t>новый</t>
        </is>
      </c>
      <c r="H52" s="6" t="inlineStr"/>
      <c r="I52" s="7" t="n">
        <v>16</v>
      </c>
      <c r="J52" s="8" t="n">
        <v>6</v>
      </c>
      <c r="K52" s="8" t="n">
        <v>3</v>
      </c>
      <c r="L52" s="10" t="n">
        <v>-3</v>
      </c>
      <c r="M52" s="7" t="n">
        <v>48</v>
      </c>
      <c r="N52" s="5" t="inlineStr">
        <is>
          <t>25000</t>
        </is>
      </c>
      <c r="O52" s="5" t="inlineStr">
        <is>
          <t>65000</t>
        </is>
      </c>
      <c r="P52" s="6" t="inlineStr"/>
      <c r="Q52" s="5" t="inlineStr">
        <is>
          <t>Прил. 2</t>
        </is>
      </c>
    </row>
    <row r="53">
      <c r="A53" s="5" t="n">
        <v>45</v>
      </c>
      <c r="B53" s="5" t="inlineStr">
        <is>
          <t>Фланцевая угловая</t>
        </is>
      </c>
      <c r="C53" s="5" t="n">
        <v>65</v>
      </c>
      <c r="D53" s="5" t="n">
        <v>10</v>
      </c>
      <c r="E53" s="6" t="inlineStr">
        <is>
          <t>Клапан фланцевый угловой Ду65 Ру10</t>
        </is>
      </c>
      <c r="F53" s="5" t="inlineStr">
        <is>
          <t>522-35.4201</t>
        </is>
      </c>
      <c r="G53" s="5" t="inlineStr"/>
      <c r="H53" s="6" t="inlineStr"/>
      <c r="I53" s="7" t="n">
        <v>16</v>
      </c>
      <c r="J53" s="8" t="n">
        <v>3</v>
      </c>
      <c r="K53" s="8" t="n">
        <v>0</v>
      </c>
      <c r="L53" s="10" t="n">
        <v>-3</v>
      </c>
      <c r="M53" s="7" t="n">
        <v>0</v>
      </c>
      <c r="N53" s="5" t="inlineStr">
        <is>
          <t>25000</t>
        </is>
      </c>
      <c r="O53" s="5" t="inlineStr">
        <is>
          <t>65000</t>
        </is>
      </c>
      <c r="P53" s="6" t="inlineStr"/>
      <c r="Q53" s="5" t="inlineStr">
        <is>
          <t>Прил. 2</t>
        </is>
      </c>
    </row>
    <row r="54">
      <c r="A54" s="5" t="n">
        <v>46</v>
      </c>
      <c r="B54" s="5" t="inlineStr">
        <is>
          <t>Фланцевая угловая</t>
        </is>
      </c>
      <c r="C54" s="5" t="n">
        <v>65</v>
      </c>
      <c r="D54" s="5" t="n">
        <v>10</v>
      </c>
      <c r="E54" s="6" t="inlineStr">
        <is>
          <t>Клапан фланцевый угловой Ду65 Ру10</t>
        </is>
      </c>
      <c r="F54" s="5" t="inlineStr">
        <is>
          <t>521-03.195</t>
        </is>
      </c>
      <c r="G54" s="5" t="inlineStr"/>
      <c r="H54" s="6" t="inlineStr"/>
      <c r="I54" s="7" t="n">
        <v>16</v>
      </c>
      <c r="J54" s="8" t="n">
        <v>12</v>
      </c>
      <c r="K54" s="8" t="n">
        <v>0</v>
      </c>
      <c r="L54" s="10" t="n">
        <v>-12</v>
      </c>
      <c r="M54" s="7" t="n">
        <v>0</v>
      </c>
      <c r="N54" s="5" t="inlineStr">
        <is>
          <t>25000</t>
        </is>
      </c>
      <c r="O54" s="5" t="inlineStr">
        <is>
          <t>65000</t>
        </is>
      </c>
      <c r="P54" s="6" t="inlineStr"/>
      <c r="Q54" s="5" t="inlineStr">
        <is>
          <t>Прил. 2</t>
        </is>
      </c>
    </row>
    <row r="55">
      <c r="A55" s="5" t="n">
        <v>47</v>
      </c>
      <c r="B55" s="5" t="inlineStr">
        <is>
          <t>Фланцевая угловая</t>
        </is>
      </c>
      <c r="C55" s="5" t="n">
        <v>65</v>
      </c>
      <c r="D55" s="5" t="n">
        <v>40</v>
      </c>
      <c r="E55" s="6" t="inlineStr">
        <is>
          <t>Клапан фланцевый угловой Ду65 Ру40</t>
        </is>
      </c>
      <c r="F55" s="5" t="inlineStr">
        <is>
          <t>521-03.230</t>
        </is>
      </c>
      <c r="G55" s="5" t="inlineStr">
        <is>
          <t>новый</t>
        </is>
      </c>
      <c r="H55" s="6" t="inlineStr"/>
      <c r="I55" s="7" t="n">
        <v>20</v>
      </c>
      <c r="J55" s="8" t="n">
        <v>0</v>
      </c>
      <c r="K55" s="8" t="n">
        <v>1</v>
      </c>
      <c r="L55" s="10" t="n">
        <v>1</v>
      </c>
      <c r="M55" s="7" t="n">
        <v>20</v>
      </c>
      <c r="N55" s="5" t="inlineStr"/>
      <c r="O55" s="5" t="inlineStr"/>
      <c r="P55" s="6" t="inlineStr"/>
      <c r="Q55" s="5" t="inlineStr">
        <is>
          <t>Прил. 2</t>
        </is>
      </c>
    </row>
    <row r="56">
      <c r="A56" s="5" t="n">
        <v>48</v>
      </c>
      <c r="B56" s="5" t="inlineStr">
        <is>
          <t>Фланцевая угловая</t>
        </is>
      </c>
      <c r="C56" s="5" t="n">
        <v>80</v>
      </c>
      <c r="D56" s="5" t="n"/>
      <c r="E56" s="6" t="inlineStr">
        <is>
          <t>Клапан фланцевый угловой Ду80</t>
        </is>
      </c>
      <c r="F56" s="5" t="inlineStr">
        <is>
          <t>522-03.197</t>
        </is>
      </c>
      <c r="G56" s="5" t="inlineStr">
        <is>
          <t>б/у</t>
        </is>
      </c>
      <c r="H56" s="6" t="inlineStr"/>
      <c r="I56" s="7" t="n">
        <v>25</v>
      </c>
      <c r="J56" s="8" t="n">
        <v>7</v>
      </c>
      <c r="K56" s="8" t="n">
        <v>28</v>
      </c>
      <c r="L56" s="10" t="n">
        <v>21</v>
      </c>
      <c r="M56" s="7" t="n">
        <v>700</v>
      </c>
      <c r="N56" s="5" t="inlineStr">
        <is>
          <t>30000</t>
        </is>
      </c>
      <c r="O56" s="5" t="inlineStr">
        <is>
          <t>70000</t>
        </is>
      </c>
      <c r="P56" s="6" t="inlineStr"/>
      <c r="Q56" s="5" t="inlineStr">
        <is>
          <t>Прил. 2</t>
        </is>
      </c>
    </row>
    <row r="57">
      <c r="A57" s="5" t="n">
        <v>49</v>
      </c>
      <c r="B57" s="5" t="inlineStr">
        <is>
          <t>Фланцевая угловая</t>
        </is>
      </c>
      <c r="C57" s="5" t="n">
        <v>100</v>
      </c>
      <c r="D57" s="5" t="n"/>
      <c r="E57" s="6" t="inlineStr">
        <is>
          <t>Клапан фланцевый угловой Ду100</t>
        </is>
      </c>
      <c r="F57" s="11" t="inlineStr"/>
      <c r="G57" s="5" t="inlineStr">
        <is>
          <t>б/у</t>
        </is>
      </c>
      <c r="H57" s="6" t="inlineStr"/>
      <c r="I57" s="7" t="n">
        <v>28</v>
      </c>
      <c r="J57" s="8" t="n">
        <v>0</v>
      </c>
      <c r="K57" s="8" t="n">
        <v>10</v>
      </c>
      <c r="L57" s="10" t="n">
        <v>10</v>
      </c>
      <c r="M57" s="7" t="n">
        <v>280</v>
      </c>
      <c r="N57" s="5" t="inlineStr"/>
      <c r="O57" s="5" t="inlineStr"/>
      <c r="P57" s="6" t="inlineStr"/>
      <c r="Q57" s="5" t="inlineStr">
        <is>
          <t>Прил. 2</t>
        </is>
      </c>
    </row>
    <row r="58">
      <c r="A58" s="5" t="n">
        <v>50</v>
      </c>
      <c r="B58" s="5" t="inlineStr">
        <is>
          <t>Фланцевая угловая</t>
        </is>
      </c>
      <c r="C58" s="5" t="n">
        <v>150</v>
      </c>
      <c r="D58" s="5" t="n">
        <v>10</v>
      </c>
      <c r="E58" s="6" t="inlineStr">
        <is>
          <t>Клапан фланцевый угловой Ду150 Ру10</t>
        </is>
      </c>
      <c r="F58" s="5" t="inlineStr">
        <is>
          <t>521-01.207</t>
        </is>
      </c>
      <c r="G58" s="5" t="inlineStr"/>
      <c r="H58" s="6" t="inlineStr"/>
      <c r="I58" s="7" t="n">
        <v>0</v>
      </c>
      <c r="J58" s="8" t="n">
        <v>1</v>
      </c>
      <c r="K58" s="8" t="n">
        <v>0</v>
      </c>
      <c r="L58" s="10" t="n">
        <v>-1</v>
      </c>
      <c r="M58" s="7" t="n">
        <v>0</v>
      </c>
      <c r="N58" s="5" t="inlineStr">
        <is>
          <t>50000</t>
        </is>
      </c>
      <c r="O58" s="5" t="inlineStr">
        <is>
          <t>135000</t>
        </is>
      </c>
      <c r="P58" s="6" t="inlineStr"/>
      <c r="Q58" s="5" t="inlineStr">
        <is>
          <t>Прил. 2</t>
        </is>
      </c>
    </row>
    <row r="59">
      <c r="A59" s="5" t="n">
        <v>51</v>
      </c>
      <c r="B59" s="5" t="inlineStr">
        <is>
          <t>Фланцевая угловая</t>
        </is>
      </c>
      <c r="C59" s="5" t="n">
        <v>150</v>
      </c>
      <c r="D59" s="5" t="n">
        <v>10</v>
      </c>
      <c r="E59" s="6" t="inlineStr">
        <is>
          <t>Клапан фланцевый угловой Ду150 Ру10</t>
        </is>
      </c>
      <c r="F59" s="11" t="inlineStr"/>
      <c r="G59" s="5" t="inlineStr"/>
      <c r="H59" s="6" t="inlineStr"/>
      <c r="I59" s="7" t="n"/>
      <c r="J59" s="8" t="n">
        <v>1</v>
      </c>
      <c r="K59" s="8" t="n">
        <v>0</v>
      </c>
      <c r="L59" s="10" t="n">
        <v>-1</v>
      </c>
      <c r="M59" s="7" t="n">
        <v>0</v>
      </c>
      <c r="N59" s="5" t="inlineStr">
        <is>
          <t>по согласованию</t>
        </is>
      </c>
      <c r="O59" s="5" t="inlineStr"/>
      <c r="P59" s="6" t="inlineStr"/>
      <c r="Q59" s="5" t="inlineStr">
        <is>
          <t>Прил. 3</t>
        </is>
      </c>
    </row>
    <row r="60">
      <c r="A60" s="4" t="inlineStr">
        <is>
          <t>Фланцевая проходная — 7 позиций, 72 шт, 1 521 кг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</row>
    <row r="61">
      <c r="A61" s="5" t="n">
        <v>52</v>
      </c>
      <c r="B61" s="5" t="inlineStr">
        <is>
          <t>Фланцевая проходная</t>
        </is>
      </c>
      <c r="C61" s="5" t="n">
        <v>50</v>
      </c>
      <c r="D61" s="5" t="n"/>
      <c r="E61" s="6" t="inlineStr">
        <is>
          <t>Клапан фланцевый проходной Ду50</t>
        </is>
      </c>
      <c r="F61" s="11" t="inlineStr"/>
      <c r="G61" s="5" t="inlineStr">
        <is>
          <t>б/у</t>
        </is>
      </c>
      <c r="H61" s="6" t="inlineStr"/>
      <c r="I61" s="7" t="n">
        <v>12</v>
      </c>
      <c r="J61" s="8" t="n">
        <v>66</v>
      </c>
      <c r="K61" s="8" t="n">
        <v>51</v>
      </c>
      <c r="L61" s="10" t="n">
        <v>-15</v>
      </c>
      <c r="M61" s="7" t="n">
        <v>612</v>
      </c>
      <c r="N61" s="5" t="inlineStr">
        <is>
          <t>15-20000</t>
        </is>
      </c>
      <c r="O61" s="5" t="inlineStr">
        <is>
          <t>50-55000</t>
        </is>
      </c>
      <c r="P61" s="6" t="inlineStr"/>
      <c r="Q61" s="5" t="inlineStr">
        <is>
          <t>Прил. 2</t>
        </is>
      </c>
    </row>
    <row r="62">
      <c r="A62" s="5" t="n">
        <v>53</v>
      </c>
      <c r="B62" s="5" t="inlineStr">
        <is>
          <t>Фланцевая проходная</t>
        </is>
      </c>
      <c r="C62" s="5" t="n">
        <v>50</v>
      </c>
      <c r="D62" s="5" t="n">
        <v>10</v>
      </c>
      <c r="E62" s="6" t="inlineStr">
        <is>
          <t>Клапан фланцевый проходной титановые Ду50Ру10</t>
        </is>
      </c>
      <c r="F62" s="5" t="inlineStr">
        <is>
          <t>521-182.110</t>
        </is>
      </c>
      <c r="G62" s="5" t="inlineStr">
        <is>
          <t>новый</t>
        </is>
      </c>
      <c r="H62" s="9" t="inlineStr">
        <is>
          <t>титан</t>
        </is>
      </c>
      <c r="I62" s="7" t="n">
        <v>3.5</v>
      </c>
      <c r="J62" s="8" t="n">
        <v>5</v>
      </c>
      <c r="K62" s="8" t="n">
        <v>5</v>
      </c>
      <c r="L62" s="8" t="n">
        <v>0</v>
      </c>
      <c r="M62" s="7" t="n">
        <v>17.5</v>
      </c>
      <c r="N62" s="5" t="inlineStr">
        <is>
          <t>25-35000</t>
        </is>
      </c>
      <c r="O62" s="5" t="inlineStr">
        <is>
          <t>80-100000</t>
        </is>
      </c>
      <c r="P62" s="6" t="inlineStr"/>
      <c r="Q62" s="5" t="inlineStr">
        <is>
          <t>Прил. 2</t>
        </is>
      </c>
    </row>
    <row r="63">
      <c r="A63" s="5" t="n">
        <v>54</v>
      </c>
      <c r="B63" s="5" t="inlineStr">
        <is>
          <t>Фланцевая проходная</t>
        </is>
      </c>
      <c r="C63" s="5" t="n">
        <v>100</v>
      </c>
      <c r="D63" s="5" t="n">
        <v>10</v>
      </c>
      <c r="E63" s="6" t="inlineStr">
        <is>
          <t>Клапан фланцевый проходной титановые Ду100Ру10</t>
        </is>
      </c>
      <c r="F63" s="5" t="inlineStr">
        <is>
          <t>521-182.116</t>
        </is>
      </c>
      <c r="G63" s="5" t="inlineStr">
        <is>
          <t>новый</t>
        </is>
      </c>
      <c r="H63" s="9" t="inlineStr">
        <is>
          <t>титан</t>
        </is>
      </c>
      <c r="I63" s="7" t="n">
        <v>9.699999999999999</v>
      </c>
      <c r="J63" s="8" t="n">
        <v>1</v>
      </c>
      <c r="K63" s="8" t="n">
        <v>1</v>
      </c>
      <c r="L63" s="8" t="n">
        <v>0</v>
      </c>
      <c r="M63" s="7" t="n">
        <v>9.699999999999999</v>
      </c>
      <c r="N63" s="5" t="inlineStr">
        <is>
          <t>40-55000</t>
        </is>
      </c>
      <c r="O63" s="5" t="inlineStr">
        <is>
          <t>120-140000</t>
        </is>
      </c>
      <c r="P63" s="6" t="inlineStr"/>
      <c r="Q63" s="5" t="inlineStr">
        <is>
          <t>Прил. 2</t>
        </is>
      </c>
    </row>
    <row r="64">
      <c r="A64" s="5" t="n">
        <v>55</v>
      </c>
      <c r="B64" s="5" t="inlineStr">
        <is>
          <t>Фланцевая проходная</t>
        </is>
      </c>
      <c r="C64" s="5" t="n">
        <v>125</v>
      </c>
      <c r="D64" s="5" t="n">
        <v>10</v>
      </c>
      <c r="E64" s="6" t="inlineStr">
        <is>
          <t>Клапан фланцевый проходной Ду125 Ру 10</t>
        </is>
      </c>
      <c r="F64" s="5" t="inlineStr">
        <is>
          <t>521-35.3455-02</t>
        </is>
      </c>
      <c r="G64" s="5" t="inlineStr">
        <is>
          <t>б/у</t>
        </is>
      </c>
      <c r="H64" s="6" t="inlineStr"/>
      <c r="I64" s="7" t="n">
        <v>46</v>
      </c>
      <c r="J64" s="8" t="n">
        <v>2</v>
      </c>
      <c r="K64" s="8" t="n">
        <v>2</v>
      </c>
      <c r="L64" s="8" t="n">
        <v>0</v>
      </c>
      <c r="M64" s="7" t="n">
        <v>92</v>
      </c>
      <c r="N64" s="5" t="inlineStr">
        <is>
          <t>55000</t>
        </is>
      </c>
      <c r="O64" s="5" t="inlineStr">
        <is>
          <t>140000</t>
        </is>
      </c>
      <c r="P64" s="6" t="inlineStr"/>
      <c r="Q64" s="5" t="inlineStr">
        <is>
          <t>Прил. 2</t>
        </is>
      </c>
    </row>
    <row r="65">
      <c r="A65" s="5" t="n">
        <v>56</v>
      </c>
      <c r="B65" s="5" t="inlineStr">
        <is>
          <t>Фланцевая проходная</t>
        </is>
      </c>
      <c r="C65" s="5" t="n">
        <v>125</v>
      </c>
      <c r="D65" s="5" t="n">
        <v>10</v>
      </c>
      <c r="E65" s="6" t="inlineStr">
        <is>
          <t>Клапан фланцевый проходной Ду125 Ру 10</t>
        </is>
      </c>
      <c r="F65" s="5" t="inlineStr">
        <is>
          <t>521-03.491</t>
        </is>
      </c>
      <c r="G65" s="5" t="inlineStr">
        <is>
          <t>б/у</t>
        </is>
      </c>
      <c r="H65" s="6" t="inlineStr"/>
      <c r="I65" s="7" t="n">
        <v>46</v>
      </c>
      <c r="J65" s="8" t="n">
        <v>0</v>
      </c>
      <c r="K65" s="8" t="n">
        <v>9</v>
      </c>
      <c r="L65" s="10" t="n">
        <v>9</v>
      </c>
      <c r="M65" s="7" t="n">
        <v>414</v>
      </c>
      <c r="N65" s="5" t="inlineStr">
        <is>
          <t>55000</t>
        </is>
      </c>
      <c r="O65" s="5" t="inlineStr">
        <is>
          <t>140000</t>
        </is>
      </c>
      <c r="P65" s="6" t="inlineStr"/>
      <c r="Q65" s="5" t="inlineStr">
        <is>
          <t>Прил. 2</t>
        </is>
      </c>
    </row>
    <row r="66">
      <c r="A66" s="5" t="n">
        <v>57</v>
      </c>
      <c r="B66" s="5" t="inlineStr">
        <is>
          <t>Фланцевая проходная</t>
        </is>
      </c>
      <c r="C66" s="5" t="n">
        <v>125</v>
      </c>
      <c r="D66" s="5" t="n">
        <v>10</v>
      </c>
      <c r="E66" s="6" t="inlineStr">
        <is>
          <t>Клапан фланцевый проходной Ду125 Ру 10</t>
        </is>
      </c>
      <c r="F66" s="5" t="inlineStr">
        <is>
          <t>без чертежа</t>
        </is>
      </c>
      <c r="G66" s="5" t="inlineStr">
        <is>
          <t>б/у</t>
        </is>
      </c>
      <c r="H66" s="6" t="inlineStr"/>
      <c r="I66" s="7" t="n">
        <v>46</v>
      </c>
      <c r="J66" s="8" t="n">
        <v>0</v>
      </c>
      <c r="K66" s="8" t="n">
        <v>1</v>
      </c>
      <c r="L66" s="10" t="n">
        <v>1</v>
      </c>
      <c r="M66" s="7" t="n">
        <v>46</v>
      </c>
      <c r="N66" s="5" t="inlineStr">
        <is>
          <t>55000</t>
        </is>
      </c>
      <c r="O66" s="5" t="inlineStr">
        <is>
          <t>140000</t>
        </is>
      </c>
      <c r="P66" s="6" t="inlineStr"/>
      <c r="Q66" s="5" t="inlineStr">
        <is>
          <t>Прил. 2</t>
        </is>
      </c>
    </row>
    <row r="67">
      <c r="A67" s="5" t="n">
        <v>58</v>
      </c>
      <c r="B67" s="5" t="inlineStr">
        <is>
          <t>Фланцевая проходная</t>
        </is>
      </c>
      <c r="C67" s="5" t="n">
        <v>200</v>
      </c>
      <c r="D67" s="5" t="n"/>
      <c r="E67" s="6" t="inlineStr">
        <is>
          <t>Клапан фланцевый проходной Ду200</t>
        </is>
      </c>
      <c r="F67" s="11" t="inlineStr"/>
      <c r="G67" s="5" t="inlineStr">
        <is>
          <t>б/у</t>
        </is>
      </c>
      <c r="H67" s="6" t="inlineStr"/>
      <c r="I67" s="7" t="n">
        <v>110</v>
      </c>
      <c r="J67" s="8" t="n">
        <v>3</v>
      </c>
      <c r="K67" s="8" t="n">
        <v>3</v>
      </c>
      <c r="L67" s="8" t="n">
        <v>0</v>
      </c>
      <c r="M67" s="7" t="n">
        <v>330</v>
      </c>
      <c r="N67" s="5" t="inlineStr">
        <is>
          <t>по согласованию</t>
        </is>
      </c>
      <c r="O67" s="5" t="inlineStr"/>
      <c r="P67" s="6" t="inlineStr"/>
      <c r="Q67" s="5" t="inlineStr">
        <is>
          <t>Прил. 3</t>
        </is>
      </c>
    </row>
    <row r="68">
      <c r="A68" s="4" t="inlineStr">
        <is>
          <t>Клинкеты — 4 позиций, 48 шт, 6 419 кг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</row>
    <row r="69">
      <c r="A69" s="5" t="n">
        <v>59</v>
      </c>
      <c r="B69" s="5" t="inlineStr">
        <is>
          <t>Клинкеты</t>
        </is>
      </c>
      <c r="C69" s="5" t="n">
        <v>200</v>
      </c>
      <c r="D69" s="5" t="n"/>
      <c r="E69" s="6" t="inlineStr">
        <is>
          <t>Клинкет Ду 200</t>
        </is>
      </c>
      <c r="F69" s="11" t="inlineStr"/>
      <c r="G69" s="5" t="inlineStr">
        <is>
          <t>б/у</t>
        </is>
      </c>
      <c r="H69" s="6" t="inlineStr"/>
      <c r="I69" s="7" t="n">
        <v>88</v>
      </c>
      <c r="J69" s="8" t="n">
        <v>11</v>
      </c>
      <c r="K69" s="8" t="n">
        <v>15</v>
      </c>
      <c r="L69" s="10" t="n">
        <v>4</v>
      </c>
      <c r="M69" s="7" t="n">
        <v>1320</v>
      </c>
      <c r="N69" s="5" t="inlineStr">
        <is>
          <t>85-90000</t>
        </is>
      </c>
      <c r="O69" s="5" t="inlineStr">
        <is>
          <t>180-210000</t>
        </is>
      </c>
      <c r="P69" s="6" t="inlineStr"/>
      <c r="Q69" s="5" t="inlineStr">
        <is>
          <t>Прил. 2</t>
        </is>
      </c>
    </row>
    <row r="70">
      <c r="A70" s="5" t="n">
        <v>60</v>
      </c>
      <c r="B70" s="5" t="inlineStr">
        <is>
          <t>Клинкеты</t>
        </is>
      </c>
      <c r="C70" s="5" t="n">
        <v>250</v>
      </c>
      <c r="D70" s="5" t="n"/>
      <c r="E70" s="6" t="inlineStr">
        <is>
          <t>Клинкет Ду 250</t>
        </is>
      </c>
      <c r="F70" s="11" t="inlineStr"/>
      <c r="G70" s="5" t="inlineStr">
        <is>
          <t>б/у</t>
        </is>
      </c>
      <c r="H70" s="6" t="inlineStr"/>
      <c r="I70" s="7" t="n">
        <v>125</v>
      </c>
      <c r="J70" s="8" t="n">
        <v>19</v>
      </c>
      <c r="K70" s="8" t="n">
        <v>19</v>
      </c>
      <c r="L70" s="8" t="n">
        <v>0</v>
      </c>
      <c r="M70" s="7" t="n">
        <v>2375</v>
      </c>
      <c r="N70" s="5" t="inlineStr">
        <is>
          <t>130-150</t>
        </is>
      </c>
      <c r="O70" s="5" t="inlineStr">
        <is>
          <t>300-400</t>
        </is>
      </c>
      <c r="P70" s="6" t="inlineStr"/>
      <c r="Q70" s="5" t="inlineStr">
        <is>
          <t>Прил. 2</t>
        </is>
      </c>
    </row>
    <row r="71">
      <c r="A71" s="5" t="n">
        <v>61</v>
      </c>
      <c r="B71" s="5" t="inlineStr">
        <is>
          <t>Клинкеты</t>
        </is>
      </c>
      <c r="C71" s="5" t="n">
        <v>300</v>
      </c>
      <c r="D71" s="5" t="n"/>
      <c r="E71" s="6" t="inlineStr">
        <is>
          <t>Клинкет Ду 300</t>
        </is>
      </c>
      <c r="F71" s="11" t="inlineStr"/>
      <c r="G71" s="5" t="inlineStr">
        <is>
          <t>б/у</t>
        </is>
      </c>
      <c r="H71" s="6" t="inlineStr"/>
      <c r="I71" s="7" t="n">
        <v>192</v>
      </c>
      <c r="J71" s="8" t="n">
        <v>16</v>
      </c>
      <c r="K71" s="8" t="n">
        <v>13</v>
      </c>
      <c r="L71" s="10" t="n">
        <v>-3</v>
      </c>
      <c r="M71" s="7" t="n">
        <v>2496</v>
      </c>
      <c r="N71" s="5" t="inlineStr">
        <is>
          <t>170-200</t>
        </is>
      </c>
      <c r="O71" s="5" t="inlineStr">
        <is>
          <t>450-550</t>
        </is>
      </c>
      <c r="P71" s="6" t="inlineStr"/>
      <c r="Q71" s="5" t="inlineStr">
        <is>
          <t>Прил. 2</t>
        </is>
      </c>
    </row>
    <row r="72">
      <c r="A72" s="5" t="n">
        <v>62</v>
      </c>
      <c r="B72" s="5" t="inlineStr">
        <is>
          <t>Клинкеты</t>
        </is>
      </c>
      <c r="C72" s="5" t="n">
        <v>350</v>
      </c>
      <c r="D72" s="5" t="n"/>
      <c r="E72" s="6" t="inlineStr">
        <is>
          <t>Клинкет  Ду 350</t>
        </is>
      </c>
      <c r="F72" s="11" t="inlineStr"/>
      <c r="G72" s="5" t="inlineStr">
        <is>
          <t>б/у</t>
        </is>
      </c>
      <c r="H72" s="6" t="inlineStr"/>
      <c r="I72" s="7" t="n">
        <v>228</v>
      </c>
      <c r="J72" s="8" t="n">
        <v>1</v>
      </c>
      <c r="K72" s="8" t="n">
        <v>1</v>
      </c>
      <c r="L72" s="8" t="n">
        <v>0</v>
      </c>
      <c r="M72" s="7" t="n">
        <v>228</v>
      </c>
      <c r="N72" s="5" t="inlineStr">
        <is>
          <t>250-300</t>
        </is>
      </c>
      <c r="O72" s="5" t="inlineStr">
        <is>
          <t>700-900</t>
        </is>
      </c>
      <c r="P72" s="6" t="inlineStr"/>
      <c r="Q72" s="5" t="inlineStr">
        <is>
          <t>Прил. 2</t>
        </is>
      </c>
    </row>
    <row r="73">
      <c r="A73" s="4" t="inlineStr">
        <is>
          <t>Фильтры забортной воды — 7 позиций, 21 шт, 1 656 кг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</row>
    <row r="74">
      <c r="A74" s="5" t="n">
        <v>63</v>
      </c>
      <c r="B74" s="5" t="inlineStr">
        <is>
          <t>Фильтры забортной воды</t>
        </is>
      </c>
      <c r="C74" s="5" t="n">
        <v>50</v>
      </c>
      <c r="D74" s="5" t="n"/>
      <c r="E74" s="6" t="inlineStr">
        <is>
          <t>Фильтр забортной воды Ду 50</t>
        </is>
      </c>
      <c r="F74" s="11" t="inlineStr"/>
      <c r="G74" s="5" t="inlineStr">
        <is>
          <t>б/у</t>
        </is>
      </c>
      <c r="H74" s="6" t="inlineStr"/>
      <c r="I74" s="7" t="n">
        <v>0</v>
      </c>
      <c r="J74" s="8" t="n">
        <v>1</v>
      </c>
      <c r="K74" s="8" t="n">
        <v>0</v>
      </c>
      <c r="L74" s="10" t="n">
        <v>-1</v>
      </c>
      <c r="M74" s="7" t="n">
        <v>0</v>
      </c>
      <c r="N74" s="5" t="inlineStr">
        <is>
          <t>30000</t>
        </is>
      </c>
      <c r="O74" s="5" t="inlineStr">
        <is>
          <t>85000</t>
        </is>
      </c>
      <c r="P74" s="6" t="inlineStr"/>
      <c r="Q74" s="5" t="inlineStr">
        <is>
          <t>Прил. 2</t>
        </is>
      </c>
    </row>
    <row r="75">
      <c r="A75" s="5" t="n">
        <v>64</v>
      </c>
      <c r="B75" s="5" t="inlineStr">
        <is>
          <t>Фильтры забортной воды</t>
        </is>
      </c>
      <c r="C75" s="5" t="n">
        <v>80</v>
      </c>
      <c r="D75" s="5" t="n"/>
      <c r="E75" s="6" t="inlineStr">
        <is>
          <t>Фильтр заборной воды ДУ 80</t>
        </is>
      </c>
      <c r="F75" s="11" t="inlineStr"/>
      <c r="G75" s="5" t="inlineStr">
        <is>
          <t>б/у</t>
        </is>
      </c>
      <c r="H75" s="6" t="inlineStr"/>
      <c r="I75" s="7" t="n">
        <v>22</v>
      </c>
      <c r="J75" s="8" t="n">
        <v>0</v>
      </c>
      <c r="K75" s="8" t="n">
        <v>5</v>
      </c>
      <c r="L75" s="10" t="n">
        <v>5</v>
      </c>
      <c r="M75" s="7" t="n">
        <v>110</v>
      </c>
      <c r="N75" s="5" t="inlineStr"/>
      <c r="O75" s="5" t="inlineStr"/>
      <c r="P75" s="6" t="inlineStr"/>
      <c r="Q75" s="5" t="inlineStr">
        <is>
          <t>Прил. 2</t>
        </is>
      </c>
    </row>
    <row r="76">
      <c r="A76" s="5" t="n">
        <v>65</v>
      </c>
      <c r="B76" s="5" t="inlineStr">
        <is>
          <t>Фильтры забортной воды</t>
        </is>
      </c>
      <c r="C76" s="5" t="n">
        <v>100</v>
      </c>
      <c r="D76" s="5" t="n"/>
      <c r="E76" s="6" t="inlineStr">
        <is>
          <t>Фильтр забортной воды Ду 100</t>
        </is>
      </c>
      <c r="F76" s="11" t="inlineStr"/>
      <c r="G76" s="5" t="inlineStr">
        <is>
          <t>б/у</t>
        </is>
      </c>
      <c r="H76" s="6" t="inlineStr"/>
      <c r="I76" s="7" t="n">
        <v>42</v>
      </c>
      <c r="J76" s="8" t="n">
        <v>1</v>
      </c>
      <c r="K76" s="8" t="n">
        <v>1</v>
      </c>
      <c r="L76" s="8" t="n">
        <v>0</v>
      </c>
      <c r="M76" s="7" t="n">
        <v>42</v>
      </c>
      <c r="N76" s="5" t="inlineStr">
        <is>
          <t>55-650</t>
        </is>
      </c>
      <c r="O76" s="5" t="inlineStr">
        <is>
          <t>150-160</t>
        </is>
      </c>
      <c r="P76" s="6" t="inlineStr"/>
      <c r="Q76" s="5" t="inlineStr">
        <is>
          <t>Прил. 2</t>
        </is>
      </c>
    </row>
    <row r="77">
      <c r="A77" s="5" t="n">
        <v>66</v>
      </c>
      <c r="B77" s="5" t="inlineStr">
        <is>
          <t>Фильтры забортной воды</t>
        </is>
      </c>
      <c r="C77" s="5" t="n">
        <v>100</v>
      </c>
      <c r="D77" s="5" t="n">
        <v>4</v>
      </c>
      <c r="E77" s="6" t="inlineStr">
        <is>
          <t>Фильтр фланц.прох. забортной воды Ду100 Ру4</t>
        </is>
      </c>
      <c r="F77" s="5" t="inlineStr">
        <is>
          <t>427-03-109-2</t>
        </is>
      </c>
      <c r="G77" s="5" t="inlineStr">
        <is>
          <t>б/у</t>
        </is>
      </c>
      <c r="H77" s="6" t="inlineStr"/>
      <c r="I77" s="7" t="n">
        <v>45</v>
      </c>
      <c r="J77" s="8" t="n">
        <v>3</v>
      </c>
      <c r="K77" s="8" t="n">
        <v>0</v>
      </c>
      <c r="L77" s="10" t="n">
        <v>-3</v>
      </c>
      <c r="M77" s="7" t="n">
        <v>0</v>
      </c>
      <c r="N77" s="5" t="inlineStr">
        <is>
          <t>55-60000</t>
        </is>
      </c>
      <c r="O77" s="5" t="inlineStr">
        <is>
          <t>150-160</t>
        </is>
      </c>
      <c r="P77" s="6" t="inlineStr"/>
      <c r="Q77" s="5" t="inlineStr">
        <is>
          <t>Прил. 2</t>
        </is>
      </c>
    </row>
    <row r="78">
      <c r="A78" s="5" t="n">
        <v>67</v>
      </c>
      <c r="B78" s="5" t="inlineStr">
        <is>
          <t>Фильтры забортной воды</t>
        </is>
      </c>
      <c r="C78" s="5" t="n">
        <v>150</v>
      </c>
      <c r="D78" s="5" t="n"/>
      <c r="E78" s="6" t="inlineStr">
        <is>
          <t>Фильтр заборной воды ДУ 150</t>
        </is>
      </c>
      <c r="F78" s="11" t="inlineStr"/>
      <c r="G78" s="5" t="inlineStr">
        <is>
          <t>б/у</t>
        </is>
      </c>
      <c r="H78" s="6" t="inlineStr"/>
      <c r="I78" s="7" t="n">
        <v>64</v>
      </c>
      <c r="J78" s="8" t="n">
        <v>5</v>
      </c>
      <c r="K78" s="8" t="n">
        <v>5</v>
      </c>
      <c r="L78" s="8" t="n">
        <v>0</v>
      </c>
      <c r="M78" s="7" t="n">
        <v>320</v>
      </c>
      <c r="N78" s="5" t="inlineStr">
        <is>
          <t>75-90</t>
        </is>
      </c>
      <c r="O78" s="5" t="inlineStr">
        <is>
          <t>170-190</t>
        </is>
      </c>
      <c r="P78" s="6" t="inlineStr"/>
      <c r="Q78" s="5" t="inlineStr">
        <is>
          <t>Прил. 2</t>
        </is>
      </c>
    </row>
    <row r="79">
      <c r="A79" s="5" t="n">
        <v>68</v>
      </c>
      <c r="B79" s="5" t="inlineStr">
        <is>
          <t>Фильтры забортной воды</t>
        </is>
      </c>
      <c r="C79" s="5" t="n">
        <v>200</v>
      </c>
      <c r="D79" s="5" t="n"/>
      <c r="E79" s="6" t="inlineStr">
        <is>
          <t>Фильтр забортной воды Ду200</t>
        </is>
      </c>
      <c r="F79" s="11" t="inlineStr"/>
      <c r="G79" s="5" t="inlineStr">
        <is>
          <t>б/у</t>
        </is>
      </c>
      <c r="H79" s="6" t="inlineStr"/>
      <c r="I79" s="7" t="n">
        <v>148</v>
      </c>
      <c r="J79" s="8" t="n">
        <v>8</v>
      </c>
      <c r="K79" s="8" t="n">
        <v>8</v>
      </c>
      <c r="L79" s="8" t="n">
        <v>0</v>
      </c>
      <c r="M79" s="7" t="n">
        <v>1184</v>
      </c>
      <c r="N79" s="5" t="inlineStr">
        <is>
          <t>150-170</t>
        </is>
      </c>
      <c r="O79" s="5" t="inlineStr">
        <is>
          <t>280-320</t>
        </is>
      </c>
      <c r="P79" s="6" t="inlineStr"/>
      <c r="Q79" s="5" t="inlineStr">
        <is>
          <t>Прил. 2</t>
        </is>
      </c>
    </row>
    <row r="80">
      <c r="A80" s="12" t="n">
        <v>69</v>
      </c>
      <c r="B80" s="12" t="inlineStr">
        <is>
          <t>Фильтры забортной воды</t>
        </is>
      </c>
      <c r="C80" s="12" t="n">
        <v>300</v>
      </c>
      <c r="D80" s="12" t="n"/>
      <c r="E80" s="13" t="inlineStr">
        <is>
          <t>Фильтр забортной воды Ду 300</t>
        </is>
      </c>
      <c r="F80" s="12" t="inlineStr"/>
      <c r="G80" s="12" t="inlineStr">
        <is>
          <t>б/у</t>
        </is>
      </c>
      <c r="H80" s="13" t="inlineStr"/>
      <c r="I80" s="14" t="n">
        <v>172</v>
      </c>
      <c r="J80" s="15" t="n">
        <v>2</v>
      </c>
      <c r="K80" s="15" t="n">
        <v>2</v>
      </c>
      <c r="L80" s="15" t="n">
        <v>0</v>
      </c>
      <c r="M80" s="14" t="n">
        <v>0</v>
      </c>
      <c r="N80" s="12" t="inlineStr">
        <is>
          <t>300000</t>
        </is>
      </c>
      <c r="O80" s="12" t="inlineStr">
        <is>
          <t>800000</t>
        </is>
      </c>
      <c r="P80" s="13" t="inlineStr">
        <is>
          <t>отгружено 24.09.26</t>
        </is>
      </c>
      <c r="Q80" s="12" t="inlineStr">
        <is>
          <t>Прил. 2</t>
        </is>
      </c>
    </row>
    <row r="81">
      <c r="A81" s="4" t="inlineStr">
        <is>
          <t>Кингстоны — 5 позиций, 7 шт, 100 кг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</row>
    <row r="82">
      <c r="A82" s="5" t="n">
        <v>70</v>
      </c>
      <c r="B82" s="5" t="inlineStr">
        <is>
          <t>Кингстоны</t>
        </is>
      </c>
      <c r="C82" s="5" t="n">
        <v>32</v>
      </c>
      <c r="D82" s="5" t="n">
        <v>2</v>
      </c>
      <c r="E82" s="6" t="inlineStr">
        <is>
          <t>Кингстон донный фланцевый Ду32Ру2,5</t>
        </is>
      </c>
      <c r="F82" s="5" t="inlineStr">
        <is>
          <t>527-03.014</t>
        </is>
      </c>
      <c r="G82" s="5" t="inlineStr">
        <is>
          <t>б/у</t>
        </is>
      </c>
      <c r="H82" s="6" t="inlineStr"/>
      <c r="I82" s="7" t="n">
        <v>11.2</v>
      </c>
      <c r="J82" s="8" t="n">
        <v>0</v>
      </c>
      <c r="K82" s="8" t="n">
        <v>1</v>
      </c>
      <c r="L82" s="10" t="n">
        <v>1</v>
      </c>
      <c r="M82" s="7" t="n">
        <v>11.2</v>
      </c>
      <c r="N82" s="5" t="inlineStr"/>
      <c r="O82" s="5" t="inlineStr"/>
      <c r="P82" s="6" t="inlineStr"/>
      <c r="Q82" s="5" t="inlineStr">
        <is>
          <t>Прил. 2</t>
        </is>
      </c>
    </row>
    <row r="83">
      <c r="A83" s="5" t="n">
        <v>71</v>
      </c>
      <c r="B83" s="5" t="inlineStr">
        <is>
          <t>Кингстоны</t>
        </is>
      </c>
      <c r="C83" s="5" t="n">
        <v>50</v>
      </c>
      <c r="D83" s="5" t="n">
        <v>2</v>
      </c>
      <c r="E83" s="6" t="inlineStr">
        <is>
          <t>Кингстон донный фланцевый Ду50 Ру2,5</t>
        </is>
      </c>
      <c r="F83" s="5" t="inlineStr">
        <is>
          <t>527-03.054</t>
        </is>
      </c>
      <c r="G83" s="5" t="inlineStr">
        <is>
          <t>б/у</t>
        </is>
      </c>
      <c r="H83" s="6" t="inlineStr"/>
      <c r="I83" s="7" t="n">
        <v>11</v>
      </c>
      <c r="J83" s="8" t="n">
        <v>1</v>
      </c>
      <c r="K83" s="8" t="n">
        <v>2</v>
      </c>
      <c r="L83" s="10" t="n">
        <v>1</v>
      </c>
      <c r="M83" s="7" t="n">
        <v>22</v>
      </c>
      <c r="N83" s="5" t="inlineStr">
        <is>
          <t>20000</t>
        </is>
      </c>
      <c r="O83" s="5" t="inlineStr">
        <is>
          <t>55000</t>
        </is>
      </c>
      <c r="P83" s="6" t="inlineStr"/>
      <c r="Q83" s="5" t="inlineStr">
        <is>
          <t>Прил. 2</t>
        </is>
      </c>
    </row>
    <row r="84">
      <c r="A84" s="5" t="n">
        <v>72</v>
      </c>
      <c r="B84" s="5" t="inlineStr">
        <is>
          <t>Кингстоны</t>
        </is>
      </c>
      <c r="C84" s="5" t="n">
        <v>50</v>
      </c>
      <c r="D84" s="5" t="n">
        <v>2</v>
      </c>
      <c r="E84" s="6" t="inlineStr">
        <is>
          <t>Кингстон донный фланцевый Ду50 Ру2,5</t>
        </is>
      </c>
      <c r="F84" s="5" t="inlineStr">
        <is>
          <t>без чертежа(527-35.1165)</t>
        </is>
      </c>
      <c r="G84" s="5" t="inlineStr">
        <is>
          <t>б/у</t>
        </is>
      </c>
      <c r="H84" s="6" t="inlineStr"/>
      <c r="I84" s="7" t="n">
        <v>9.4</v>
      </c>
      <c r="J84" s="8" t="n">
        <v>1</v>
      </c>
      <c r="K84" s="8" t="n">
        <v>1</v>
      </c>
      <c r="L84" s="8" t="n">
        <v>0</v>
      </c>
      <c r="M84" s="7" t="n">
        <v>9.4</v>
      </c>
      <c r="N84" s="5" t="inlineStr">
        <is>
          <t>по согласованию</t>
        </is>
      </c>
      <c r="O84" s="5" t="inlineStr"/>
      <c r="P84" s="6" t="inlineStr"/>
      <c r="Q84" s="5" t="inlineStr">
        <is>
          <t>Прил. 3</t>
        </is>
      </c>
    </row>
    <row r="85">
      <c r="A85" s="5" t="n">
        <v>73</v>
      </c>
      <c r="B85" s="5" t="inlineStr">
        <is>
          <t>Кингстоны</t>
        </is>
      </c>
      <c r="C85" s="5" t="n">
        <v>80</v>
      </c>
      <c r="D85" s="5" t="n">
        <v>2</v>
      </c>
      <c r="E85" s="6" t="inlineStr">
        <is>
          <t>Кингстон донный фланцевый Ду80 Ру2,5</t>
        </is>
      </c>
      <c r="F85" s="5" t="inlineStr">
        <is>
          <t>527-03.055</t>
        </is>
      </c>
      <c r="G85" s="5" t="inlineStr">
        <is>
          <t>новый</t>
        </is>
      </c>
      <c r="H85" s="6" t="inlineStr"/>
      <c r="I85" s="7" t="n">
        <v>19</v>
      </c>
      <c r="J85" s="8" t="n">
        <v>2</v>
      </c>
      <c r="K85" s="8" t="n">
        <v>2</v>
      </c>
      <c r="L85" s="8" t="n">
        <v>0</v>
      </c>
      <c r="M85" s="7" t="n">
        <v>38</v>
      </c>
      <c r="N85" s="5" t="inlineStr">
        <is>
          <t>30000</t>
        </is>
      </c>
      <c r="O85" s="5" t="inlineStr">
        <is>
          <t>95000</t>
        </is>
      </c>
      <c r="P85" s="6" t="inlineStr"/>
      <c r="Q85" s="5" t="inlineStr">
        <is>
          <t>Прил. 2</t>
        </is>
      </c>
    </row>
    <row r="86">
      <c r="A86" s="5" t="n">
        <v>74</v>
      </c>
      <c r="B86" s="5" t="inlineStr">
        <is>
          <t>Кингстоны</t>
        </is>
      </c>
      <c r="C86" s="5" t="n">
        <v>80</v>
      </c>
      <c r="D86" s="5" t="n">
        <v>2</v>
      </c>
      <c r="E86" s="6" t="inlineStr">
        <is>
          <t>Кингстон донный фланцевый Ду80 Ру2,5</t>
        </is>
      </c>
      <c r="F86" s="5" t="inlineStr">
        <is>
          <t>527-03.055</t>
        </is>
      </c>
      <c r="G86" s="5" t="inlineStr">
        <is>
          <t>б/у</t>
        </is>
      </c>
      <c r="H86" s="6" t="inlineStr"/>
      <c r="I86" s="7" t="n">
        <v>19</v>
      </c>
      <c r="J86" s="8" t="n">
        <v>0</v>
      </c>
      <c r="K86" s="8" t="n">
        <v>1</v>
      </c>
      <c r="L86" s="10" t="n">
        <v>1</v>
      </c>
      <c r="M86" s="7" t="n">
        <v>19</v>
      </c>
      <c r="N86" s="5" t="inlineStr"/>
      <c r="O86" s="5" t="inlineStr"/>
      <c r="P86" s="6" t="inlineStr"/>
      <c r="Q86" s="5" t="inlineStr">
        <is>
          <t>Прил. 2</t>
        </is>
      </c>
    </row>
    <row r="87">
      <c r="A87" s="4" t="inlineStr">
        <is>
          <t>Головки вентиляционные — 7 позиций, 43 шт, 356 кг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</row>
    <row r="88">
      <c r="A88" s="5" t="n">
        <v>75</v>
      </c>
      <c r="B88" s="5" t="inlineStr">
        <is>
          <t>Головки вентиляционные</t>
        </is>
      </c>
      <c r="C88" s="5" t="n">
        <v>25</v>
      </c>
      <c r="D88" s="5" t="n"/>
      <c r="E88" s="6" t="inlineStr">
        <is>
          <t>Головка воздушно-квадрат.(поплавковая) Ду25</t>
        </is>
      </c>
      <c r="F88" s="5" t="inlineStr">
        <is>
          <t>(541-03.232)</t>
        </is>
      </c>
      <c r="G88" s="5" t="inlineStr">
        <is>
          <t>новая ?</t>
        </is>
      </c>
      <c r="H88" s="6" t="inlineStr"/>
      <c r="I88" s="7" t="n">
        <v>1.6</v>
      </c>
      <c r="J88" s="8" t="n">
        <v>8</v>
      </c>
      <c r="K88" s="8" t="n">
        <v>8</v>
      </c>
      <c r="L88" s="8" t="n">
        <v>0</v>
      </c>
      <c r="M88" s="7" t="n">
        <v>12.8</v>
      </c>
      <c r="N88" s="5" t="inlineStr">
        <is>
          <t>по согласованию</t>
        </is>
      </c>
      <c r="O88" s="5" t="inlineStr"/>
      <c r="P88" s="6" t="inlineStr"/>
      <c r="Q88" s="5" t="inlineStr">
        <is>
          <t>Прил. 3</t>
        </is>
      </c>
    </row>
    <row r="89">
      <c r="A89" s="5" t="n">
        <v>76</v>
      </c>
      <c r="B89" s="5" t="inlineStr">
        <is>
          <t>Головки вентиляционные</t>
        </is>
      </c>
      <c r="C89" s="5" t="n">
        <v>32</v>
      </c>
      <c r="D89" s="5" t="n"/>
      <c r="E89" s="6" t="inlineStr">
        <is>
          <t>Головка воздушно-квадрат.(поплавковая) Ду32</t>
        </is>
      </c>
      <c r="F89" s="5" t="inlineStr">
        <is>
          <t>541-03.224</t>
        </is>
      </c>
      <c r="G89" s="5" t="inlineStr">
        <is>
          <t>новая ?</t>
        </is>
      </c>
      <c r="H89" s="6" t="inlineStr"/>
      <c r="I89" s="7" t="n">
        <v>1.5</v>
      </c>
      <c r="J89" s="8" t="n">
        <v>3</v>
      </c>
      <c r="K89" s="8" t="n">
        <v>3</v>
      </c>
      <c r="L89" s="8" t="n">
        <v>0</v>
      </c>
      <c r="M89" s="7" t="n">
        <v>4.5</v>
      </c>
      <c r="N89" s="5" t="inlineStr"/>
      <c r="O89" s="5" t="inlineStr"/>
      <c r="P89" s="6" t="inlineStr"/>
      <c r="Q89" s="5" t="inlineStr">
        <is>
          <t>Прил. 3</t>
        </is>
      </c>
    </row>
    <row r="90">
      <c r="A90" s="5" t="n">
        <v>77</v>
      </c>
      <c r="B90" s="5" t="inlineStr">
        <is>
          <t>Головки вентиляционные</t>
        </is>
      </c>
      <c r="C90" s="5" t="n">
        <v>80</v>
      </c>
      <c r="D90" s="5" t="n"/>
      <c r="E90" s="6" t="inlineStr">
        <is>
          <t>Головка воздушно-квадрат.(поплавковая) Ду80</t>
        </is>
      </c>
      <c r="F90" s="5" t="inlineStr">
        <is>
          <t>(541-03.218)</t>
        </is>
      </c>
      <c r="G90" s="5" t="inlineStr">
        <is>
          <t>новая ?</t>
        </is>
      </c>
      <c r="H90" s="6" t="inlineStr"/>
      <c r="I90" s="7" t="n">
        <v>11.2</v>
      </c>
      <c r="J90" s="8" t="n">
        <v>19</v>
      </c>
      <c r="K90" s="8" t="n">
        <v>19</v>
      </c>
      <c r="L90" s="8" t="n">
        <v>0</v>
      </c>
      <c r="M90" s="7" t="n">
        <v>212.8</v>
      </c>
      <c r="N90" s="5" t="inlineStr">
        <is>
          <t>по согласованию</t>
        </is>
      </c>
      <c r="O90" s="5" t="inlineStr"/>
      <c r="P90" s="6" t="inlineStr"/>
      <c r="Q90" s="5" t="inlineStr">
        <is>
          <t>Прил. 3</t>
        </is>
      </c>
    </row>
    <row r="91">
      <c r="A91" s="5" t="n">
        <v>78</v>
      </c>
      <c r="B91" s="5" t="inlineStr">
        <is>
          <t>Головки вентиляционные</t>
        </is>
      </c>
      <c r="C91" s="5" t="n">
        <v>125</v>
      </c>
      <c r="D91" s="5" t="n"/>
      <c r="E91" s="6" t="inlineStr">
        <is>
          <t>Головка воздушно-квадрат.(поплавковая) Ду125 (без поплавка)</t>
        </is>
      </c>
      <c r="F91" s="5" t="inlineStr">
        <is>
          <t>(541-03.220)</t>
        </is>
      </c>
      <c r="G91" s="5" t="inlineStr">
        <is>
          <t>новая ?</t>
        </is>
      </c>
      <c r="H91" s="6" t="inlineStr"/>
      <c r="I91" s="7" t="n">
        <v>18.2</v>
      </c>
      <c r="J91" s="8" t="n">
        <v>6</v>
      </c>
      <c r="K91" s="8" t="n">
        <v>6</v>
      </c>
      <c r="L91" s="8" t="n">
        <v>0</v>
      </c>
      <c r="M91" s="7" t="n">
        <v>109.2</v>
      </c>
      <c r="N91" s="5" t="inlineStr">
        <is>
          <t>по согласованию</t>
        </is>
      </c>
      <c r="O91" s="5" t="inlineStr"/>
      <c r="P91" s="6" t="inlineStr"/>
      <c r="Q91" s="5" t="inlineStr">
        <is>
          <t>Прил. 3</t>
        </is>
      </c>
    </row>
    <row r="92">
      <c r="A92" s="5" t="n">
        <v>79</v>
      </c>
      <c r="B92" s="5" t="inlineStr">
        <is>
          <t>Головки вентиляционные</t>
        </is>
      </c>
      <c r="C92" s="5" t="n">
        <v>150</v>
      </c>
      <c r="D92" s="5" t="n"/>
      <c r="E92" s="6" t="inlineStr">
        <is>
          <t>Грибки АМГ Ду 150 (верхние)</t>
        </is>
      </c>
      <c r="F92" s="5" t="inlineStr">
        <is>
          <t>(541-03.315-02)</t>
        </is>
      </c>
      <c r="G92" s="5" t="inlineStr">
        <is>
          <t>новая</t>
        </is>
      </c>
      <c r="H92" s="6" t="inlineStr"/>
      <c r="I92" s="7" t="n">
        <v>2.9</v>
      </c>
      <c r="J92" s="8" t="n">
        <v>3</v>
      </c>
      <c r="K92" s="8" t="n">
        <v>3</v>
      </c>
      <c r="L92" s="8" t="n">
        <v>0</v>
      </c>
      <c r="M92" s="7" t="n">
        <v>2</v>
      </c>
      <c r="N92" s="5" t="inlineStr">
        <is>
          <t>по согласованию</t>
        </is>
      </c>
      <c r="O92" s="5" t="inlineStr"/>
      <c r="P92" s="6" t="inlineStr"/>
      <c r="Q92" s="5" t="inlineStr">
        <is>
          <t>Прил. 3</t>
        </is>
      </c>
    </row>
    <row r="93">
      <c r="A93" s="5" t="n">
        <v>80</v>
      </c>
      <c r="B93" s="5" t="inlineStr">
        <is>
          <t>Головки вентиляционные</t>
        </is>
      </c>
      <c r="C93" s="5" t="n">
        <v>150</v>
      </c>
      <c r="D93" s="5" t="n"/>
      <c r="E93" s="6" t="inlineStr">
        <is>
          <t>Грибки АМГ Ду 150 (нижние)</t>
        </is>
      </c>
      <c r="F93" s="5" t="inlineStr">
        <is>
          <t>(541-03.316-02)</t>
        </is>
      </c>
      <c r="G93" s="5" t="inlineStr">
        <is>
          <t>новая</t>
        </is>
      </c>
      <c r="H93" s="6" t="inlineStr"/>
      <c r="I93" s="7" t="n">
        <v>2.7</v>
      </c>
      <c r="J93" s="8" t="n">
        <v>2</v>
      </c>
      <c r="K93" s="8" t="n">
        <v>2</v>
      </c>
      <c r="L93" s="8" t="n">
        <v>0</v>
      </c>
      <c r="M93" s="7" t="n">
        <v>5.4</v>
      </c>
      <c r="N93" s="5" t="inlineStr">
        <is>
          <t>по согласованию</t>
        </is>
      </c>
      <c r="O93" s="5" t="inlineStr"/>
      <c r="P93" s="6" t="inlineStr"/>
      <c r="Q93" s="5" t="inlineStr">
        <is>
          <t>Прил. 3</t>
        </is>
      </c>
    </row>
    <row r="94">
      <c r="A94" s="5" t="n">
        <v>81</v>
      </c>
      <c r="B94" s="5" t="inlineStr">
        <is>
          <t>Головки вентиляционные</t>
        </is>
      </c>
      <c r="C94" s="5" t="n">
        <v>200</v>
      </c>
      <c r="D94" s="5" t="n"/>
      <c r="E94" s="6" t="inlineStr">
        <is>
          <t>Грибки АМГ Ду 200 с нижнем приводом</t>
        </is>
      </c>
      <c r="F94" s="5" t="inlineStr">
        <is>
          <t>(541-03.316-04)</t>
        </is>
      </c>
      <c r="G94" s="5" t="inlineStr">
        <is>
          <t>новая</t>
        </is>
      </c>
      <c r="H94" s="6" t="inlineStr"/>
      <c r="I94" s="7" t="n">
        <v>4.7</v>
      </c>
      <c r="J94" s="8" t="n">
        <v>2</v>
      </c>
      <c r="K94" s="8" t="n">
        <v>2</v>
      </c>
      <c r="L94" s="8" t="n">
        <v>0</v>
      </c>
      <c r="M94" s="7" t="n">
        <v>9.4</v>
      </c>
      <c r="N94" s="5" t="inlineStr">
        <is>
          <t>по согласованию</t>
        </is>
      </c>
      <c r="O94" s="5" t="inlineStr"/>
      <c r="P94" s="6" t="inlineStr"/>
      <c r="Q94" s="5" t="inlineStr">
        <is>
          <t>Прил. 3</t>
        </is>
      </c>
    </row>
    <row r="95">
      <c r="A95" s="4" t="inlineStr">
        <is>
          <t>Колонка смотровая — 2 позиций, 6 шт, 9 кг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</row>
    <row r="96">
      <c r="A96" s="5" t="n">
        <v>82</v>
      </c>
      <c r="B96" s="5" t="inlineStr">
        <is>
          <t>Колонка смотровая</t>
        </is>
      </c>
      <c r="C96" s="5" t="n">
        <v>10</v>
      </c>
      <c r="D96" s="5" t="n">
        <v>10</v>
      </c>
      <c r="E96" s="6" t="inlineStr">
        <is>
          <t>Колонка указательная с плоским рифленым стеклом Ду10Ру10</t>
        </is>
      </c>
      <c r="F96" s="5" t="inlineStr">
        <is>
          <t>598-03.083-01</t>
        </is>
      </c>
      <c r="G96" s="5" t="inlineStr"/>
      <c r="H96" s="9" t="inlineStr">
        <is>
          <t>котельная</t>
        </is>
      </c>
      <c r="I96" s="7" t="n"/>
      <c r="J96" s="8" t="n">
        <v>16</v>
      </c>
      <c r="K96" s="8" t="n"/>
      <c r="L96" s="8" t="n"/>
      <c r="M96" s="7" t="n">
        <v>0</v>
      </c>
      <c r="N96" s="5" t="inlineStr">
        <is>
          <t>12000</t>
        </is>
      </c>
      <c r="O96" s="5" t="inlineStr">
        <is>
          <t>30000</t>
        </is>
      </c>
      <c r="P96" s="6" t="inlineStr"/>
      <c r="Q96" s="5" t="inlineStr">
        <is>
          <t>Прил. 2</t>
        </is>
      </c>
    </row>
    <row r="97">
      <c r="A97" s="5" t="n">
        <v>83</v>
      </c>
      <c r="B97" s="5" t="inlineStr">
        <is>
          <t>Колонка смотровая</t>
        </is>
      </c>
      <c r="C97" s="5" t="n">
        <v>10</v>
      </c>
      <c r="D97" s="5" t="n">
        <v>16</v>
      </c>
      <c r="E97" s="6" t="inlineStr">
        <is>
          <t>Клапан для колонки указательной Ду10 Ру16</t>
        </is>
      </c>
      <c r="F97" s="5" t="inlineStr">
        <is>
          <t>598-03.022-06</t>
        </is>
      </c>
      <c r="G97" s="5" t="inlineStr">
        <is>
          <t>б/у</t>
        </is>
      </c>
      <c r="H97" s="9" t="inlineStr">
        <is>
          <t>котельная</t>
        </is>
      </c>
      <c r="I97" s="7" t="n">
        <v>1.5</v>
      </c>
      <c r="J97" s="8" t="n">
        <v>6</v>
      </c>
      <c r="K97" s="8" t="n">
        <v>6</v>
      </c>
      <c r="L97" s="8" t="n">
        <v>0</v>
      </c>
      <c r="M97" s="7" t="n">
        <v>9</v>
      </c>
      <c r="N97" s="5" t="inlineStr">
        <is>
          <t>по согласованию</t>
        </is>
      </c>
      <c r="O97" s="5" t="inlineStr"/>
      <c r="P97" s="6" t="inlineStr"/>
      <c r="Q97" s="5" t="inlineStr">
        <is>
          <t>Прил. 3</t>
        </is>
      </c>
    </row>
    <row r="98">
      <c r="A98" s="4" t="inlineStr">
        <is>
          <t>Захлопки — 6 позиций, 8 шт, 171 кг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</row>
    <row r="99">
      <c r="A99" s="5" t="n">
        <v>84</v>
      </c>
      <c r="B99" s="5" t="inlineStr">
        <is>
          <t>Захлопки</t>
        </is>
      </c>
      <c r="C99" s="5" t="n">
        <v>50</v>
      </c>
      <c r="D99" s="5" t="n"/>
      <c r="E99" s="6" t="inlineStr">
        <is>
          <t>Захлопка фланцевая горизонтальная Ду50</t>
        </is>
      </c>
      <c r="F99" s="5" t="inlineStr">
        <is>
          <t>529-03.011</t>
        </is>
      </c>
      <c r="G99" s="5" t="inlineStr">
        <is>
          <t>новая</t>
        </is>
      </c>
      <c r="H99" s="6" t="inlineStr"/>
      <c r="I99" s="7" t="n">
        <v>11.2</v>
      </c>
      <c r="J99" s="8" t="n">
        <v>1</v>
      </c>
      <c r="K99" s="8" t="n">
        <v>1</v>
      </c>
      <c r="L99" s="8" t="n">
        <v>0</v>
      </c>
      <c r="M99" s="7" t="n">
        <v>11.2</v>
      </c>
      <c r="N99" s="5" t="inlineStr">
        <is>
          <t>по согласованию</t>
        </is>
      </c>
      <c r="O99" s="5" t="inlineStr"/>
      <c r="P99" s="6" t="inlineStr"/>
      <c r="Q99" s="5" t="inlineStr">
        <is>
          <t>Прил. 3</t>
        </is>
      </c>
    </row>
    <row r="100">
      <c r="A100" s="5" t="n">
        <v>85</v>
      </c>
      <c r="B100" s="5" t="inlineStr">
        <is>
          <t>Захлопки</t>
        </is>
      </c>
      <c r="C100" s="5" t="n">
        <v>50</v>
      </c>
      <c r="D100" s="5" t="n">
        <v>63</v>
      </c>
      <c r="E100" s="6" t="inlineStr">
        <is>
          <t>Захлопка фланцевая вертикальная Ду50Ру63</t>
        </is>
      </c>
      <c r="F100" s="5" t="inlineStr">
        <is>
          <t>529-35.1400-01</t>
        </is>
      </c>
      <c r="G100" s="5" t="inlineStr">
        <is>
          <t>б/у</t>
        </is>
      </c>
      <c r="H100" s="6" t="inlineStr"/>
      <c r="I100" s="7" t="n">
        <v>10.5</v>
      </c>
      <c r="J100" s="8" t="n">
        <v>1</v>
      </c>
      <c r="K100" s="8" t="n">
        <v>1</v>
      </c>
      <c r="L100" s="8" t="n">
        <v>0</v>
      </c>
      <c r="M100" s="7" t="n">
        <v>10.5</v>
      </c>
      <c r="N100" s="5" t="inlineStr">
        <is>
          <t>25000</t>
        </is>
      </c>
      <c r="O100" s="5" t="inlineStr">
        <is>
          <t>65000</t>
        </is>
      </c>
      <c r="P100" s="6" t="inlineStr"/>
      <c r="Q100" s="5" t="inlineStr">
        <is>
          <t>Прил. 2</t>
        </is>
      </c>
    </row>
    <row r="101">
      <c r="A101" s="5" t="n">
        <v>86</v>
      </c>
      <c r="B101" s="5" t="inlineStr">
        <is>
          <t>Захлопки</t>
        </is>
      </c>
      <c r="C101" s="5" t="n">
        <v>100</v>
      </c>
      <c r="D101" s="5" t="n"/>
      <c r="E101" s="6" t="inlineStr">
        <is>
          <t>Захлопка фланцевая вертикальная Ду100</t>
        </is>
      </c>
      <c r="F101" s="5" t="inlineStr">
        <is>
          <t>529-03.003</t>
        </is>
      </c>
      <c r="G101" s="5" t="inlineStr">
        <is>
          <t>б/у</t>
        </is>
      </c>
      <c r="H101" s="6" t="inlineStr"/>
      <c r="I101" s="7" t="n">
        <v>33.7</v>
      </c>
      <c r="J101" s="8" t="n">
        <v>1</v>
      </c>
      <c r="K101" s="8" t="n">
        <v>1</v>
      </c>
      <c r="L101" s="8" t="n">
        <v>0</v>
      </c>
      <c r="M101" s="7" t="n">
        <v>33.7</v>
      </c>
      <c r="N101" s="5" t="inlineStr">
        <is>
          <t>по согласованию</t>
        </is>
      </c>
      <c r="O101" s="5" t="inlineStr"/>
      <c r="P101" s="6" t="inlineStr"/>
      <c r="Q101" s="5" t="inlineStr">
        <is>
          <t>Прил. 3</t>
        </is>
      </c>
    </row>
    <row r="102">
      <c r="A102" s="5" t="n">
        <v>87</v>
      </c>
      <c r="B102" s="5" t="inlineStr">
        <is>
          <t>Захлопки</t>
        </is>
      </c>
      <c r="C102" s="5" t="n">
        <v>100</v>
      </c>
      <c r="D102" s="5" t="n">
        <v>6</v>
      </c>
      <c r="E102" s="6" t="inlineStr">
        <is>
          <t>Захлопка фланцевая проходная Ду100Ру6,3</t>
        </is>
      </c>
      <c r="F102" s="5" t="inlineStr">
        <is>
          <t>529-35.1406-01</t>
        </is>
      </c>
      <c r="G102" s="5" t="inlineStr">
        <is>
          <t>б/у</t>
        </is>
      </c>
      <c r="H102" s="6" t="inlineStr"/>
      <c r="I102" s="7" t="n">
        <v>23.6</v>
      </c>
      <c r="J102" s="8" t="n">
        <v>1</v>
      </c>
      <c r="K102" s="8" t="n">
        <v>1</v>
      </c>
      <c r="L102" s="8" t="n">
        <v>0</v>
      </c>
      <c r="M102" s="7" t="n">
        <v>23.6</v>
      </c>
      <c r="N102" s="5" t="inlineStr">
        <is>
          <t>40000</t>
        </is>
      </c>
      <c r="O102" s="5" t="inlineStr">
        <is>
          <t>95000</t>
        </is>
      </c>
      <c r="P102" s="6" t="inlineStr"/>
      <c r="Q102" s="5" t="inlineStr">
        <is>
          <t>Прил. 2</t>
        </is>
      </c>
    </row>
    <row r="103">
      <c r="A103" s="5" t="n">
        <v>88</v>
      </c>
      <c r="B103" s="5" t="inlineStr">
        <is>
          <t>Захлопки</t>
        </is>
      </c>
      <c r="C103" s="5" t="n">
        <v>100</v>
      </c>
      <c r="D103" s="5" t="n">
        <v>6</v>
      </c>
      <c r="E103" s="6" t="inlineStr">
        <is>
          <t>Захлопка фланцевая угловая Ду100Ру6,3</t>
        </is>
      </c>
      <c r="F103" s="5" t="inlineStr">
        <is>
          <t>529-35-1405-01</t>
        </is>
      </c>
      <c r="G103" s="5" t="inlineStr">
        <is>
          <t>б/у</t>
        </is>
      </c>
      <c r="H103" s="6" t="inlineStr"/>
      <c r="I103" s="7" t="n">
        <v>26</v>
      </c>
      <c r="J103" s="8" t="n">
        <v>1</v>
      </c>
      <c r="K103" s="8" t="n">
        <v>1</v>
      </c>
      <c r="L103" s="8" t="n">
        <v>0</v>
      </c>
      <c r="M103" s="7" t="n">
        <v>26</v>
      </c>
      <c r="N103" s="5" t="inlineStr">
        <is>
          <t>40000</t>
        </is>
      </c>
      <c r="O103" s="5" t="inlineStr">
        <is>
          <t>95000</t>
        </is>
      </c>
      <c r="P103" s="6" t="inlineStr"/>
      <c r="Q103" s="5" t="inlineStr">
        <is>
          <t>Прил. 2</t>
        </is>
      </c>
    </row>
    <row r="104">
      <c r="A104" s="5" t="n">
        <v>89</v>
      </c>
      <c r="B104" s="5" t="inlineStr">
        <is>
          <t>Захлопки</t>
        </is>
      </c>
      <c r="C104" s="5" t="n">
        <v>100</v>
      </c>
      <c r="D104" s="5" t="n">
        <v>10</v>
      </c>
      <c r="E104" s="6" t="inlineStr">
        <is>
          <t>Захлопка фланцевая горизон. Ду100 Ру10</t>
        </is>
      </c>
      <c r="F104" s="5" t="inlineStr">
        <is>
          <t>529-03.074</t>
        </is>
      </c>
      <c r="G104" s="5" t="inlineStr">
        <is>
          <t>б/у</t>
        </is>
      </c>
      <c r="H104" s="6" t="inlineStr"/>
      <c r="I104" s="7" t="n">
        <v>22</v>
      </c>
      <c r="J104" s="8" t="n">
        <v>3</v>
      </c>
      <c r="K104" s="8" t="n">
        <v>3</v>
      </c>
      <c r="L104" s="8" t="n">
        <v>0</v>
      </c>
      <c r="M104" s="7" t="n">
        <v>66</v>
      </c>
      <c r="N104" s="5" t="inlineStr">
        <is>
          <t>40000</t>
        </is>
      </c>
      <c r="O104" s="5" t="inlineStr">
        <is>
          <t>95000</t>
        </is>
      </c>
      <c r="P104" s="6" t="inlineStr"/>
      <c r="Q104" s="5" t="inlineStr">
        <is>
          <t>Прил. 2</t>
        </is>
      </c>
    </row>
    <row r="105">
      <c r="A105" s="4" t="inlineStr">
        <is>
          <t>Коробки клапанные — 5 позиций, 35 шт, 1 886 кг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</row>
    <row r="106">
      <c r="A106" s="5" t="n">
        <v>90</v>
      </c>
      <c r="B106" s="5" t="inlineStr">
        <is>
          <t>Коробки клапанные</t>
        </is>
      </c>
      <c r="C106" s="5" t="n">
        <v>50</v>
      </c>
      <c r="D106" s="5" t="n"/>
      <c r="E106" s="6" t="inlineStr">
        <is>
          <t>Коробка 2-х клапановая фланцевая Ду50</t>
        </is>
      </c>
      <c r="F106" s="11" t="inlineStr"/>
      <c r="G106" s="5" t="inlineStr">
        <is>
          <t>б/у</t>
        </is>
      </c>
      <c r="H106" s="6" t="inlineStr"/>
      <c r="I106" s="7" t="n">
        <v>30</v>
      </c>
      <c r="J106" s="8" t="n">
        <v>2</v>
      </c>
      <c r="K106" s="8" t="n">
        <v>2</v>
      </c>
      <c r="L106" s="8" t="n">
        <v>0</v>
      </c>
      <c r="M106" s="7" t="n">
        <v>60</v>
      </c>
      <c r="N106" s="5" t="inlineStr">
        <is>
          <t>25000</t>
        </is>
      </c>
      <c r="O106" s="5" t="inlineStr">
        <is>
          <t>55-60000</t>
        </is>
      </c>
      <c r="P106" s="6" t="inlineStr"/>
      <c r="Q106" s="5" t="inlineStr">
        <is>
          <t>Прил. 2</t>
        </is>
      </c>
    </row>
    <row r="107">
      <c r="A107" s="5" t="n">
        <v>91</v>
      </c>
      <c r="B107" s="5" t="inlineStr">
        <is>
          <t>Коробки клапанные</t>
        </is>
      </c>
      <c r="C107" s="5" t="n">
        <v>50</v>
      </c>
      <c r="D107" s="5" t="n"/>
      <c r="E107" s="6" t="inlineStr">
        <is>
          <t>Коробка 3-х клап.фланцевая Ду50</t>
        </is>
      </c>
      <c r="F107" s="11" t="inlineStr"/>
      <c r="G107" s="5" t="inlineStr">
        <is>
          <t>б/у</t>
        </is>
      </c>
      <c r="H107" s="6" t="inlineStr"/>
      <c r="I107" s="7" t="n">
        <v>41</v>
      </c>
      <c r="J107" s="8" t="n">
        <v>3</v>
      </c>
      <c r="K107" s="8" t="n">
        <v>5</v>
      </c>
      <c r="L107" s="10" t="n">
        <v>2</v>
      </c>
      <c r="M107" s="7" t="n">
        <v>205</v>
      </c>
      <c r="N107" s="5" t="inlineStr">
        <is>
          <t>30-35</t>
        </is>
      </c>
      <c r="O107" s="5" t="inlineStr">
        <is>
          <t>75-95000</t>
        </is>
      </c>
      <c r="P107" s="6" t="inlineStr">
        <is>
          <t>перепроверить</t>
        </is>
      </c>
      <c r="Q107" s="5" t="inlineStr">
        <is>
          <t>Прил. 2</t>
        </is>
      </c>
    </row>
    <row r="108">
      <c r="A108" s="5" t="n">
        <v>92</v>
      </c>
      <c r="B108" s="5" t="inlineStr">
        <is>
          <t>Коробки клапанные</t>
        </is>
      </c>
      <c r="C108" s="5" t="n">
        <v>80</v>
      </c>
      <c r="D108" s="5" t="n"/>
      <c r="E108" s="6" t="inlineStr">
        <is>
          <t>Коробка 2-х клапановая фланцевая Ду80</t>
        </is>
      </c>
      <c r="F108" s="11" t="inlineStr"/>
      <c r="G108" s="5" t="inlineStr">
        <is>
          <t>б/у</t>
        </is>
      </c>
      <c r="H108" s="6" t="inlineStr"/>
      <c r="I108" s="7" t="n">
        <v>47.6</v>
      </c>
      <c r="J108" s="8" t="n">
        <v>13</v>
      </c>
      <c r="K108" s="8" t="n">
        <v>15</v>
      </c>
      <c r="L108" s="10" t="n">
        <v>2</v>
      </c>
      <c r="M108" s="7" t="n">
        <v>714</v>
      </c>
      <c r="N108" s="5" t="inlineStr">
        <is>
          <t>35000</t>
        </is>
      </c>
      <c r="O108" s="5" t="inlineStr">
        <is>
          <t>110-140000</t>
        </is>
      </c>
      <c r="P108" s="6" t="inlineStr">
        <is>
          <t>перепроверить</t>
        </is>
      </c>
      <c r="Q108" s="5" t="inlineStr">
        <is>
          <t>Прил. 2</t>
        </is>
      </c>
    </row>
    <row r="109">
      <c r="A109" s="5" t="n">
        <v>93</v>
      </c>
      <c r="B109" s="5" t="inlineStr">
        <is>
          <t>Коробки клапанные</t>
        </is>
      </c>
      <c r="C109" s="5" t="n">
        <v>80</v>
      </c>
      <c r="D109" s="5" t="n"/>
      <c r="E109" s="6" t="inlineStr">
        <is>
          <t>Коробка 3-х клап.фланцевая Ду80</t>
        </is>
      </c>
      <c r="F109" s="11" t="inlineStr"/>
      <c r="G109" s="5" t="inlineStr">
        <is>
          <t>б/у</t>
        </is>
      </c>
      <c r="H109" s="6" t="inlineStr"/>
      <c r="I109" s="7" t="n">
        <v>68</v>
      </c>
      <c r="J109" s="8" t="n">
        <v>8</v>
      </c>
      <c r="K109" s="8" t="n">
        <v>12</v>
      </c>
      <c r="L109" s="10" t="n">
        <v>4</v>
      </c>
      <c r="M109" s="7" t="n">
        <v>816</v>
      </c>
      <c r="N109" s="5" t="inlineStr">
        <is>
          <t>45-55</t>
        </is>
      </c>
      <c r="O109" s="5" t="inlineStr">
        <is>
          <t>140-160000</t>
        </is>
      </c>
      <c r="P109" s="6" t="inlineStr">
        <is>
          <t>перепроверить</t>
        </is>
      </c>
      <c r="Q109" s="5" t="inlineStr">
        <is>
          <t>Прил. 2</t>
        </is>
      </c>
    </row>
    <row r="110">
      <c r="A110" s="5" t="n">
        <v>94</v>
      </c>
      <c r="B110" s="5" t="inlineStr">
        <is>
          <t>Коробки клапанные</t>
        </is>
      </c>
      <c r="C110" s="5" t="n">
        <v>100</v>
      </c>
      <c r="D110" s="5" t="n"/>
      <c r="E110" s="6" t="inlineStr">
        <is>
          <t>Коробка 3-х клап.фланцевая Ду100</t>
        </is>
      </c>
      <c r="F110" s="11" t="inlineStr"/>
      <c r="G110" s="5" t="inlineStr">
        <is>
          <t>б/у</t>
        </is>
      </c>
      <c r="H110" s="6" t="inlineStr"/>
      <c r="I110" s="7" t="n">
        <v>90.5</v>
      </c>
      <c r="J110" s="8" t="n">
        <v>1</v>
      </c>
      <c r="K110" s="8" t="n">
        <v>1</v>
      </c>
      <c r="L110" s="8" t="n">
        <v>0</v>
      </c>
      <c r="M110" s="7" t="n">
        <v>90.5</v>
      </c>
      <c r="N110" s="5" t="inlineStr">
        <is>
          <t>80000</t>
        </is>
      </c>
      <c r="O110" s="5" t="inlineStr">
        <is>
          <t>180000</t>
        </is>
      </c>
      <c r="P110" s="6" t="inlineStr"/>
      <c r="Q110" s="5" t="inlineStr">
        <is>
          <t>Прил. 2</t>
        </is>
      </c>
    </row>
    <row r="111">
      <c r="A111" s="4" t="inlineStr">
        <is>
          <t>Краны — 7 позиций, 57 шт, 44 кг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</row>
    <row r="112">
      <c r="A112" s="5" t="n">
        <v>95</v>
      </c>
      <c r="B112" s="5" t="inlineStr">
        <is>
          <t>Краны</t>
        </is>
      </c>
      <c r="C112" s="5" t="n">
        <v>15</v>
      </c>
      <c r="D112" s="5" t="n">
        <v>25</v>
      </c>
      <c r="E112" s="6" t="inlineStr">
        <is>
          <t>Кран штуцерный спусковой самозапорный проходной Ду15 Ру25</t>
        </is>
      </c>
      <c r="F112" s="11" t="inlineStr"/>
      <c r="G112" s="5" t="inlineStr"/>
      <c r="H112" s="6" t="inlineStr"/>
      <c r="I112" s="7" t="n">
        <v>0</v>
      </c>
      <c r="J112" s="8" t="n">
        <v>4</v>
      </c>
      <c r="K112" s="8" t="n">
        <v>0</v>
      </c>
      <c r="L112" s="10" t="n">
        <v>-4</v>
      </c>
      <c r="M112" s="7" t="n">
        <v>0</v>
      </c>
      <c r="N112" s="5" t="inlineStr">
        <is>
          <t>4000</t>
        </is>
      </c>
      <c r="O112" s="5" t="inlineStr">
        <is>
          <t>16000</t>
        </is>
      </c>
      <c r="P112" s="6" t="inlineStr"/>
      <c r="Q112" s="5" t="inlineStr">
        <is>
          <t>Прил. 2</t>
        </is>
      </c>
    </row>
    <row r="113">
      <c r="A113" s="12" t="n">
        <v>96</v>
      </c>
      <c r="B113" s="12" t="inlineStr">
        <is>
          <t>Краны</t>
        </is>
      </c>
      <c r="C113" s="12" t="n">
        <v>20</v>
      </c>
      <c r="D113" s="12" t="n">
        <v>10</v>
      </c>
      <c r="E113" s="13" t="inlineStr">
        <is>
          <t>Кран штуцерный спусковой самозапорный проходной Ду20 Ру10</t>
        </is>
      </c>
      <c r="F113" s="12" t="inlineStr">
        <is>
          <t>528-3М129</t>
        </is>
      </c>
      <c r="G113" s="12" t="inlineStr">
        <is>
          <t>б/у</t>
        </is>
      </c>
      <c r="H113" s="13" t="inlineStr"/>
      <c r="I113" s="14" t="n">
        <v>1.8</v>
      </c>
      <c r="J113" s="15" t="n">
        <v>36</v>
      </c>
      <c r="K113" s="15" t="n">
        <v>40</v>
      </c>
      <c r="L113" s="15" t="n">
        <v>4</v>
      </c>
      <c r="M113" s="14" t="n">
        <v>0</v>
      </c>
      <c r="N113" s="12" t="inlineStr">
        <is>
          <t>6000</t>
        </is>
      </c>
      <c r="O113" s="12" t="inlineStr">
        <is>
          <t>20-22000</t>
        </is>
      </c>
      <c r="P113" s="13" t="inlineStr">
        <is>
          <t>отгружено 29.09.26</t>
        </is>
      </c>
      <c r="Q113" s="12" t="inlineStr">
        <is>
          <t>Прил. 2</t>
        </is>
      </c>
    </row>
    <row r="114">
      <c r="A114" s="5" t="n">
        <v>97</v>
      </c>
      <c r="B114" s="5" t="inlineStr">
        <is>
          <t>Краны</t>
        </is>
      </c>
      <c r="C114" s="5" t="n">
        <v>20</v>
      </c>
      <c r="D114" s="5" t="n">
        <v>16</v>
      </c>
      <c r="E114" s="6" t="inlineStr">
        <is>
          <t>Кран двухходовой штуцерный Ду20 Ру16</t>
        </is>
      </c>
      <c r="F114" s="5" t="inlineStr">
        <is>
          <t>536-3М5</t>
        </is>
      </c>
      <c r="G114" s="5" t="inlineStr">
        <is>
          <t>б/у</t>
        </is>
      </c>
      <c r="H114" s="6" t="inlineStr"/>
      <c r="I114" s="7" t="n">
        <v>1.2</v>
      </c>
      <c r="J114" s="8" t="n">
        <v>3</v>
      </c>
      <c r="K114" s="8" t="n">
        <v>6</v>
      </c>
      <c r="L114" s="10" t="n">
        <v>3</v>
      </c>
      <c r="M114" s="7" t="n">
        <v>7.2</v>
      </c>
      <c r="N114" s="5" t="inlineStr">
        <is>
          <t>5000</t>
        </is>
      </c>
      <c r="O114" s="5" t="inlineStr">
        <is>
          <t>20000</t>
        </is>
      </c>
      <c r="P114" s="6" t="inlineStr"/>
      <c r="Q114" s="5" t="inlineStr">
        <is>
          <t>Прил. 2</t>
        </is>
      </c>
    </row>
    <row r="115">
      <c r="A115" s="5" t="n">
        <v>98</v>
      </c>
      <c r="B115" s="5" t="inlineStr">
        <is>
          <t>Краны</t>
        </is>
      </c>
      <c r="C115" s="5" t="n">
        <v>20</v>
      </c>
      <c r="D115" s="5" t="n">
        <v>16</v>
      </c>
      <c r="E115" s="6" t="inlineStr">
        <is>
          <t>Кран трехходовой штуцерный Ду20 Ру16</t>
        </is>
      </c>
      <c r="F115" s="5" t="inlineStr">
        <is>
          <t>536-35.695</t>
        </is>
      </c>
      <c r="G115" s="5" t="inlineStr">
        <is>
          <t>новый</t>
        </is>
      </c>
      <c r="H115" s="6" t="inlineStr"/>
      <c r="I115" s="7" t="n">
        <v>2.8</v>
      </c>
      <c r="J115" s="8" t="n">
        <v>7</v>
      </c>
      <c r="K115" s="8" t="n">
        <v>7</v>
      </c>
      <c r="L115" s="8" t="n">
        <v>0</v>
      </c>
      <c r="M115" s="7" t="n">
        <v>19.6</v>
      </c>
      <c r="N115" s="5" t="inlineStr">
        <is>
          <t>5000</t>
        </is>
      </c>
      <c r="O115" s="5" t="inlineStr">
        <is>
          <t>20000</t>
        </is>
      </c>
      <c r="P115" s="6" t="inlineStr"/>
      <c r="Q115" s="5" t="inlineStr">
        <is>
          <t>Прил. 2</t>
        </is>
      </c>
    </row>
    <row r="116">
      <c r="A116" s="5" t="n">
        <v>99</v>
      </c>
      <c r="B116" s="5" t="inlineStr">
        <is>
          <t>Краны</t>
        </is>
      </c>
      <c r="C116" s="5" t="n">
        <v>32</v>
      </c>
      <c r="D116" s="5" t="n">
        <v>6</v>
      </c>
      <c r="E116" s="6" t="inlineStr">
        <is>
          <t>Кран двухходовой фланцевый Ду32 Ру6</t>
        </is>
      </c>
      <c r="F116" s="5" t="inlineStr">
        <is>
          <t>536-3М.72</t>
        </is>
      </c>
      <c r="G116" s="5" t="inlineStr">
        <is>
          <t>б/у</t>
        </is>
      </c>
      <c r="H116" s="6" t="inlineStr"/>
      <c r="I116" s="7" t="n">
        <v>5</v>
      </c>
      <c r="J116" s="8" t="n">
        <v>1</v>
      </c>
      <c r="K116" s="8" t="n">
        <v>1</v>
      </c>
      <c r="L116" s="8" t="n">
        <v>0</v>
      </c>
      <c r="M116" s="7" t="n">
        <v>5</v>
      </c>
      <c r="N116" s="5" t="inlineStr">
        <is>
          <t>по согласованию</t>
        </is>
      </c>
      <c r="O116" s="5" t="inlineStr"/>
      <c r="P116" s="6" t="inlineStr"/>
      <c r="Q116" s="5" t="inlineStr">
        <is>
          <t>Прил. 3</t>
        </is>
      </c>
    </row>
    <row r="117">
      <c r="A117" s="5" t="n">
        <v>100</v>
      </c>
      <c r="B117" s="5" t="inlineStr">
        <is>
          <t>Краны</t>
        </is>
      </c>
      <c r="C117" s="5" t="n">
        <v>32</v>
      </c>
      <c r="D117" s="5" t="n">
        <v>10</v>
      </c>
      <c r="E117" s="6" t="inlineStr">
        <is>
          <t>Кран трехходовой штуцерный Ду32 Ру10</t>
        </is>
      </c>
      <c r="F117" s="5" t="inlineStr">
        <is>
          <t>536-35.696</t>
        </is>
      </c>
      <c r="G117" s="5" t="inlineStr">
        <is>
          <t>новый</t>
        </is>
      </c>
      <c r="H117" s="6" t="inlineStr"/>
      <c r="I117" s="7" t="n">
        <v>4.1</v>
      </c>
      <c r="J117" s="8" t="n">
        <v>2</v>
      </c>
      <c r="K117" s="8" t="n">
        <v>2</v>
      </c>
      <c r="L117" s="8" t="n">
        <v>0</v>
      </c>
      <c r="M117" s="7" t="n">
        <v>8.199999999999999</v>
      </c>
      <c r="N117" s="5" t="inlineStr">
        <is>
          <t>6500</t>
        </is>
      </c>
      <c r="O117" s="5" t="inlineStr">
        <is>
          <t>24000</t>
        </is>
      </c>
      <c r="P117" s="6" t="inlineStr"/>
      <c r="Q117" s="5" t="inlineStr">
        <is>
          <t>Прил. 2</t>
        </is>
      </c>
    </row>
    <row r="118">
      <c r="A118" s="5" t="n">
        <v>101</v>
      </c>
      <c r="B118" s="5" t="inlineStr">
        <is>
          <t>Краны</t>
        </is>
      </c>
      <c r="C118" s="5" t="n">
        <v>32</v>
      </c>
      <c r="D118" s="5" t="n">
        <v>10</v>
      </c>
      <c r="E118" s="6" t="inlineStr">
        <is>
          <t>Кран трехходовой штуцерный Ду32 Ру10</t>
        </is>
      </c>
      <c r="F118" s="5" t="inlineStr">
        <is>
          <t>536-35.696</t>
        </is>
      </c>
      <c r="G118" s="5" t="inlineStr">
        <is>
          <t>б/у</t>
        </is>
      </c>
      <c r="H118" s="6" t="inlineStr"/>
      <c r="I118" s="7" t="n">
        <v>4.1</v>
      </c>
      <c r="J118" s="8" t="n">
        <v>0</v>
      </c>
      <c r="K118" s="8" t="n">
        <v>1</v>
      </c>
      <c r="L118" s="10" t="n">
        <v>1</v>
      </c>
      <c r="M118" s="7" t="n">
        <v>4.1</v>
      </c>
      <c r="N118" s="5" t="inlineStr"/>
      <c r="O118" s="5" t="inlineStr"/>
      <c r="P118" s="6" t="inlineStr"/>
      <c r="Q118" s="5" t="inlineStr">
        <is>
          <t>Прил. 2</t>
        </is>
      </c>
    </row>
    <row r="119">
      <c r="A119" s="4" t="inlineStr">
        <is>
          <t>Стаканы переборочные — 4 позиций, 36 шт, 52 кг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</row>
    <row r="120">
      <c r="A120" s="5" t="n">
        <v>102</v>
      </c>
      <c r="B120" s="5" t="inlineStr">
        <is>
          <t>Стаканы переборочные</t>
        </is>
      </c>
      <c r="C120" s="5" t="n">
        <v>10</v>
      </c>
      <c r="D120" s="5" t="n">
        <v>100</v>
      </c>
      <c r="E120" s="6" t="inlineStr">
        <is>
          <t>Стакан переборочный Ду10Ру100</t>
        </is>
      </c>
      <c r="F120" s="5" t="inlineStr">
        <is>
          <t>554-35.265</t>
        </is>
      </c>
      <c r="G120" s="5" t="inlineStr">
        <is>
          <t>новый</t>
        </is>
      </c>
      <c r="H120" s="6" t="inlineStr"/>
      <c r="I120" s="7" t="n">
        <v>0.6</v>
      </c>
      <c r="J120" s="8" t="n">
        <v>5</v>
      </c>
      <c r="K120" s="8" t="n">
        <v>5</v>
      </c>
      <c r="L120" s="8" t="n">
        <v>0</v>
      </c>
      <c r="M120" s="7" t="n">
        <v>3</v>
      </c>
      <c r="N120" s="5" t="inlineStr">
        <is>
          <t>по согласованию</t>
        </is>
      </c>
      <c r="O120" s="5" t="inlineStr"/>
      <c r="P120" s="6" t="inlineStr"/>
      <c r="Q120" s="5" t="inlineStr">
        <is>
          <t>Прил. 3</t>
        </is>
      </c>
    </row>
    <row r="121">
      <c r="A121" s="5" t="n">
        <v>103</v>
      </c>
      <c r="B121" s="5" t="inlineStr">
        <is>
          <t>Стаканы переборочные</t>
        </is>
      </c>
      <c r="C121" s="5" t="n">
        <v>20</v>
      </c>
      <c r="D121" s="5" t="n">
        <v>100</v>
      </c>
      <c r="E121" s="6" t="inlineStr">
        <is>
          <t>Стакан переборочный Ду20Ру100</t>
        </is>
      </c>
      <c r="F121" s="5" t="inlineStr">
        <is>
          <t>554-03.909-03</t>
        </is>
      </c>
      <c r="G121" s="5" t="inlineStr">
        <is>
          <t>новый</t>
        </is>
      </c>
      <c r="H121" s="6" t="inlineStr"/>
      <c r="I121" s="7" t="n">
        <v>1.7</v>
      </c>
      <c r="J121" s="8" t="n">
        <v>3</v>
      </c>
      <c r="K121" s="8" t="n">
        <v>3</v>
      </c>
      <c r="L121" s="8" t="n">
        <v>0</v>
      </c>
      <c r="M121" s="7" t="n">
        <v>5.1</v>
      </c>
      <c r="N121" s="5" t="inlineStr">
        <is>
          <t>по согласованию</t>
        </is>
      </c>
      <c r="O121" s="5" t="inlineStr"/>
      <c r="P121" s="6" t="inlineStr"/>
      <c r="Q121" s="5" t="inlineStr">
        <is>
          <t>Прил. 3</t>
        </is>
      </c>
    </row>
    <row r="122">
      <c r="A122" s="5" t="n">
        <v>104</v>
      </c>
      <c r="B122" s="5" t="inlineStr">
        <is>
          <t>Стаканы переборочные</t>
        </is>
      </c>
      <c r="C122" s="5" t="n">
        <v>20</v>
      </c>
      <c r="D122" s="5" t="n">
        <v>100</v>
      </c>
      <c r="E122" s="6" t="inlineStr">
        <is>
          <t>Стакан переборочный Ду20Ру100</t>
        </is>
      </c>
      <c r="F122" s="5" t="inlineStr">
        <is>
          <t>554-03.905-06</t>
        </is>
      </c>
      <c r="G122" s="5" t="inlineStr">
        <is>
          <t>новый</t>
        </is>
      </c>
      <c r="H122" s="6" t="inlineStr"/>
      <c r="I122" s="7" t="n">
        <v>1.5</v>
      </c>
      <c r="J122" s="8" t="n">
        <v>8</v>
      </c>
      <c r="K122" s="8" t="n">
        <v>26</v>
      </c>
      <c r="L122" s="10" t="n">
        <v>18</v>
      </c>
      <c r="M122" s="7" t="n">
        <v>39</v>
      </c>
      <c r="N122" s="5" t="inlineStr">
        <is>
          <t>по согласованию</t>
        </is>
      </c>
      <c r="O122" s="5" t="inlineStr"/>
      <c r="P122" s="6" t="inlineStr"/>
      <c r="Q122" s="5" t="inlineStr">
        <is>
          <t>Прил. 3</t>
        </is>
      </c>
    </row>
    <row r="123">
      <c r="A123" s="5" t="n">
        <v>105</v>
      </c>
      <c r="B123" s="5" t="inlineStr">
        <is>
          <t>Стаканы переборочные</t>
        </is>
      </c>
      <c r="C123" s="5" t="n">
        <v>25</v>
      </c>
      <c r="D123" s="5" t="n">
        <v>100</v>
      </c>
      <c r="E123" s="6" t="inlineStr">
        <is>
          <t>Стакан переборочный Ду25Ру100</t>
        </is>
      </c>
      <c r="F123" s="5" t="inlineStr">
        <is>
          <t>554-35.156</t>
        </is>
      </c>
      <c r="G123" s="5" t="inlineStr">
        <is>
          <t>новый</t>
        </is>
      </c>
      <c r="H123" s="6" t="inlineStr"/>
      <c r="I123" s="7" t="n">
        <v>2.5</v>
      </c>
      <c r="J123" s="8" t="n">
        <v>2</v>
      </c>
      <c r="K123" s="8" t="n">
        <v>2</v>
      </c>
      <c r="L123" s="8" t="n">
        <v>0</v>
      </c>
      <c r="M123" s="7" t="n">
        <v>5</v>
      </c>
      <c r="N123" s="5" t="inlineStr">
        <is>
          <t>по согласованию</t>
        </is>
      </c>
      <c r="O123" s="5" t="inlineStr"/>
      <c r="P123" s="6" t="inlineStr"/>
      <c r="Q123" s="5" t="inlineStr">
        <is>
          <t>Прил. 3</t>
        </is>
      </c>
    </row>
    <row r="124">
      <c r="A124" s="4" t="inlineStr">
        <is>
          <t>Пусковые клапаны — 2 позиций, 15 шт, 110 кг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</row>
    <row r="125">
      <c r="A125" s="5" t="n">
        <v>106</v>
      </c>
      <c r="B125" s="5" t="inlineStr">
        <is>
          <t>Пусковые клапаны</t>
        </is>
      </c>
      <c r="C125" s="5" t="n">
        <v>20</v>
      </c>
      <c r="D125" s="5" t="n">
        <v>125</v>
      </c>
      <c r="E125" s="6" t="inlineStr">
        <is>
          <t>Клапан пусковой Ду20Ру125</t>
        </is>
      </c>
      <c r="F125" s="5" t="inlineStr">
        <is>
          <t>587-03.080</t>
        </is>
      </c>
      <c r="G125" s="5" t="inlineStr">
        <is>
          <t>б/у</t>
        </is>
      </c>
      <c r="H125" s="9" t="inlineStr">
        <is>
          <t>воздух высокого давления Ру125</t>
        </is>
      </c>
      <c r="I125" s="7" t="n">
        <v>5.6</v>
      </c>
      <c r="J125" s="8" t="n">
        <v>7</v>
      </c>
      <c r="K125" s="8" t="n">
        <v>7</v>
      </c>
      <c r="L125" s="8" t="n">
        <v>0</v>
      </c>
      <c r="M125" s="7" t="n">
        <v>39.2</v>
      </c>
      <c r="N125" s="5" t="inlineStr">
        <is>
          <t>25000</t>
        </is>
      </c>
      <c r="O125" s="5" t="inlineStr">
        <is>
          <t>45000-65000</t>
        </is>
      </c>
      <c r="P125" s="6" t="inlineStr"/>
      <c r="Q125" s="5" t="inlineStr">
        <is>
          <t>Прил. 2</t>
        </is>
      </c>
    </row>
    <row r="126">
      <c r="A126" s="5" t="n">
        <v>107</v>
      </c>
      <c r="B126" s="5" t="inlineStr">
        <is>
          <t>Пусковые клапаны</t>
        </is>
      </c>
      <c r="C126" s="5" t="n">
        <v>32</v>
      </c>
      <c r="D126" s="5" t="n">
        <v>125</v>
      </c>
      <c r="E126" s="6" t="inlineStr">
        <is>
          <t>Клапан пусковой Ду32Ру125</t>
        </is>
      </c>
      <c r="F126" s="5" t="inlineStr">
        <is>
          <t>587-03.082</t>
        </is>
      </c>
      <c r="G126" s="5" t="inlineStr">
        <is>
          <t>б/у</t>
        </is>
      </c>
      <c r="H126" s="9" t="inlineStr">
        <is>
          <t>воздух высокого давления Ру125</t>
        </is>
      </c>
      <c r="I126" s="7" t="n">
        <v>8.800000000000001</v>
      </c>
      <c r="J126" s="8" t="n">
        <v>8</v>
      </c>
      <c r="K126" s="8" t="n">
        <v>8</v>
      </c>
      <c r="L126" s="8" t="n">
        <v>0</v>
      </c>
      <c r="M126" s="7" t="n">
        <v>70.40000000000001</v>
      </c>
      <c r="N126" s="5" t="inlineStr">
        <is>
          <t>30000</t>
        </is>
      </c>
      <c r="O126" s="5" t="inlineStr">
        <is>
          <t>50000-70000</t>
        </is>
      </c>
      <c r="P126" s="6" t="inlineStr"/>
      <c r="Q126" s="5" t="inlineStr">
        <is>
          <t>Прил. 2</t>
        </is>
      </c>
    </row>
    <row r="127">
      <c r="A127" s="4" t="inlineStr">
        <is>
          <t>Редукционные клапаны — 3 позиций, 11 шт, 258 кг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</row>
    <row r="128">
      <c r="A128" s="5" t="n">
        <v>108</v>
      </c>
      <c r="B128" s="5" t="inlineStr">
        <is>
          <t>Редукционные клапаны</t>
        </is>
      </c>
      <c r="C128" s="5" t="n">
        <v>10</v>
      </c>
      <c r="D128" s="5" t="n">
        <v>200</v>
      </c>
      <c r="E128" s="6" t="inlineStr">
        <is>
          <t>Клапан редукционный штуцерный угловой Ду10Ру200…30 с манометром</t>
        </is>
      </c>
      <c r="F128" s="5" t="inlineStr">
        <is>
          <t>525-35.2634</t>
        </is>
      </c>
      <c r="G128" s="5" t="inlineStr">
        <is>
          <t>б/у?</t>
        </is>
      </c>
      <c r="H128" s="9" t="inlineStr">
        <is>
          <t>воздух высокого давления Ру200</t>
        </is>
      </c>
      <c r="I128" s="7" t="n">
        <v>7.5</v>
      </c>
      <c r="J128" s="8" t="n">
        <v>1</v>
      </c>
      <c r="K128" s="8" t="n">
        <v>1</v>
      </c>
      <c r="L128" s="8" t="n">
        <v>0</v>
      </c>
      <c r="M128" s="7" t="n">
        <v>7.5</v>
      </c>
      <c r="N128" s="5" t="inlineStr">
        <is>
          <t>15000</t>
        </is>
      </c>
      <c r="O128" s="5" t="inlineStr">
        <is>
          <t>45000</t>
        </is>
      </c>
      <c r="P128" s="6" t="inlineStr"/>
      <c r="Q128" s="5" t="inlineStr">
        <is>
          <t>Прил. 2</t>
        </is>
      </c>
    </row>
    <row r="129">
      <c r="A129" s="5" t="n">
        <v>109</v>
      </c>
      <c r="B129" s="5" t="inlineStr">
        <is>
          <t>Редукционные клапаны</t>
        </is>
      </c>
      <c r="C129" s="5" t="n">
        <v>10</v>
      </c>
      <c r="D129" s="5" t="n">
        <v>200</v>
      </c>
      <c r="E129" s="6" t="inlineStr">
        <is>
          <t>Клапан редукционный штуцерный угловой Ду10Ру200…30 с манометром</t>
        </is>
      </c>
      <c r="F129" s="5" t="inlineStr">
        <is>
          <t>525-35.2634-04</t>
        </is>
      </c>
      <c r="G129" s="5" t="inlineStr">
        <is>
          <t>новый</t>
        </is>
      </c>
      <c r="H129" s="9" t="inlineStr">
        <is>
          <t>воздух высокого давления Ру200</t>
        </is>
      </c>
      <c r="I129" s="7" t="n">
        <v>7.5</v>
      </c>
      <c r="J129" s="8" t="n">
        <v>1</v>
      </c>
      <c r="K129" s="8" t="n">
        <v>1</v>
      </c>
      <c r="L129" s="8" t="n">
        <v>0</v>
      </c>
      <c r="M129" s="7" t="n">
        <v>7.5</v>
      </c>
      <c r="N129" s="5" t="inlineStr">
        <is>
          <t>15000</t>
        </is>
      </c>
      <c r="O129" s="5" t="inlineStr">
        <is>
          <t>45000</t>
        </is>
      </c>
      <c r="P129" s="6" t="inlineStr"/>
      <c r="Q129" s="5" t="inlineStr">
        <is>
          <t>Прил. 2</t>
        </is>
      </c>
    </row>
    <row r="130">
      <c r="A130" s="5" t="n">
        <v>110</v>
      </c>
      <c r="B130" s="5" t="inlineStr">
        <is>
          <t>Редукционные клапаны</t>
        </is>
      </c>
      <c r="C130" s="5" t="n">
        <v>20</v>
      </c>
      <c r="D130" s="5" t="n">
        <v>400</v>
      </c>
      <c r="E130" s="6" t="inlineStr">
        <is>
          <t>Клапан редукционный штуц.проход.односедельный Ду20Ру400 у входа</t>
        </is>
      </c>
      <c r="F130" s="5" t="inlineStr">
        <is>
          <t>525-03.044</t>
        </is>
      </c>
      <c r="G130" s="5" t="inlineStr">
        <is>
          <t>новый ?</t>
        </is>
      </c>
      <c r="H130" s="9" t="inlineStr">
        <is>
          <t>воздух высокого давления Ру400</t>
        </is>
      </c>
      <c r="I130" s="7" t="n">
        <v>27</v>
      </c>
      <c r="J130" s="8" t="n">
        <v>9</v>
      </c>
      <c r="K130" s="8" t="n">
        <v>9</v>
      </c>
      <c r="L130" s="8" t="n">
        <v>0</v>
      </c>
      <c r="M130" s="7" t="n">
        <v>243</v>
      </c>
      <c r="N130" s="5" t="inlineStr">
        <is>
          <t>35000</t>
        </is>
      </c>
      <c r="O130" s="5" t="inlineStr">
        <is>
          <t>90-120000</t>
        </is>
      </c>
      <c r="P130" s="6" t="inlineStr">
        <is>
          <t>еще раз посчитать</t>
        </is>
      </c>
      <c r="Q130" s="5" t="inlineStr">
        <is>
          <t>Прил. 2</t>
        </is>
      </c>
    </row>
    <row r="131">
      <c r="A131" s="4" t="inlineStr">
        <is>
          <t>Паровые клапаны — 1 позиций, 1 шт, 33 кг</t>
        </is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</row>
    <row r="132">
      <c r="A132" s="5" t="n">
        <v>111</v>
      </c>
      <c r="B132" s="5" t="inlineStr">
        <is>
          <t>Паровые клапаны</t>
        </is>
      </c>
      <c r="C132" s="5" t="n">
        <v>65</v>
      </c>
      <c r="D132" s="5" t="n">
        <v>10</v>
      </c>
      <c r="E132" s="6" t="inlineStr">
        <is>
          <t>Клапан паровой Ду65Ру10</t>
        </is>
      </c>
      <c r="F132" s="5" t="inlineStr">
        <is>
          <t>581-03.034</t>
        </is>
      </c>
      <c r="G132" s="5" t="inlineStr">
        <is>
          <t>новый?</t>
        </is>
      </c>
      <c r="H132" s="9" t="inlineStr">
        <is>
          <t>котельная</t>
        </is>
      </c>
      <c r="I132" s="7" t="n">
        <v>32.6</v>
      </c>
      <c r="J132" s="8" t="n">
        <v>1</v>
      </c>
      <c r="K132" s="8" t="n">
        <v>1</v>
      </c>
      <c r="L132" s="8" t="n">
        <v>0</v>
      </c>
      <c r="M132" s="7" t="n">
        <v>32.6</v>
      </c>
      <c r="N132" s="5" t="inlineStr">
        <is>
          <t>50-60</t>
        </is>
      </c>
      <c r="O132" s="5" t="inlineStr">
        <is>
          <t>120-160000</t>
        </is>
      </c>
      <c r="P132" s="6" t="inlineStr"/>
      <c r="Q132" s="5" t="inlineStr">
        <is>
          <t>Прил. 2</t>
        </is>
      </c>
    </row>
    <row r="133">
      <c r="A133" s="4" t="inlineStr">
        <is>
          <t>Электромагнитные клапаны — 3 позиций, 2 шт, 24 кг</t>
        </is>
      </c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</row>
    <row r="134">
      <c r="A134" s="5" t="n">
        <v>112</v>
      </c>
      <c r="B134" s="5" t="inlineStr">
        <is>
          <t>Электромагнитные клапаны</t>
        </is>
      </c>
      <c r="C134" s="5" t="n">
        <v>20</v>
      </c>
      <c r="D134" s="5" t="n"/>
      <c r="E134" s="6" t="inlineStr">
        <is>
          <t>Клапан с электромагнитным ручным управлением Ду20/10 перем. 220В</t>
        </is>
      </c>
      <c r="F134" s="5" t="inlineStr">
        <is>
          <t>587-35.8490-04</t>
        </is>
      </c>
      <c r="G134" s="5" t="inlineStr">
        <is>
          <t>новый ?</t>
        </is>
      </c>
      <c r="H134" s="9" t="inlineStr">
        <is>
          <t>электромагнитный</t>
        </is>
      </c>
      <c r="I134" s="7" t="n">
        <v>11.6</v>
      </c>
      <c r="J134" s="8" t="n">
        <v>1</v>
      </c>
      <c r="K134" s="8" t="n">
        <v>1</v>
      </c>
      <c r="L134" s="8" t="n">
        <v>0</v>
      </c>
      <c r="M134" s="7" t="n">
        <v>11.6</v>
      </c>
      <c r="N134" s="5" t="inlineStr">
        <is>
          <t>25000</t>
        </is>
      </c>
      <c r="O134" s="5" t="inlineStr">
        <is>
          <t>55000</t>
        </is>
      </c>
      <c r="P134" s="6" t="inlineStr"/>
      <c r="Q134" s="5" t="inlineStr">
        <is>
          <t>Прил. 2</t>
        </is>
      </c>
    </row>
    <row r="135">
      <c r="A135" s="5" t="n">
        <v>113</v>
      </c>
      <c r="B135" s="5" t="inlineStr">
        <is>
          <t>Электромагнитные клапаны</t>
        </is>
      </c>
      <c r="C135" s="5" t="n"/>
      <c r="D135" s="5" t="n"/>
      <c r="E135" s="6" t="inlineStr">
        <is>
          <t>Клапан с электромагнитным ручным управлением</t>
        </is>
      </c>
      <c r="F135" s="5" t="inlineStr">
        <is>
          <t>587-182.126</t>
        </is>
      </c>
      <c r="G135" s="5" t="inlineStr">
        <is>
          <t>новый</t>
        </is>
      </c>
      <c r="H135" s="9" t="inlineStr">
        <is>
          <t>электромагнитный</t>
        </is>
      </c>
      <c r="I135" s="7" t="n">
        <v>12.3</v>
      </c>
      <c r="J135" s="8" t="n">
        <v>1</v>
      </c>
      <c r="K135" s="8" t="n">
        <v>1</v>
      </c>
      <c r="L135" s="8" t="n">
        <v>0</v>
      </c>
      <c r="M135" s="7" t="n">
        <v>12.3</v>
      </c>
      <c r="N135" s="5" t="inlineStr">
        <is>
          <t>по согласованию</t>
        </is>
      </c>
      <c r="O135" s="5" t="inlineStr"/>
      <c r="P135" s="6" t="inlineStr"/>
      <c r="Q135" s="5" t="inlineStr">
        <is>
          <t>Прил. 3</t>
        </is>
      </c>
    </row>
    <row r="136">
      <c r="A136" s="5" t="n">
        <v>114</v>
      </c>
      <c r="B136" s="5" t="inlineStr">
        <is>
          <t>Электромагнитные клапаны</t>
        </is>
      </c>
      <c r="C136" s="5" t="n"/>
      <c r="D136" s="5" t="n"/>
      <c r="E136" s="6" t="inlineStr">
        <is>
          <t>Клапан фреоновый саленоидный</t>
        </is>
      </c>
      <c r="F136" s="11" t="inlineStr"/>
      <c r="G136" s="5" t="inlineStr"/>
      <c r="H136" s="9" t="inlineStr">
        <is>
          <t>электромагнитный</t>
        </is>
      </c>
      <c r="I136" s="7" t="n"/>
      <c r="J136" s="8" t="n">
        <v>2</v>
      </c>
      <c r="K136" s="8" t="n"/>
      <c r="L136" s="8" t="n"/>
      <c r="M136" s="7" t="n">
        <v>0</v>
      </c>
      <c r="N136" s="5" t="inlineStr">
        <is>
          <t>по согласованию</t>
        </is>
      </c>
      <c r="O136" s="5" t="inlineStr"/>
      <c r="P136" s="6" t="inlineStr"/>
      <c r="Q136" s="5" t="inlineStr">
        <is>
          <t>Прил. 3</t>
        </is>
      </c>
    </row>
    <row r="137">
      <c r="A137" s="4" t="inlineStr">
        <is>
          <t>Педальные клапаны — 2 позиций, 63 шт, 346 кг</t>
        </is>
      </c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</row>
    <row r="138">
      <c r="A138" s="5" t="n">
        <v>115</v>
      </c>
      <c r="B138" s="5" t="inlineStr">
        <is>
          <t>Педальные клапаны</t>
        </is>
      </c>
      <c r="C138" s="5" t="n">
        <v>25</v>
      </c>
      <c r="D138" s="5" t="n"/>
      <c r="E138" s="6" t="inlineStr">
        <is>
          <t>Клапан педальный Ду25</t>
        </is>
      </c>
      <c r="F138" s="5" t="inlineStr">
        <is>
          <t>М528-03.001</t>
        </is>
      </c>
      <c r="G138" s="5" t="inlineStr">
        <is>
          <t>б/у</t>
        </is>
      </c>
      <c r="H138" s="9" t="inlineStr">
        <is>
          <t>педальный</t>
        </is>
      </c>
      <c r="I138" s="7" t="n">
        <v>5.5</v>
      </c>
      <c r="J138" s="8" t="n">
        <v>1</v>
      </c>
      <c r="K138" s="8" t="n">
        <v>1</v>
      </c>
      <c r="L138" s="8" t="n">
        <v>0</v>
      </c>
      <c r="M138" s="7" t="n">
        <v>5.5</v>
      </c>
      <c r="N138" s="5" t="inlineStr">
        <is>
          <t>15000</t>
        </is>
      </c>
      <c r="O138" s="5" t="inlineStr">
        <is>
          <t>30000</t>
        </is>
      </c>
      <c r="P138" s="6" t="inlineStr"/>
      <c r="Q138" s="5" t="inlineStr">
        <is>
          <t>Прил. 2</t>
        </is>
      </c>
    </row>
    <row r="139">
      <c r="A139" s="5" t="n">
        <v>116</v>
      </c>
      <c r="B139" s="5" t="inlineStr">
        <is>
          <t>Педальные клапаны</t>
        </is>
      </c>
      <c r="C139" s="5" t="n">
        <v>25</v>
      </c>
      <c r="D139" s="5" t="n"/>
      <c r="E139" s="6" t="inlineStr">
        <is>
          <t>Клапан педальный Ду25 новый приход</t>
        </is>
      </c>
      <c r="F139" s="5" t="inlineStr">
        <is>
          <t>М528-03.001</t>
        </is>
      </c>
      <c r="G139" s="5" t="inlineStr">
        <is>
          <t>новый</t>
        </is>
      </c>
      <c r="H139" s="9" t="inlineStr">
        <is>
          <t>педальный</t>
        </is>
      </c>
      <c r="I139" s="7" t="n">
        <v>5.5</v>
      </c>
      <c r="J139" s="8" t="n">
        <v>62</v>
      </c>
      <c r="K139" s="8" t="n">
        <v>62</v>
      </c>
      <c r="L139" s="8" t="n">
        <v>0</v>
      </c>
      <c r="M139" s="7" t="n">
        <v>341</v>
      </c>
      <c r="N139" s="5" t="inlineStr">
        <is>
          <t>15000</t>
        </is>
      </c>
      <c r="O139" s="5" t="inlineStr">
        <is>
          <t>30000</t>
        </is>
      </c>
      <c r="P139" s="6" t="inlineStr"/>
      <c r="Q139" s="5" t="inlineStr">
        <is>
          <t>Прил. 2</t>
        </is>
      </c>
    </row>
    <row r="140">
      <c r="A140" s="4" t="inlineStr">
        <is>
          <t>Эжекторы — 1 позиций, 1 шт, 4 кг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</row>
    <row r="141">
      <c r="A141" s="5" t="n">
        <v>117</v>
      </c>
      <c r="B141" s="5" t="inlineStr">
        <is>
          <t>Эжекторы</t>
        </is>
      </c>
      <c r="C141" s="5" t="n"/>
      <c r="D141" s="5" t="n"/>
      <c r="E141" s="6" t="inlineStr">
        <is>
          <t>Эжектор ВЭЖ 6,3</t>
        </is>
      </c>
      <c r="F141" s="11" t="inlineStr"/>
      <c r="G141" s="5" t="inlineStr">
        <is>
          <t>б/у</t>
        </is>
      </c>
      <c r="H141" s="6" t="inlineStr"/>
      <c r="I141" s="7" t="n">
        <v>4</v>
      </c>
      <c r="J141" s="8" t="n">
        <v>1</v>
      </c>
      <c r="K141" s="8" t="n">
        <v>1</v>
      </c>
      <c r="L141" s="8" t="n">
        <v>0</v>
      </c>
      <c r="M141" s="7" t="n">
        <v>4</v>
      </c>
      <c r="N141" s="5" t="inlineStr">
        <is>
          <t>по согласованию</t>
        </is>
      </c>
      <c r="O141" s="5" t="inlineStr"/>
      <c r="P141" s="6" t="inlineStr"/>
      <c r="Q141" s="5" t="inlineStr">
        <is>
          <t>Прил. 3</t>
        </is>
      </c>
    </row>
    <row r="142">
      <c r="A142" s="4" t="inlineStr">
        <is>
          <t>Без описания — уточнить — 2 позиций, 4 шт, 14 кг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</row>
    <row r="143">
      <c r="A143" s="5" t="n">
        <v>118</v>
      </c>
      <c r="B143" s="5" t="inlineStr">
        <is>
          <t>Без описания — уточнить</t>
        </is>
      </c>
      <c r="C143" s="5" t="n">
        <v>20</v>
      </c>
      <c r="D143" s="5" t="n"/>
      <c r="E143" s="6" t="inlineStr">
        <is>
          <t>Клапан Ду20/10</t>
        </is>
      </c>
      <c r="F143" s="5" t="inlineStr">
        <is>
          <t>581-С6.73</t>
        </is>
      </c>
      <c r="G143" s="5" t="inlineStr">
        <is>
          <t>новая</t>
        </is>
      </c>
      <c r="H143" s="6" t="inlineStr"/>
      <c r="I143" s="7" t="n">
        <v>2.4</v>
      </c>
      <c r="J143" s="8" t="n">
        <v>3</v>
      </c>
      <c r="K143" s="8" t="n">
        <v>3</v>
      </c>
      <c r="L143" s="8" t="n">
        <v>0</v>
      </c>
      <c r="M143" s="7" t="n">
        <v>7.2</v>
      </c>
      <c r="N143" s="5" t="inlineStr">
        <is>
          <t>по согласованию</t>
        </is>
      </c>
      <c r="O143" s="5" t="inlineStr"/>
      <c r="P143" s="6" t="inlineStr"/>
      <c r="Q143" s="5" t="inlineStr">
        <is>
          <t>Прил. 3</t>
        </is>
      </c>
    </row>
    <row r="144">
      <c r="A144" s="5" t="n">
        <v>119</v>
      </c>
      <c r="B144" s="5" t="inlineStr">
        <is>
          <t>Без описания — уточнить</t>
        </is>
      </c>
      <c r="C144" s="5" t="n"/>
      <c r="D144" s="5" t="n">
        <v>18</v>
      </c>
      <c r="E144" s="6" t="inlineStr">
        <is>
          <t>Кланан Рр18-2 45/25</t>
        </is>
      </c>
      <c r="F144" s="5" t="inlineStr">
        <is>
          <t>2619802505</t>
        </is>
      </c>
      <c r="G144" s="5" t="inlineStr">
        <is>
          <t>новая</t>
        </is>
      </c>
      <c r="H144" s="6" t="inlineStr"/>
      <c r="I144" s="7" t="n">
        <v>6.8</v>
      </c>
      <c r="J144" s="8" t="n">
        <v>1</v>
      </c>
      <c r="K144" s="8" t="n">
        <v>1</v>
      </c>
      <c r="L144" s="8" t="n">
        <v>0</v>
      </c>
      <c r="M144" s="7" t="n">
        <v>6.8</v>
      </c>
      <c r="N144" s="5" t="inlineStr">
        <is>
          <t>по согласованию</t>
        </is>
      </c>
      <c r="O144" s="5" t="inlineStr"/>
      <c r="P144" s="6" t="inlineStr"/>
      <c r="Q144" s="5" t="inlineStr">
        <is>
          <t>Прил. 3</t>
        </is>
      </c>
    </row>
    <row r="145">
      <c r="E145" s="16" t="inlineStr">
        <is>
          <t>ИТОГО</t>
        </is>
      </c>
      <c r="J145" s="17">
        <f>SUM(J5:J144)</f>
        <v/>
      </c>
      <c r="K145" s="17">
        <f>SUM(K5:K144)</f>
        <v/>
      </c>
      <c r="M145" s="17">
        <f>SUM(M5:M144)</f>
        <v/>
      </c>
    </row>
  </sheetData>
  <autoFilter ref="A4:Q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5" customWidth="1" min="5" max="5"/>
    <col width="14" customWidth="1" min="6" max="6"/>
    <col width="11" customWidth="1" min="7" max="7"/>
  </cols>
  <sheetData>
    <row r="1">
      <c r="A1" s="1" t="inlineStr">
        <is>
          <t>Сколько чего по группам</t>
        </is>
      </c>
    </row>
    <row r="2">
      <c r="A2" s="2" t="inlineStr">
        <is>
          <t>Считаем по колонке «Кол-во факт». Цены в исходнике записаны диапазонами и в разных единицах, поэтому суммы по деньгам здесь нет.</t>
        </is>
      </c>
    </row>
    <row r="4" ht="30" customHeight="1">
      <c r="A4" s="3" t="inlineStr">
        <is>
          <t>Группа</t>
        </is>
      </c>
      <c r="B4" s="3" t="inlineStr">
        <is>
          <t>Позиций</t>
        </is>
      </c>
      <c r="C4" s="3" t="inlineStr">
        <is>
          <t>Штук по приложению</t>
        </is>
      </c>
      <c r="D4" s="3" t="inlineStr">
        <is>
          <t>Штук по факту</t>
        </is>
      </c>
      <c r="E4" s="3" t="inlineStr">
        <is>
          <t>Расхождение, шт</t>
        </is>
      </c>
      <c r="F4" s="3" t="inlineStr">
        <is>
          <t>Общий вес, кг</t>
        </is>
      </c>
      <c r="G4" s="3" t="inlineStr">
        <is>
          <t>Доля веса</t>
        </is>
      </c>
    </row>
    <row r="5">
      <c r="A5" s="18" t="inlineStr">
        <is>
          <t>Штуцерная угловая</t>
        </is>
      </c>
      <c r="B5" s="18" t="n">
        <v>16</v>
      </c>
      <c r="C5" s="19" t="n">
        <v>82</v>
      </c>
      <c r="D5" s="19" t="n">
        <v>76</v>
      </c>
      <c r="E5" s="20" t="n">
        <v>-5</v>
      </c>
      <c r="F5" s="19" t="n">
        <v>201.7</v>
      </c>
      <c r="G5" s="21" t="n">
        <v>0.01295421137096169</v>
      </c>
    </row>
    <row r="6">
      <c r="A6" s="18" t="inlineStr">
        <is>
          <t>Штуцерная проходная</t>
        </is>
      </c>
      <c r="B6" s="18" t="n">
        <v>10</v>
      </c>
      <c r="C6" s="19" t="n">
        <v>816</v>
      </c>
      <c r="D6" s="19" t="n">
        <v>812</v>
      </c>
      <c r="E6" s="19" t="n">
        <v>0</v>
      </c>
      <c r="F6" s="19" t="n">
        <v>996.6</v>
      </c>
      <c r="G6" s="21" t="n">
        <v>0.0640004315501706</v>
      </c>
    </row>
    <row r="7">
      <c r="A7" s="18" t="inlineStr">
        <is>
          <t>Штуцерная, угол или проход не указан</t>
        </is>
      </c>
      <c r="B7" s="18" t="n">
        <v>10</v>
      </c>
      <c r="C7" s="19" t="n">
        <v>151</v>
      </c>
      <c r="D7" s="19" t="n">
        <v>180</v>
      </c>
      <c r="E7" s="20" t="n">
        <v>29</v>
      </c>
      <c r="F7" s="19" t="n">
        <v>184.3</v>
      </c>
      <c r="G7" s="21" t="n">
        <v>0.01183873124249844</v>
      </c>
    </row>
    <row r="8">
      <c r="A8" s="18" t="inlineStr">
        <is>
          <t>Фланцевая угловая</t>
        </is>
      </c>
      <c r="B8" s="18" t="n">
        <v>15</v>
      </c>
      <c r="C8" s="19" t="n">
        <v>56</v>
      </c>
      <c r="D8" s="19" t="n">
        <v>63</v>
      </c>
      <c r="E8" s="20" t="n">
        <v>14</v>
      </c>
      <c r="F8" s="19" t="n">
        <v>1186.9</v>
      </c>
      <c r="G8" s="21" t="n">
        <v>0.07622126450621862</v>
      </c>
    </row>
    <row r="9">
      <c r="A9" s="18" t="inlineStr">
        <is>
          <t>Фланцевая проходная</t>
        </is>
      </c>
      <c r="B9" s="18" t="n">
        <v>7</v>
      </c>
      <c r="C9" s="19" t="n">
        <v>77</v>
      </c>
      <c r="D9" s="19" t="n">
        <v>72</v>
      </c>
      <c r="E9" s="20" t="n">
        <v>-5</v>
      </c>
      <c r="F9" s="19" t="n">
        <v>1521.2</v>
      </c>
      <c r="G9" s="21" t="n">
        <v>0.09768960111792045</v>
      </c>
    </row>
    <row r="10">
      <c r="A10" s="18" t="inlineStr">
        <is>
          <t>Клинкеты</t>
        </is>
      </c>
      <c r="B10" s="18" t="n">
        <v>4</v>
      </c>
      <c r="C10" s="19" t="n">
        <v>47</v>
      </c>
      <c r="D10" s="19" t="n">
        <v>48</v>
      </c>
      <c r="E10" s="20" t="n">
        <v>1</v>
      </c>
      <c r="F10" s="19" t="n">
        <v>6419</v>
      </c>
      <c r="G10" s="21" t="n">
        <v>0.412220319205845</v>
      </c>
    </row>
    <row r="11">
      <c r="A11" s="18" t="inlineStr">
        <is>
          <t>Фильтры забортной воды</t>
        </is>
      </c>
      <c r="B11" s="18" t="n">
        <v>7</v>
      </c>
      <c r="C11" s="19" t="n">
        <v>20</v>
      </c>
      <c r="D11" s="19" t="n">
        <v>21</v>
      </c>
      <c r="E11" s="20" t="n">
        <v>1</v>
      </c>
      <c r="F11" s="19" t="n">
        <v>1656</v>
      </c>
      <c r="G11" s="21" t="n">
        <v>0.1063462920400186</v>
      </c>
    </row>
    <row r="12">
      <c r="A12" s="18" t="inlineStr">
        <is>
          <t>Кингстоны</t>
        </is>
      </c>
      <c r="B12" s="18" t="n">
        <v>5</v>
      </c>
      <c r="C12" s="19" t="n">
        <v>4</v>
      </c>
      <c r="D12" s="19" t="n">
        <v>7</v>
      </c>
      <c r="E12" s="20" t="n">
        <v>3</v>
      </c>
      <c r="F12" s="19" t="n">
        <v>99.59999999999999</v>
      </c>
      <c r="G12" s="21" t="n">
        <v>0.006396190028493872</v>
      </c>
    </row>
    <row r="13">
      <c r="A13" s="18" t="inlineStr">
        <is>
          <t>Головки вентиляционные</t>
        </is>
      </c>
      <c r="B13" s="18" t="n">
        <v>7</v>
      </c>
      <c r="C13" s="19" t="n">
        <v>43</v>
      </c>
      <c r="D13" s="19" t="n">
        <v>43</v>
      </c>
      <c r="E13" s="19" t="n">
        <v>0</v>
      </c>
      <c r="F13" s="19" t="n">
        <v>356.1</v>
      </c>
      <c r="G13" s="21" t="n">
        <v>0.02286830591512718</v>
      </c>
    </row>
    <row r="14">
      <c r="A14" s="18" t="inlineStr">
        <is>
          <t>Колонка смотровая</t>
        </is>
      </c>
      <c r="B14" s="18" t="n">
        <v>2</v>
      </c>
      <c r="C14" s="19" t="n">
        <v>22</v>
      </c>
      <c r="D14" s="19" t="n">
        <v>6</v>
      </c>
      <c r="E14" s="19" t="n">
        <v>0</v>
      </c>
      <c r="F14" s="19" t="n">
        <v>9</v>
      </c>
      <c r="G14" s="21" t="n">
        <v>0.0005779689784783618</v>
      </c>
    </row>
    <row r="15">
      <c r="A15" s="18" t="inlineStr">
        <is>
          <t>Захлопки</t>
        </is>
      </c>
      <c r="B15" s="18" t="n">
        <v>6</v>
      </c>
      <c r="C15" s="19" t="n">
        <v>8</v>
      </c>
      <c r="D15" s="19" t="n">
        <v>8</v>
      </c>
      <c r="E15" s="19" t="n">
        <v>0</v>
      </c>
      <c r="F15" s="19" t="n">
        <v>171</v>
      </c>
      <c r="G15" s="21" t="n">
        <v>0.01098141059108887</v>
      </c>
    </row>
    <row r="16">
      <c r="A16" s="18" t="inlineStr">
        <is>
          <t>Коробки клапанные</t>
        </is>
      </c>
      <c r="B16" s="18" t="n">
        <v>5</v>
      </c>
      <c r="C16" s="19" t="n">
        <v>27</v>
      </c>
      <c r="D16" s="19" t="n">
        <v>35</v>
      </c>
      <c r="E16" s="20" t="n">
        <v>8</v>
      </c>
      <c r="F16" s="19" t="n">
        <v>1885.5</v>
      </c>
      <c r="G16" s="21" t="n">
        <v>0.1210845009912168</v>
      </c>
    </row>
    <row r="17">
      <c r="A17" s="18" t="inlineStr">
        <is>
          <t>Краны</t>
        </is>
      </c>
      <c r="B17" s="18" t="n">
        <v>7</v>
      </c>
      <c r="C17" s="19" t="n">
        <v>53</v>
      </c>
      <c r="D17" s="19" t="n">
        <v>57</v>
      </c>
      <c r="E17" s="20" t="n">
        <v>4</v>
      </c>
      <c r="F17" s="19" t="n">
        <v>44.1</v>
      </c>
      <c r="G17" s="21" t="n">
        <v>0.002832047994543973</v>
      </c>
    </row>
    <row r="18">
      <c r="A18" s="18" t="inlineStr">
        <is>
          <t>Стаканы переборочные</t>
        </is>
      </c>
      <c r="B18" s="18" t="n">
        <v>4</v>
      </c>
      <c r="C18" s="19" t="n">
        <v>18</v>
      </c>
      <c r="D18" s="19" t="n">
        <v>36</v>
      </c>
      <c r="E18" s="20" t="n">
        <v>18</v>
      </c>
      <c r="F18" s="19" t="n">
        <v>52.1</v>
      </c>
      <c r="G18" s="21" t="n">
        <v>0.00334579819763585</v>
      </c>
    </row>
    <row r="19">
      <c r="A19" s="18" t="inlineStr">
        <is>
          <t>Пусковые клапаны</t>
        </is>
      </c>
      <c r="B19" s="18" t="n">
        <v>2</v>
      </c>
      <c r="C19" s="19" t="n">
        <v>15</v>
      </c>
      <c r="D19" s="19" t="n">
        <v>15</v>
      </c>
      <c r="E19" s="19" t="n">
        <v>0</v>
      </c>
      <c r="F19" s="19" t="n">
        <v>109.6</v>
      </c>
      <c r="G19" s="21" t="n">
        <v>0.007038377782358718</v>
      </c>
    </row>
    <row r="20">
      <c r="A20" s="18" t="inlineStr">
        <is>
          <t>Редукционные клапаны</t>
        </is>
      </c>
      <c r="B20" s="18" t="n">
        <v>3</v>
      </c>
      <c r="C20" s="19" t="n">
        <v>11</v>
      </c>
      <c r="D20" s="19" t="n">
        <v>11</v>
      </c>
      <c r="E20" s="19" t="n">
        <v>0</v>
      </c>
      <c r="F20" s="19" t="n">
        <v>258</v>
      </c>
      <c r="G20" s="21" t="n">
        <v>0.01656844404971304</v>
      </c>
    </row>
    <row r="21">
      <c r="A21" s="18" t="inlineStr">
        <is>
          <t>Паровые клапаны</t>
        </is>
      </c>
      <c r="B21" s="18" t="n">
        <v>1</v>
      </c>
      <c r="C21" s="19" t="n">
        <v>1</v>
      </c>
      <c r="D21" s="19" t="n">
        <v>1</v>
      </c>
      <c r="E21" s="19" t="n">
        <v>0</v>
      </c>
      <c r="F21" s="19" t="n">
        <v>32.6</v>
      </c>
      <c r="G21" s="21" t="n">
        <v>0.0020935320775994</v>
      </c>
    </row>
    <row r="22">
      <c r="A22" s="18" t="inlineStr">
        <is>
          <t>Электромагнитные клапаны</t>
        </is>
      </c>
      <c r="B22" s="18" t="n">
        <v>3</v>
      </c>
      <c r="C22" s="19" t="n">
        <v>4</v>
      </c>
      <c r="D22" s="19" t="n">
        <v>2</v>
      </c>
      <c r="E22" s="19" t="n">
        <v>0</v>
      </c>
      <c r="F22" s="19" t="n">
        <v>23.9</v>
      </c>
      <c r="G22" s="21" t="n">
        <v>0.001534828731736983</v>
      </c>
    </row>
    <row r="23">
      <c r="A23" s="18" t="inlineStr">
        <is>
          <t>Педальные клапаны</t>
        </is>
      </c>
      <c r="B23" s="18" t="n">
        <v>2</v>
      </c>
      <c r="C23" s="19" t="n">
        <v>63</v>
      </c>
      <c r="D23" s="19" t="n">
        <v>63</v>
      </c>
      <c r="E23" s="19" t="n">
        <v>0</v>
      </c>
      <c r="F23" s="19" t="n">
        <v>346.5</v>
      </c>
      <c r="G23" s="21" t="n">
        <v>0.02225180567141693</v>
      </c>
    </row>
    <row r="24">
      <c r="A24" s="18" t="inlineStr">
        <is>
          <t>Эжекторы</t>
        </is>
      </c>
      <c r="B24" s="18" t="n">
        <v>1</v>
      </c>
      <c r="C24" s="19" t="n">
        <v>1</v>
      </c>
      <c r="D24" s="19" t="n">
        <v>1</v>
      </c>
      <c r="E24" s="19" t="n">
        <v>0</v>
      </c>
      <c r="F24" s="19" t="n">
        <v>4</v>
      </c>
      <c r="G24" s="21" t="n">
        <v>0.0002568751015459386</v>
      </c>
    </row>
    <row r="25">
      <c r="A25" s="18" t="inlineStr">
        <is>
          <t>Без описания — уточнить</t>
        </is>
      </c>
      <c r="B25" s="18" t="n">
        <v>2</v>
      </c>
      <c r="C25" s="19" t="n">
        <v>4</v>
      </c>
      <c r="D25" s="19" t="n">
        <v>4</v>
      </c>
      <c r="E25" s="19" t="n">
        <v>0</v>
      </c>
      <c r="F25" s="19" t="n">
        <v>14</v>
      </c>
      <c r="G25" s="21" t="n">
        <v>0.0008990628554107851</v>
      </c>
    </row>
    <row r="26">
      <c r="A26" s="16" t="inlineStr">
        <is>
          <t>ИТОГО</t>
        </is>
      </c>
      <c r="B26" s="17">
        <f>SUM(B5:B25)</f>
        <v/>
      </c>
      <c r="C26" s="17">
        <f>SUM(C5:C25)</f>
        <v/>
      </c>
      <c r="D26" s="17">
        <f>SUM(D5:D25)</f>
        <v/>
      </c>
      <c r="E26" s="17">
        <f>SUM(E5:E25)</f>
        <v/>
      </c>
      <c r="F26" s="17">
        <f>SUM(F5:F25)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8" customWidth="1" min="4" max="4"/>
    <col width="52" customWidth="1" min="5" max="5"/>
    <col width="24" customWidth="1" min="6" max="6"/>
    <col width="11" customWidth="1" min="7" max="7"/>
    <col width="14" customWidth="1" min="8" max="8"/>
    <col width="11" customWidth="1" min="9" max="9"/>
    <col width="11" customWidth="1" min="10" max="10"/>
    <col width="12" customWidth="1" min="11" max="11"/>
    <col width="16" customWidth="1" min="12" max="12"/>
    <col width="18" customWidth="1" min="13" max="13"/>
  </cols>
  <sheetData>
    <row r="1">
      <c r="A1" s="1" t="inlineStr">
        <is>
          <t>Ценные группы: что продается дороже обычной арматуры</t>
        </is>
      </c>
    </row>
    <row r="2">
      <c r="A2" s="2" t="inlineStr">
        <is>
          <t>Титан, электромагнитные, котельная, воздух высокого давления и прочая арматура высокого давления. Воздушной ВД считаем пусковые клапаны и все, что от Ру160 — это баллоны и магистрали ВВД. Ру 100-150 — отдельная группа. Оранжевым в колонке «Кол-во факт» — то, что менеджер не пересчитала. Позиция может попасть в два блока: сигнальный предохранительный клапан это и котельная арматура, и высокое давление.</t>
        </is>
      </c>
    </row>
    <row r="4" ht="40" customHeight="1">
      <c r="A4" s="3" t="inlineStr">
        <is>
          <t>Признак</t>
        </is>
      </c>
      <c r="B4" s="3" t="inlineStr">
        <is>
          <t>Группа</t>
        </is>
      </c>
      <c r="C4" s="3" t="inlineStr">
        <is>
          <t>Ду</t>
        </is>
      </c>
      <c r="D4" s="3" t="inlineStr">
        <is>
          <t>Ру</t>
        </is>
      </c>
      <c r="E4" s="3" t="inlineStr">
        <is>
          <t>Наименование</t>
        </is>
      </c>
      <c r="F4" s="3" t="inlineStr">
        <is>
          <t>Чертеж</t>
        </is>
      </c>
      <c r="G4" s="3" t="inlineStr">
        <is>
          <t>Состояние</t>
        </is>
      </c>
      <c r="H4" s="3" t="inlineStr">
        <is>
          <t>Кол-во по приложению</t>
        </is>
      </c>
      <c r="I4" s="3" t="inlineStr">
        <is>
          <t>Кол-во факт</t>
        </is>
      </c>
      <c r="J4" s="3" t="inlineStr">
        <is>
          <t>Вес 1 шт, кг</t>
        </is>
      </c>
      <c r="K4" s="3" t="inlineStr">
        <is>
          <t>Общий вес, кг</t>
        </is>
      </c>
      <c r="L4" s="3" t="inlineStr">
        <is>
          <t>Цена по договору</t>
        </is>
      </c>
      <c r="M4" s="3" t="inlineStr">
        <is>
          <t>Ориентир реализации</t>
        </is>
      </c>
    </row>
    <row r="5">
      <c r="A5" s="4" t="inlineStr">
        <is>
          <t>Титановая арматура — 2 позиций  6 шт по приложению  6 шт по факту  27 кг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6" t="inlineStr">
        <is>
          <t>титан</t>
        </is>
      </c>
      <c r="B6" s="5" t="inlineStr">
        <is>
          <t>Фланцевая проходная</t>
        </is>
      </c>
      <c r="C6" s="5" t="n">
        <v>50</v>
      </c>
      <c r="D6" s="5" t="n">
        <v>10</v>
      </c>
      <c r="E6" s="6" t="inlineStr">
        <is>
          <t>Клапан фланцевый проходной титановые Ду50Ру10</t>
        </is>
      </c>
      <c r="F6" s="5" t="inlineStr">
        <is>
          <t>521-182.110</t>
        </is>
      </c>
      <c r="G6" s="5" t="inlineStr">
        <is>
          <t>новый</t>
        </is>
      </c>
      <c r="H6" s="8" t="n">
        <v>5</v>
      </c>
      <c r="I6" s="8" t="n">
        <v>5</v>
      </c>
      <c r="J6" s="7" t="n">
        <v>3.5</v>
      </c>
      <c r="K6" s="7" t="n">
        <v>17.5</v>
      </c>
      <c r="L6" s="5" t="inlineStr">
        <is>
          <t>25-35000</t>
        </is>
      </c>
      <c r="M6" s="5" t="inlineStr">
        <is>
          <t>80-100000</t>
        </is>
      </c>
    </row>
    <row r="7">
      <c r="A7" s="6" t="inlineStr">
        <is>
          <t>титан</t>
        </is>
      </c>
      <c r="B7" s="5" t="inlineStr">
        <is>
          <t>Фланцевая проходная</t>
        </is>
      </c>
      <c r="C7" s="5" t="n">
        <v>100</v>
      </c>
      <c r="D7" s="5" t="n">
        <v>10</v>
      </c>
      <c r="E7" s="6" t="inlineStr">
        <is>
          <t>Клапан фланцевый проходной титановые Ду100Ру10</t>
        </is>
      </c>
      <c r="F7" s="5" t="inlineStr">
        <is>
          <t>521-182.116</t>
        </is>
      </c>
      <c r="G7" s="5" t="inlineStr">
        <is>
          <t>новый</t>
        </is>
      </c>
      <c r="H7" s="8" t="n">
        <v>1</v>
      </c>
      <c r="I7" s="8" t="n">
        <v>1</v>
      </c>
      <c r="J7" s="7" t="n">
        <v>9.699999999999999</v>
      </c>
      <c r="K7" s="7" t="n">
        <v>9.699999999999999</v>
      </c>
      <c r="L7" s="5" t="inlineStr">
        <is>
          <t>40-55000</t>
        </is>
      </c>
      <c r="M7" s="5" t="inlineStr">
        <is>
          <t>120-140000</t>
        </is>
      </c>
    </row>
    <row r="8">
      <c r="A8" s="4" t="inlineStr">
        <is>
          <t>Электромагнитные клапаны — 3 позиций  4 шт по приложению  2 шт по факту  24 кг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6" t="inlineStr">
        <is>
          <t>электромагнитный</t>
        </is>
      </c>
      <c r="B9" s="5" t="inlineStr">
        <is>
          <t>Электромагнитные клапаны</t>
        </is>
      </c>
      <c r="C9" s="5" t="n">
        <v>20</v>
      </c>
      <c r="D9" s="5" t="n"/>
      <c r="E9" s="6" t="inlineStr">
        <is>
          <t>Клапан с электромагнитным ручным управлением Ду20/10 перем. 220В</t>
        </is>
      </c>
      <c r="F9" s="5" t="inlineStr">
        <is>
          <t>587-35.8490-04</t>
        </is>
      </c>
      <c r="G9" s="5" t="inlineStr">
        <is>
          <t>новый ?</t>
        </is>
      </c>
      <c r="H9" s="8" t="n">
        <v>1</v>
      </c>
      <c r="I9" s="8" t="n">
        <v>1</v>
      </c>
      <c r="J9" s="7" t="n">
        <v>11.6</v>
      </c>
      <c r="K9" s="7" t="n">
        <v>11.6</v>
      </c>
      <c r="L9" s="5" t="inlineStr">
        <is>
          <t>25000</t>
        </is>
      </c>
      <c r="M9" s="5" t="inlineStr">
        <is>
          <t>55000</t>
        </is>
      </c>
    </row>
    <row r="10">
      <c r="A10" s="6" t="inlineStr">
        <is>
          <t>электромагнитный</t>
        </is>
      </c>
      <c r="B10" s="5" t="inlineStr">
        <is>
          <t>Электромагнитные клапаны</t>
        </is>
      </c>
      <c r="C10" s="5" t="n"/>
      <c r="D10" s="5" t="n"/>
      <c r="E10" s="6" t="inlineStr">
        <is>
          <t>Клапан с электромагнитным ручным управлением</t>
        </is>
      </c>
      <c r="F10" s="5" t="inlineStr">
        <is>
          <t>587-182.126</t>
        </is>
      </c>
      <c r="G10" s="5" t="inlineStr">
        <is>
          <t>новый</t>
        </is>
      </c>
      <c r="H10" s="8" t="n">
        <v>1</v>
      </c>
      <c r="I10" s="8" t="n">
        <v>1</v>
      </c>
      <c r="J10" s="7" t="n">
        <v>12.3</v>
      </c>
      <c r="K10" s="7" t="n">
        <v>12.3</v>
      </c>
      <c r="L10" s="5" t="inlineStr">
        <is>
          <t>по согласованию</t>
        </is>
      </c>
      <c r="M10" s="5" t="inlineStr"/>
    </row>
    <row r="11">
      <c r="A11" s="6" t="inlineStr">
        <is>
          <t>электромагнитный</t>
        </is>
      </c>
      <c r="B11" s="5" t="inlineStr">
        <is>
          <t>Электромагнитные клапаны</t>
        </is>
      </c>
      <c r="C11" s="5" t="n"/>
      <c r="D11" s="5" t="n"/>
      <c r="E11" s="6" t="inlineStr">
        <is>
          <t>Клапан фреоновый саленоидный</t>
        </is>
      </c>
      <c r="F11" s="11" t="inlineStr"/>
      <c r="G11" s="5" t="inlineStr"/>
      <c r="H11" s="8" t="n">
        <v>2</v>
      </c>
      <c r="I11" s="10" t="n"/>
      <c r="J11" s="7" t="n"/>
      <c r="K11" s="7" t="n">
        <v>0</v>
      </c>
      <c r="L11" s="5" t="inlineStr">
        <is>
          <t>по согласованию</t>
        </is>
      </c>
      <c r="M11" s="5" t="inlineStr"/>
    </row>
    <row r="12">
      <c r="A12" s="4" t="inlineStr">
        <is>
          <t>Котельная арматура — 7 позиций  28 шт по приложению  12 шт по факту  51 кг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6" t="inlineStr">
        <is>
          <t>высокое давление Ру100; котельная</t>
        </is>
      </c>
      <c r="B13" s="5" t="inlineStr">
        <is>
          <t>Штуцерная, угол или проход не указан</t>
        </is>
      </c>
      <c r="C13" s="5" t="n">
        <v>6</v>
      </c>
      <c r="D13" s="5" t="n">
        <v>100</v>
      </c>
      <c r="E13" s="6" t="inlineStr">
        <is>
          <t>Клапан предохранительный штуцерный сигнальный Ду6 Ру100-230</t>
        </is>
      </c>
      <c r="F13" s="5" t="inlineStr">
        <is>
          <t>524-35.2423-01</t>
        </is>
      </c>
      <c r="G13" s="5" t="inlineStr">
        <is>
          <t>новый</t>
        </is>
      </c>
      <c r="H13" s="8" t="n">
        <v>1</v>
      </c>
      <c r="I13" s="8" t="n">
        <v>1</v>
      </c>
      <c r="J13" s="7" t="n">
        <v>3.5</v>
      </c>
      <c r="K13" s="7" t="n">
        <v>3.5</v>
      </c>
      <c r="L13" s="5" t="inlineStr">
        <is>
          <t>20000</t>
        </is>
      </c>
      <c r="M13" s="5" t="inlineStr">
        <is>
          <t>55000</t>
        </is>
      </c>
    </row>
    <row r="14">
      <c r="A14" s="6" t="inlineStr">
        <is>
          <t>высокое давление Ру100; котельная</t>
        </is>
      </c>
      <c r="B14" s="5" t="inlineStr">
        <is>
          <t>Штуцерная, угол или проход не указан</t>
        </is>
      </c>
      <c r="C14" s="5" t="n">
        <v>6</v>
      </c>
      <c r="D14" s="5" t="n">
        <v>100</v>
      </c>
      <c r="E14" s="6" t="inlineStr">
        <is>
          <t>Клапан предохранительный штуцерный сигнальный Ду6Ру100-250</t>
        </is>
      </c>
      <c r="F14" s="5" t="inlineStr">
        <is>
          <t>524-03.188</t>
        </is>
      </c>
      <c r="G14" s="5" t="inlineStr">
        <is>
          <t>новый</t>
        </is>
      </c>
      <c r="H14" s="8" t="n">
        <v>2</v>
      </c>
      <c r="I14" s="8" t="n">
        <v>2</v>
      </c>
      <c r="J14" s="7" t="n">
        <v>2.06</v>
      </c>
      <c r="K14" s="7" t="n">
        <v>4.12</v>
      </c>
      <c r="L14" s="5" t="inlineStr">
        <is>
          <t>по согласованию</t>
        </is>
      </c>
      <c r="M14" s="5" t="inlineStr"/>
    </row>
    <row r="15">
      <c r="A15" s="6" t="inlineStr">
        <is>
          <t>котельная</t>
        </is>
      </c>
      <c r="B15" s="5" t="inlineStr">
        <is>
          <t>Штуцерная, угол или проход не указан</t>
        </is>
      </c>
      <c r="C15" s="5" t="n">
        <v>10</v>
      </c>
      <c r="D15" s="5" t="n">
        <v>1</v>
      </c>
      <c r="E15" s="6" t="inlineStr">
        <is>
          <t>Клапан предохранительный штуцерный сигнальный Ду10Ру1,3-6,5</t>
        </is>
      </c>
      <c r="F15" s="5" t="inlineStr">
        <is>
          <t>524-03.174</t>
        </is>
      </c>
      <c r="G15" s="5" t="inlineStr">
        <is>
          <t>новый</t>
        </is>
      </c>
      <c r="H15" s="8" t="n">
        <v>1</v>
      </c>
      <c r="I15" s="8" t="n">
        <v>1</v>
      </c>
      <c r="J15" s="7" t="n">
        <v>0.77</v>
      </c>
      <c r="K15" s="7" t="n">
        <v>0.77</v>
      </c>
      <c r="L15" s="5" t="inlineStr">
        <is>
          <t>3500</t>
        </is>
      </c>
      <c r="M15" s="5" t="inlineStr">
        <is>
          <t>15000</t>
        </is>
      </c>
    </row>
    <row r="16">
      <c r="A16" s="6" t="inlineStr">
        <is>
          <t>котельная</t>
        </is>
      </c>
      <c r="B16" s="5" t="inlineStr">
        <is>
          <t>Штуцерная, угол или проход не указан</t>
        </is>
      </c>
      <c r="C16" s="5" t="n">
        <v>10</v>
      </c>
      <c r="D16" s="5" t="n">
        <v>2</v>
      </c>
      <c r="E16" s="6" t="inlineStr">
        <is>
          <t>Клапан предохранительный штуцерный сигнальный Ду10Ру2,5-6,5</t>
        </is>
      </c>
      <c r="F16" s="5" t="inlineStr">
        <is>
          <t>524-03.173</t>
        </is>
      </c>
      <c r="G16" s="5" t="inlineStr">
        <is>
          <t>новый</t>
        </is>
      </c>
      <c r="H16" s="8" t="n">
        <v>1</v>
      </c>
      <c r="I16" s="8" t="n">
        <v>1</v>
      </c>
      <c r="J16" s="7" t="n">
        <v>1.24</v>
      </c>
      <c r="K16" s="7" t="n">
        <v>1.24</v>
      </c>
      <c r="L16" s="5" t="inlineStr">
        <is>
          <t>3500</t>
        </is>
      </c>
      <c r="M16" s="5" t="inlineStr">
        <is>
          <t>15000</t>
        </is>
      </c>
    </row>
    <row r="17">
      <c r="A17" s="6" t="inlineStr">
        <is>
          <t>котельная</t>
        </is>
      </c>
      <c r="B17" s="5" t="inlineStr">
        <is>
          <t>Колонка смотровая</t>
        </is>
      </c>
      <c r="C17" s="5" t="n">
        <v>10</v>
      </c>
      <c r="D17" s="5" t="n">
        <v>10</v>
      </c>
      <c r="E17" s="6" t="inlineStr">
        <is>
          <t>Колонка указательная с плоским рифленым стеклом Ду10Ру10</t>
        </is>
      </c>
      <c r="F17" s="5" t="inlineStr">
        <is>
          <t>598-03.083-01</t>
        </is>
      </c>
      <c r="G17" s="5" t="inlineStr"/>
      <c r="H17" s="8" t="n">
        <v>16</v>
      </c>
      <c r="I17" s="10" t="n"/>
      <c r="J17" s="7" t="n"/>
      <c r="K17" s="7" t="n">
        <v>0</v>
      </c>
      <c r="L17" s="5" t="inlineStr">
        <is>
          <t>12000</t>
        </is>
      </c>
      <c r="M17" s="5" t="inlineStr">
        <is>
          <t>30000</t>
        </is>
      </c>
    </row>
    <row r="18">
      <c r="A18" s="6" t="inlineStr">
        <is>
          <t>котельная</t>
        </is>
      </c>
      <c r="B18" s="5" t="inlineStr">
        <is>
          <t>Колонка смотровая</t>
        </is>
      </c>
      <c r="C18" s="5" t="n">
        <v>10</v>
      </c>
      <c r="D18" s="5" t="n">
        <v>16</v>
      </c>
      <c r="E18" s="6" t="inlineStr">
        <is>
          <t>Клапан для колонки указательной Ду10 Ру16</t>
        </is>
      </c>
      <c r="F18" s="5" t="inlineStr">
        <is>
          <t>598-03.022-06</t>
        </is>
      </c>
      <c r="G18" s="5" t="inlineStr">
        <is>
          <t>б/у</t>
        </is>
      </c>
      <c r="H18" s="8" t="n">
        <v>6</v>
      </c>
      <c r="I18" s="8" t="n">
        <v>6</v>
      </c>
      <c r="J18" s="7" t="n">
        <v>1.5</v>
      </c>
      <c r="K18" s="7" t="n">
        <v>9</v>
      </c>
      <c r="L18" s="5" t="inlineStr">
        <is>
          <t>по согласованию</t>
        </is>
      </c>
      <c r="M18" s="5" t="inlineStr"/>
    </row>
    <row r="19">
      <c r="A19" s="6" t="inlineStr">
        <is>
          <t>котельная</t>
        </is>
      </c>
      <c r="B19" s="5" t="inlineStr">
        <is>
          <t>Паровые клапаны</t>
        </is>
      </c>
      <c r="C19" s="5" t="n">
        <v>65</v>
      </c>
      <c r="D19" s="5" t="n">
        <v>10</v>
      </c>
      <c r="E19" s="6" t="inlineStr">
        <is>
          <t>Клапан паровой Ду65Ру10</t>
        </is>
      </c>
      <c r="F19" s="5" t="inlineStr">
        <is>
          <t>581-03.034</t>
        </is>
      </c>
      <c r="G19" s="5" t="inlineStr">
        <is>
          <t>новый?</t>
        </is>
      </c>
      <c r="H19" s="8" t="n">
        <v>1</v>
      </c>
      <c r="I19" s="8" t="n">
        <v>1</v>
      </c>
      <c r="J19" s="7" t="n">
        <v>32.6</v>
      </c>
      <c r="K19" s="7" t="n">
        <v>32.6</v>
      </c>
      <c r="L19" s="5" t="inlineStr">
        <is>
          <t>50-60</t>
        </is>
      </c>
      <c r="M19" s="5" t="inlineStr">
        <is>
          <t>120-160000</t>
        </is>
      </c>
    </row>
    <row r="20">
      <c r="A20" s="4" t="inlineStr">
        <is>
          <t>Воздушные высокого давления — 12 позиций  43 шт по приложению  41 шт по факту  399 кг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6" t="inlineStr">
        <is>
          <t>воздух высокого давления Ру400</t>
        </is>
      </c>
      <c r="B21" s="5" t="inlineStr">
        <is>
          <t>Штуцерная, угол или проход не указан</t>
        </is>
      </c>
      <c r="C21" s="5" t="n">
        <v>3</v>
      </c>
      <c r="D21" s="5" t="n">
        <v>400</v>
      </c>
      <c r="E21" s="6" t="inlineStr">
        <is>
          <t>Клапан для манометра штущерный  Ду3Ру400 новый</t>
        </is>
      </c>
      <c r="F21" s="5" t="inlineStr">
        <is>
          <t>521-03.406</t>
        </is>
      </c>
      <c r="G21" s="5" t="inlineStr">
        <is>
          <t>новый</t>
        </is>
      </c>
      <c r="H21" s="8" t="n">
        <v>2</v>
      </c>
      <c r="I21" s="8" t="n">
        <v>2</v>
      </c>
      <c r="J21" s="7" t="n">
        <v>1.1</v>
      </c>
      <c r="K21" s="7" t="n">
        <v>2.2</v>
      </c>
      <c r="L21" s="5" t="inlineStr">
        <is>
          <t>по согласованию</t>
        </is>
      </c>
      <c r="M21" s="5" t="inlineStr"/>
    </row>
    <row r="22">
      <c r="A22" s="6" t="inlineStr">
        <is>
          <t>воздух высокого давления Ру160</t>
        </is>
      </c>
      <c r="B22" s="5" t="inlineStr">
        <is>
          <t>Штуцерная угловая</t>
        </is>
      </c>
      <c r="C22" s="5" t="n">
        <v>10</v>
      </c>
      <c r="D22" s="5" t="n">
        <v>160</v>
      </c>
      <c r="E22" s="6" t="inlineStr">
        <is>
          <t>Клапан штуцерный угловой Ду10 Р160</t>
        </is>
      </c>
      <c r="F22" s="5" t="inlineStr">
        <is>
          <t>522-03.149</t>
        </is>
      </c>
      <c r="G22" s="5" t="inlineStr">
        <is>
          <t>новый</t>
        </is>
      </c>
      <c r="H22" s="8" t="n">
        <v>6</v>
      </c>
      <c r="I22" s="8" t="n">
        <v>6</v>
      </c>
      <c r="J22" s="7" t="n">
        <v>0.7</v>
      </c>
      <c r="K22" s="7" t="n">
        <v>4.2</v>
      </c>
      <c r="L22" s="5" t="inlineStr">
        <is>
          <t>3000</t>
        </is>
      </c>
      <c r="M22" s="5" t="inlineStr">
        <is>
          <t>15000</t>
        </is>
      </c>
    </row>
    <row r="23">
      <c r="A23" s="6" t="inlineStr">
        <is>
          <t>воздух высокого давления Ру200</t>
        </is>
      </c>
      <c r="B23" s="5" t="inlineStr">
        <is>
          <t>Редукционные клапаны</t>
        </is>
      </c>
      <c r="C23" s="5" t="n">
        <v>10</v>
      </c>
      <c r="D23" s="5" t="n">
        <v>200</v>
      </c>
      <c r="E23" s="6" t="inlineStr">
        <is>
          <t>Клапан редукционный штуцерный угловой Ду10Ру200…30 с манометром</t>
        </is>
      </c>
      <c r="F23" s="5" t="inlineStr">
        <is>
          <t>525-35.2634</t>
        </is>
      </c>
      <c r="G23" s="5" t="inlineStr">
        <is>
          <t>б/у?</t>
        </is>
      </c>
      <c r="H23" s="8" t="n">
        <v>1</v>
      </c>
      <c r="I23" s="8" t="n">
        <v>1</v>
      </c>
      <c r="J23" s="7" t="n">
        <v>7.5</v>
      </c>
      <c r="K23" s="7" t="n">
        <v>7.5</v>
      </c>
      <c r="L23" s="5" t="inlineStr">
        <is>
          <t>15000</t>
        </is>
      </c>
      <c r="M23" s="5" t="inlineStr">
        <is>
          <t>45000</t>
        </is>
      </c>
    </row>
    <row r="24">
      <c r="A24" s="6" t="inlineStr">
        <is>
          <t>воздух высокого давления Ру200</t>
        </is>
      </c>
      <c r="B24" s="5" t="inlineStr">
        <is>
          <t>Редукционные клапаны</t>
        </is>
      </c>
      <c r="C24" s="5" t="n">
        <v>10</v>
      </c>
      <c r="D24" s="5" t="n">
        <v>200</v>
      </c>
      <c r="E24" s="6" t="inlineStr">
        <is>
          <t>Клапан редукционный штуцерный угловой Ду10Ру200…30 с манометром</t>
        </is>
      </c>
      <c r="F24" s="5" t="inlineStr">
        <is>
          <t>525-35.2634-04</t>
        </is>
      </c>
      <c r="G24" s="5" t="inlineStr">
        <is>
          <t>новый</t>
        </is>
      </c>
      <c r="H24" s="8" t="n">
        <v>1</v>
      </c>
      <c r="I24" s="8" t="n">
        <v>1</v>
      </c>
      <c r="J24" s="7" t="n">
        <v>7.5</v>
      </c>
      <c r="K24" s="7" t="n">
        <v>7.5</v>
      </c>
      <c r="L24" s="5" t="inlineStr">
        <is>
          <t>15000</t>
        </is>
      </c>
      <c r="M24" s="5" t="inlineStr">
        <is>
          <t>45000</t>
        </is>
      </c>
    </row>
    <row r="25">
      <c r="A25" s="6" t="inlineStr">
        <is>
          <t>воздух высокого давления Ру400</t>
        </is>
      </c>
      <c r="B25" s="5" t="inlineStr">
        <is>
          <t>Штуцерная проходная</t>
        </is>
      </c>
      <c r="C25" s="5" t="n">
        <v>10</v>
      </c>
      <c r="D25" s="5" t="n">
        <v>400</v>
      </c>
      <c r="E25" s="6" t="inlineStr">
        <is>
          <t>Клапан штуцерный проходной Ду 10 Ру400</t>
        </is>
      </c>
      <c r="F25" s="5" t="inlineStr">
        <is>
          <t>521-35.3238</t>
        </is>
      </c>
      <c r="G25" s="5" t="inlineStr">
        <is>
          <t>новый</t>
        </is>
      </c>
      <c r="H25" s="8" t="n">
        <v>1</v>
      </c>
      <c r="I25" s="8" t="n">
        <v>1</v>
      </c>
      <c r="J25" s="7" t="n">
        <v>3.8</v>
      </c>
      <c r="K25" s="7" t="n">
        <v>3.8</v>
      </c>
      <c r="L25" s="5" t="inlineStr">
        <is>
          <t>20000</t>
        </is>
      </c>
      <c r="M25" s="5" t="inlineStr">
        <is>
          <t>65000</t>
        </is>
      </c>
    </row>
    <row r="26">
      <c r="A26" s="6" t="inlineStr">
        <is>
          <t>воздух высокого давления Ру400</t>
        </is>
      </c>
      <c r="B26" s="5" t="inlineStr">
        <is>
          <t>Штуцерная проходная</t>
        </is>
      </c>
      <c r="C26" s="5" t="n">
        <v>10</v>
      </c>
      <c r="D26" s="5" t="n">
        <v>400</v>
      </c>
      <c r="E26" s="6" t="inlineStr">
        <is>
          <t>Клапан штуцерный проходной Ду 10 Ру400</t>
        </is>
      </c>
      <c r="F26" s="5" t="inlineStr">
        <is>
          <t>521-03.420</t>
        </is>
      </c>
      <c r="G26" s="5" t="inlineStr"/>
      <c r="H26" s="8" t="n">
        <v>2</v>
      </c>
      <c r="I26" s="10" t="n"/>
      <c r="J26" s="7" t="n">
        <v>3.64</v>
      </c>
      <c r="K26" s="7" t="n">
        <v>0</v>
      </c>
      <c r="L26" s="5" t="inlineStr">
        <is>
          <t>по согласованию</t>
        </is>
      </c>
      <c r="M26" s="5" t="inlineStr"/>
    </row>
    <row r="27">
      <c r="A27" s="6" t="inlineStr">
        <is>
          <t>воздух высокого давления Ру160</t>
        </is>
      </c>
      <c r="B27" s="5" t="inlineStr">
        <is>
          <t>Штуцерная угловая</t>
        </is>
      </c>
      <c r="C27" s="5" t="n">
        <v>15</v>
      </c>
      <c r="D27" s="5" t="n">
        <v>160</v>
      </c>
      <c r="E27" s="6" t="inlineStr">
        <is>
          <t>Клапан штуцерный угловой Ду15 Ру160</t>
        </is>
      </c>
      <c r="F27" s="5" t="inlineStr">
        <is>
          <t>521-03.387</t>
        </is>
      </c>
      <c r="G27" s="5" t="inlineStr">
        <is>
          <t>новый</t>
        </is>
      </c>
      <c r="H27" s="8" t="n">
        <v>4</v>
      </c>
      <c r="I27" s="8" t="n">
        <v>4</v>
      </c>
      <c r="J27" s="7" t="n">
        <v>4.3</v>
      </c>
      <c r="K27" s="7" t="n">
        <v>17.2</v>
      </c>
      <c r="L27" s="5" t="inlineStr">
        <is>
          <t>по согласованию</t>
        </is>
      </c>
      <c r="M27" s="5" t="inlineStr"/>
    </row>
    <row r="28">
      <c r="A28" s="6" t="inlineStr">
        <is>
          <t>воздух высокого давления Ру125</t>
        </is>
      </c>
      <c r="B28" s="5" t="inlineStr">
        <is>
          <t>Пусковые клапаны</t>
        </is>
      </c>
      <c r="C28" s="5" t="n">
        <v>20</v>
      </c>
      <c r="D28" s="5" t="n">
        <v>125</v>
      </c>
      <c r="E28" s="6" t="inlineStr">
        <is>
          <t>Клапан пусковой Ду20Ру125</t>
        </is>
      </c>
      <c r="F28" s="5" t="inlineStr">
        <is>
          <t>587-03.080</t>
        </is>
      </c>
      <c r="G28" s="5" t="inlineStr">
        <is>
          <t>б/у</t>
        </is>
      </c>
      <c r="H28" s="8" t="n">
        <v>7</v>
      </c>
      <c r="I28" s="8" t="n">
        <v>7</v>
      </c>
      <c r="J28" s="7" t="n">
        <v>5.6</v>
      </c>
      <c r="K28" s="7" t="n">
        <v>39.2</v>
      </c>
      <c r="L28" s="5" t="inlineStr">
        <is>
          <t>25000</t>
        </is>
      </c>
      <c r="M28" s="5" t="inlineStr">
        <is>
          <t>45000-65000</t>
        </is>
      </c>
    </row>
    <row r="29">
      <c r="A29" s="6" t="inlineStr">
        <is>
          <t>воздух высокого давления Ру160</t>
        </is>
      </c>
      <c r="B29" s="5" t="inlineStr">
        <is>
          <t>Штуцерная проходная</t>
        </is>
      </c>
      <c r="C29" s="5" t="n">
        <v>20</v>
      </c>
      <c r="D29" s="5" t="n">
        <v>160</v>
      </c>
      <c r="E29" s="6" t="inlineStr">
        <is>
          <t>Клапан невозвратный штуцерный проходной Ду20Ру160</t>
        </is>
      </c>
      <c r="F29" s="5" t="inlineStr">
        <is>
          <t>522-03.089</t>
        </is>
      </c>
      <c r="G29" s="5" t="inlineStr">
        <is>
          <t>новый</t>
        </is>
      </c>
      <c r="H29" s="8" t="n">
        <v>1</v>
      </c>
      <c r="I29" s="8" t="n">
        <v>1</v>
      </c>
      <c r="J29" s="7" t="n">
        <v>2.3</v>
      </c>
      <c r="K29" s="7" t="n">
        <v>2.3</v>
      </c>
      <c r="L29" s="5" t="inlineStr">
        <is>
          <t>по согласованию</t>
        </is>
      </c>
      <c r="M29" s="5" t="inlineStr"/>
    </row>
    <row r="30">
      <c r="A30" s="6" t="inlineStr">
        <is>
          <t>воздух высокого давления Ру160</t>
        </is>
      </c>
      <c r="B30" s="5" t="inlineStr">
        <is>
          <t>Штуцерная угловая</t>
        </is>
      </c>
      <c r="C30" s="5" t="n">
        <v>20</v>
      </c>
      <c r="D30" s="5" t="n">
        <v>160</v>
      </c>
      <c r="E30" s="6" t="inlineStr">
        <is>
          <t>Клапан штуцерный угловой Ду20 Ру160</t>
        </is>
      </c>
      <c r="F30" s="5" t="inlineStr">
        <is>
          <t>521-03.479</t>
        </is>
      </c>
      <c r="G30" s="5" t="inlineStr">
        <is>
          <t>новый</t>
        </is>
      </c>
      <c r="H30" s="8" t="n">
        <v>1</v>
      </c>
      <c r="I30" s="8" t="n">
        <v>1</v>
      </c>
      <c r="J30" s="7" t="n">
        <v>1.8</v>
      </c>
      <c r="K30" s="7" t="n">
        <v>1.8</v>
      </c>
      <c r="L30" s="5" t="inlineStr">
        <is>
          <t>4500</t>
        </is>
      </c>
      <c r="M30" s="5" t="inlineStr">
        <is>
          <t>22000</t>
        </is>
      </c>
    </row>
    <row r="31">
      <c r="A31" s="6" t="inlineStr">
        <is>
          <t>воздух высокого давления Ру400</t>
        </is>
      </c>
      <c r="B31" s="5" t="inlineStr">
        <is>
          <t>Редукционные клапаны</t>
        </is>
      </c>
      <c r="C31" s="5" t="n">
        <v>20</v>
      </c>
      <c r="D31" s="5" t="n">
        <v>400</v>
      </c>
      <c r="E31" s="6" t="inlineStr">
        <is>
          <t>Клапан редукционный штуц.проход.односедельный Ду20Ру400 у входа</t>
        </is>
      </c>
      <c r="F31" s="5" t="inlineStr">
        <is>
          <t>525-03.044</t>
        </is>
      </c>
      <c r="G31" s="5" t="inlineStr">
        <is>
          <t>новый ?</t>
        </is>
      </c>
      <c r="H31" s="8" t="n">
        <v>9</v>
      </c>
      <c r="I31" s="8" t="n">
        <v>9</v>
      </c>
      <c r="J31" s="7" t="n">
        <v>27</v>
      </c>
      <c r="K31" s="7" t="n">
        <v>243</v>
      </c>
      <c r="L31" s="5" t="inlineStr">
        <is>
          <t>35000</t>
        </is>
      </c>
      <c r="M31" s="5" t="inlineStr">
        <is>
          <t>90-120000</t>
        </is>
      </c>
    </row>
    <row r="32">
      <c r="A32" s="6" t="inlineStr">
        <is>
          <t>воздух высокого давления Ру125</t>
        </is>
      </c>
      <c r="B32" s="5" t="inlineStr">
        <is>
          <t>Пусковые клапаны</t>
        </is>
      </c>
      <c r="C32" s="5" t="n">
        <v>32</v>
      </c>
      <c r="D32" s="5" t="n">
        <v>125</v>
      </c>
      <c r="E32" s="6" t="inlineStr">
        <is>
          <t>Клапан пусковой Ду32Ру125</t>
        </is>
      </c>
      <c r="F32" s="5" t="inlineStr">
        <is>
          <t>587-03.082</t>
        </is>
      </c>
      <c r="G32" s="5" t="inlineStr">
        <is>
          <t>б/у</t>
        </is>
      </c>
      <c r="H32" s="8" t="n">
        <v>8</v>
      </c>
      <c r="I32" s="8" t="n">
        <v>8</v>
      </c>
      <c r="J32" s="7" t="n">
        <v>8.800000000000001</v>
      </c>
      <c r="K32" s="7" t="n">
        <v>70.40000000000001</v>
      </c>
      <c r="L32" s="5" t="inlineStr">
        <is>
          <t>30000</t>
        </is>
      </c>
      <c r="M32" s="5" t="inlineStr">
        <is>
          <t>50000-70000</t>
        </is>
      </c>
    </row>
    <row r="33">
      <c r="A33" s="4" t="inlineStr">
        <is>
          <t>Клапаны высокого давления (Ру 100-150) — 10 позиций  159 шт по приложению  183 шт по факту  174 кг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6" t="inlineStr">
        <is>
          <t>высокое давление Ру100</t>
        </is>
      </c>
      <c r="B34" s="5" t="inlineStr">
        <is>
          <t>Штуцерная, угол или проход не указан</t>
        </is>
      </c>
      <c r="C34" s="5" t="n">
        <v>6</v>
      </c>
      <c r="D34" s="5" t="n">
        <v>100</v>
      </c>
      <c r="E34" s="6" t="inlineStr">
        <is>
          <t>Клапан для манометра штущерный сальниковый Ду6 Ру100 новый                                                                                                       (521-35.3434 -8 шт , 521-02.013 -86 шт , 521-35.3434-04 -30 шт)</t>
        </is>
      </c>
      <c r="F34" s="5" t="inlineStr">
        <is>
          <t>521-02.013</t>
        </is>
      </c>
      <c r="G34" s="5" t="inlineStr">
        <is>
          <t>новый</t>
        </is>
      </c>
      <c r="H34" s="8" t="n">
        <v>95</v>
      </c>
      <c r="I34" s="8" t="n">
        <v>124</v>
      </c>
      <c r="J34" s="7" t="n">
        <v>0.7</v>
      </c>
      <c r="K34" s="7" t="n">
        <v>0</v>
      </c>
      <c r="L34" s="5" t="inlineStr">
        <is>
          <t>3000 - 4000</t>
        </is>
      </c>
      <c r="M34" s="5" t="inlineStr">
        <is>
          <t>14-17000</t>
        </is>
      </c>
    </row>
    <row r="35">
      <c r="A35" s="6" t="inlineStr">
        <is>
          <t>высокое давление Ру100; котельная</t>
        </is>
      </c>
      <c r="B35" s="5" t="inlineStr">
        <is>
          <t>Штуцерная, угол или проход не указан</t>
        </is>
      </c>
      <c r="C35" s="5" t="n">
        <v>6</v>
      </c>
      <c r="D35" s="5" t="n">
        <v>100</v>
      </c>
      <c r="E35" s="6" t="inlineStr">
        <is>
          <t>Клапан предохранительный штуцерный сигнальный Ду6 Ру100-230</t>
        </is>
      </c>
      <c r="F35" s="5" t="inlineStr">
        <is>
          <t>524-35.2423-01</t>
        </is>
      </c>
      <c r="G35" s="5" t="inlineStr">
        <is>
          <t>новый</t>
        </is>
      </c>
      <c r="H35" s="8" t="n">
        <v>1</v>
      </c>
      <c r="I35" s="8" t="n">
        <v>1</v>
      </c>
      <c r="J35" s="7" t="n">
        <v>3.5</v>
      </c>
      <c r="K35" s="7" t="n">
        <v>3.5</v>
      </c>
      <c r="L35" s="5" t="inlineStr">
        <is>
          <t>20000</t>
        </is>
      </c>
      <c r="M35" s="5" t="inlineStr">
        <is>
          <t>55000</t>
        </is>
      </c>
    </row>
    <row r="36">
      <c r="A36" s="6" t="inlineStr">
        <is>
          <t>высокое давление Ру100; котельная</t>
        </is>
      </c>
      <c r="B36" s="5" t="inlineStr">
        <is>
          <t>Штуцерная, угол или проход не указан</t>
        </is>
      </c>
      <c r="C36" s="5" t="n">
        <v>6</v>
      </c>
      <c r="D36" s="5" t="n">
        <v>100</v>
      </c>
      <c r="E36" s="6" t="inlineStr">
        <is>
          <t>Клапан предохранительный штуцерный сигнальный Ду6Ру100-250</t>
        </is>
      </c>
      <c r="F36" s="5" t="inlineStr">
        <is>
          <t>524-03.188</t>
        </is>
      </c>
      <c r="G36" s="5" t="inlineStr">
        <is>
          <t>новый</t>
        </is>
      </c>
      <c r="H36" s="8" t="n">
        <v>2</v>
      </c>
      <c r="I36" s="8" t="n">
        <v>2</v>
      </c>
      <c r="J36" s="7" t="n">
        <v>2.06</v>
      </c>
      <c r="K36" s="7" t="n">
        <v>4.12</v>
      </c>
      <c r="L36" s="5" t="inlineStr">
        <is>
          <t>по согласованию</t>
        </is>
      </c>
      <c r="M36" s="5" t="inlineStr"/>
    </row>
    <row r="37">
      <c r="A37" s="6" t="inlineStr">
        <is>
          <t>высокое давление Ру100</t>
        </is>
      </c>
      <c r="B37" s="5" t="inlineStr">
        <is>
          <t>Штуцерная угловая</t>
        </is>
      </c>
      <c r="C37" s="5" t="n">
        <v>20</v>
      </c>
      <c r="D37" s="5" t="n">
        <v>100</v>
      </c>
      <c r="E37" s="6" t="inlineStr">
        <is>
          <t>Клапан штуцерный угловой Ду20 Ру100</t>
        </is>
      </c>
      <c r="F37" s="5" t="inlineStr">
        <is>
          <t>521-01.468-05</t>
        </is>
      </c>
      <c r="G37" s="5" t="inlineStr">
        <is>
          <t>б/у</t>
        </is>
      </c>
      <c r="H37" s="8" t="n">
        <v>5</v>
      </c>
      <c r="I37" s="8" t="n">
        <v>0</v>
      </c>
      <c r="J37" s="7" t="n">
        <v>1.9</v>
      </c>
      <c r="K37" s="7" t="n">
        <v>0</v>
      </c>
      <c r="L37" s="5" t="inlineStr">
        <is>
          <t>4000</t>
        </is>
      </c>
      <c r="M37" s="5" t="inlineStr">
        <is>
          <t>18000</t>
        </is>
      </c>
    </row>
    <row r="38">
      <c r="A38" s="6" t="inlineStr">
        <is>
          <t>высокое давление Ру100</t>
        </is>
      </c>
      <c r="B38" s="5" t="inlineStr">
        <is>
          <t>Штуцерная угловая</t>
        </is>
      </c>
      <c r="C38" s="5" t="n">
        <v>25</v>
      </c>
      <c r="D38" s="5" t="n">
        <v>100</v>
      </c>
      <c r="E38" s="6" t="inlineStr">
        <is>
          <t>Клапан штуцерный угловой Ду25 Ру 100</t>
        </is>
      </c>
      <c r="F38" s="5" t="inlineStr">
        <is>
          <t>521--35.3363</t>
        </is>
      </c>
      <c r="G38" s="5" t="inlineStr">
        <is>
          <t>новый</t>
        </is>
      </c>
      <c r="H38" s="8" t="n">
        <v>1</v>
      </c>
      <c r="I38" s="8" t="n">
        <v>1</v>
      </c>
      <c r="J38" s="7" t="n">
        <v>2.9</v>
      </c>
      <c r="K38" s="7" t="n">
        <v>2.9</v>
      </c>
      <c r="L38" s="5" t="inlineStr">
        <is>
          <t>5000</t>
        </is>
      </c>
      <c r="M38" s="5" t="inlineStr">
        <is>
          <t>20000</t>
        </is>
      </c>
    </row>
    <row r="39">
      <c r="A39" s="6" t="inlineStr">
        <is>
          <t>высокое давление Ру100</t>
        </is>
      </c>
      <c r="B39" s="5" t="inlineStr">
        <is>
          <t>Штуцерная угловая</t>
        </is>
      </c>
      <c r="C39" s="5" t="n">
        <v>32</v>
      </c>
      <c r="D39" s="5" t="n">
        <v>100</v>
      </c>
      <c r="E39" s="6" t="inlineStr">
        <is>
          <t>Клапан штуцерный угловой Ду32Ру100</t>
        </is>
      </c>
      <c r="F39" s="5" t="inlineStr">
        <is>
          <t>521-01.468-07</t>
        </is>
      </c>
      <c r="G39" s="5" t="inlineStr">
        <is>
          <t>новый</t>
        </is>
      </c>
      <c r="H39" s="8" t="n">
        <v>31</v>
      </c>
      <c r="I39" s="8" t="n">
        <v>31</v>
      </c>
      <c r="J39" s="7" t="n">
        <v>3.3</v>
      </c>
      <c r="K39" s="7" t="n">
        <v>102.3</v>
      </c>
      <c r="L39" s="5" t="inlineStr">
        <is>
          <t>6500</t>
        </is>
      </c>
      <c r="M39" s="5" t="inlineStr">
        <is>
          <t>22000</t>
        </is>
      </c>
    </row>
    <row r="40">
      <c r="A40" s="6" t="inlineStr">
        <is>
          <t>высокое давление Ру100</t>
        </is>
      </c>
      <c r="B40" s="5" t="inlineStr">
        <is>
          <t>Штуцерная угловая</t>
        </is>
      </c>
      <c r="C40" s="5" t="n">
        <v>32</v>
      </c>
      <c r="D40" s="5" t="n">
        <v>100</v>
      </c>
      <c r="E40" s="6" t="inlineStr">
        <is>
          <t>Клапан штуцерный угловой Ду32Ру100</t>
        </is>
      </c>
      <c r="F40" s="5" t="inlineStr">
        <is>
          <t>521-01.464-07</t>
        </is>
      </c>
      <c r="G40" s="5" t="inlineStr">
        <is>
          <t>новый</t>
        </is>
      </c>
      <c r="H40" s="8" t="n">
        <v>14</v>
      </c>
      <c r="I40" s="8" t="n">
        <v>14</v>
      </c>
      <c r="J40" s="7" t="n">
        <v>3.3</v>
      </c>
      <c r="K40" s="7" t="n">
        <v>46.2</v>
      </c>
      <c r="L40" s="5" t="inlineStr">
        <is>
          <t>6500</t>
        </is>
      </c>
      <c r="M40" s="5" t="inlineStr">
        <is>
          <t>22000</t>
        </is>
      </c>
    </row>
    <row r="41">
      <c r="A41" s="6" t="inlineStr">
        <is>
          <t>высокое давление Ру100</t>
        </is>
      </c>
      <c r="B41" s="5" t="inlineStr">
        <is>
          <t>Штуцерная угловая</t>
        </is>
      </c>
      <c r="C41" s="5" t="n">
        <v>32</v>
      </c>
      <c r="D41" s="5" t="n">
        <v>100</v>
      </c>
      <c r="E41" s="6" t="inlineStr">
        <is>
          <t>Клапан штуцерный угловой Ду32Ру100</t>
        </is>
      </c>
      <c r="F41" s="5" t="inlineStr">
        <is>
          <t>521-01.464-06</t>
        </is>
      </c>
      <c r="G41" s="5" t="inlineStr">
        <is>
          <t>новый</t>
        </is>
      </c>
      <c r="H41" s="8" t="n">
        <v>1</v>
      </c>
      <c r="I41" s="8" t="n">
        <v>1</v>
      </c>
      <c r="J41" s="7" t="n">
        <v>3.3</v>
      </c>
      <c r="K41" s="7" t="n">
        <v>3.3</v>
      </c>
      <c r="L41" s="5" t="inlineStr">
        <is>
          <t>6500</t>
        </is>
      </c>
      <c r="M41" s="5" t="inlineStr">
        <is>
          <t>22000</t>
        </is>
      </c>
    </row>
    <row r="42">
      <c r="A42" s="6" t="inlineStr">
        <is>
          <t>высокое давление Ру100</t>
        </is>
      </c>
      <c r="B42" s="5" t="inlineStr">
        <is>
          <t>Штуцерная угловая</t>
        </is>
      </c>
      <c r="C42" s="5" t="n">
        <v>32</v>
      </c>
      <c r="D42" s="5" t="n">
        <v>100</v>
      </c>
      <c r="E42" s="6" t="inlineStr">
        <is>
          <t>Клапан штуцерный угловой Ду32Ру100</t>
        </is>
      </c>
      <c r="F42" s="5" t="inlineStr">
        <is>
          <t>522-01.500-07</t>
        </is>
      </c>
      <c r="G42" s="5" t="inlineStr">
        <is>
          <t>новый</t>
        </is>
      </c>
      <c r="H42" s="8" t="n">
        <v>1</v>
      </c>
      <c r="I42" s="8" t="n">
        <v>1</v>
      </c>
      <c r="J42" s="7" t="n">
        <v>3.3</v>
      </c>
      <c r="K42" s="7" t="n">
        <v>3.3</v>
      </c>
      <c r="L42" s="5" t="inlineStr">
        <is>
          <t>6500</t>
        </is>
      </c>
      <c r="M42" s="5" t="inlineStr">
        <is>
          <t>22000</t>
        </is>
      </c>
    </row>
    <row r="43">
      <c r="A43" s="6" t="inlineStr">
        <is>
          <t>высокое давление Ру150</t>
        </is>
      </c>
      <c r="B43" s="5" t="inlineStr">
        <is>
          <t>Штуцерная угловая</t>
        </is>
      </c>
      <c r="C43" s="5" t="n"/>
      <c r="D43" s="5" t="n">
        <v>150</v>
      </c>
      <c r="E43" s="6" t="inlineStr">
        <is>
          <t>Клапан штуцерный угловой Рр150/10</t>
        </is>
      </c>
      <c r="F43" s="5" t="inlineStr">
        <is>
          <t>521-ц22п</t>
        </is>
      </c>
      <c r="G43" s="5" t="inlineStr">
        <is>
          <t>новый</t>
        </is>
      </c>
      <c r="H43" s="8" t="n">
        <v>8</v>
      </c>
      <c r="I43" s="8" t="n">
        <v>8</v>
      </c>
      <c r="J43" s="7" t="n">
        <v>1</v>
      </c>
      <c r="K43" s="7" t="n">
        <v>8</v>
      </c>
      <c r="L43" s="5" t="inlineStr">
        <is>
          <t>3000</t>
        </is>
      </c>
      <c r="M43" s="5" t="inlineStr">
        <is>
          <t>12000</t>
        </is>
      </c>
    </row>
    <row r="44">
      <c r="A44" s="4" t="inlineStr">
        <is>
          <t>Педальные клапаны — 2 позиций  63 шт по приложению  63 шт по факту  346 кг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6" t="inlineStr">
        <is>
          <t>педальный</t>
        </is>
      </c>
      <c r="B45" s="5" t="inlineStr">
        <is>
          <t>Педальные клапаны</t>
        </is>
      </c>
      <c r="C45" s="5" t="n">
        <v>25</v>
      </c>
      <c r="D45" s="5" t="n"/>
      <c r="E45" s="6" t="inlineStr">
        <is>
          <t>Клапан педальный Ду25</t>
        </is>
      </c>
      <c r="F45" s="5" t="inlineStr">
        <is>
          <t>М528-03.001</t>
        </is>
      </c>
      <c r="G45" s="5" t="inlineStr">
        <is>
          <t>б/у</t>
        </is>
      </c>
      <c r="H45" s="8" t="n">
        <v>1</v>
      </c>
      <c r="I45" s="8" t="n">
        <v>1</v>
      </c>
      <c r="J45" s="7" t="n">
        <v>5.5</v>
      </c>
      <c r="K45" s="7" t="n">
        <v>5.5</v>
      </c>
      <c r="L45" s="5" t="inlineStr">
        <is>
          <t>15000</t>
        </is>
      </c>
      <c r="M45" s="5" t="inlineStr">
        <is>
          <t>30000</t>
        </is>
      </c>
    </row>
    <row r="46">
      <c r="A46" s="6" t="inlineStr">
        <is>
          <t>педальный</t>
        </is>
      </c>
      <c r="B46" s="5" t="inlineStr">
        <is>
          <t>Педальные клапаны</t>
        </is>
      </c>
      <c r="C46" s="5" t="n">
        <v>25</v>
      </c>
      <c r="D46" s="5" t="n"/>
      <c r="E46" s="6" t="inlineStr">
        <is>
          <t>Клапан педальный Ду25 новый приход</t>
        </is>
      </c>
      <c r="F46" s="5" t="inlineStr">
        <is>
          <t>М528-03.001</t>
        </is>
      </c>
      <c r="G46" s="5" t="inlineStr">
        <is>
          <t>новый</t>
        </is>
      </c>
      <c r="H46" s="8" t="n">
        <v>62</v>
      </c>
      <c r="I46" s="8" t="n">
        <v>62</v>
      </c>
      <c r="J46" s="7" t="n">
        <v>5.5</v>
      </c>
      <c r="K46" s="7" t="n">
        <v>341</v>
      </c>
      <c r="L46" s="5" t="inlineStr">
        <is>
          <t>15000</t>
        </is>
      </c>
      <c r="M46" s="5" t="inlineStr">
        <is>
          <t>30000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8" customWidth="1" min="4" max="4"/>
    <col width="54" customWidth="1" min="5" max="5"/>
    <col width="26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Позиции без чертежа — вписать</t>
        </is>
      </c>
    </row>
    <row r="2">
      <c r="A2" s="2" t="inlineStr">
        <is>
          <t>Покупатель ищет по номеру чертежа. Желтые ячейки заполняем сами: чертеж обычно выбит на корпусе или на бирке.</t>
        </is>
      </c>
    </row>
    <row r="4" ht="30" customHeight="1">
      <c r="A4" s="3" t="inlineStr">
        <is>
          <t>№</t>
        </is>
      </c>
      <c r="B4" s="3" t="inlineStr">
        <is>
          <t>Группа</t>
        </is>
      </c>
      <c r="C4" s="3" t="inlineStr">
        <is>
          <t>Ду</t>
        </is>
      </c>
      <c r="D4" s="3" t="inlineStr">
        <is>
          <t>Ру</t>
        </is>
      </c>
      <c r="E4" s="3" t="inlineStr">
        <is>
          <t>Наименование</t>
        </is>
      </c>
      <c r="F4" s="3" t="inlineStr">
        <is>
          <t>Чертеж — вписать</t>
        </is>
      </c>
      <c r="G4" s="3" t="inlineStr">
        <is>
          <t>Состояние</t>
        </is>
      </c>
      <c r="H4" s="3" t="inlineStr">
        <is>
          <t>Кол-во факт</t>
        </is>
      </c>
      <c r="I4" s="3" t="inlineStr">
        <is>
          <t>Вес 1 шт, кг</t>
        </is>
      </c>
      <c r="J4" s="3" t="inlineStr">
        <is>
          <t>Лист</t>
        </is>
      </c>
    </row>
    <row r="5">
      <c r="A5" s="5" t="n">
        <v>1</v>
      </c>
      <c r="B5" s="5" t="inlineStr">
        <is>
          <t>Штуцерная проходная</t>
        </is>
      </c>
      <c r="C5" s="5" t="n">
        <v>20</v>
      </c>
      <c r="D5" s="5" t="n">
        <v>16</v>
      </c>
      <c r="E5" s="6" t="inlineStr">
        <is>
          <t>Клапан муфтовый проходной запорный Ду20Ру16</t>
        </is>
      </c>
      <c r="F5" s="11" t="n"/>
      <c r="G5" s="5" t="inlineStr"/>
      <c r="H5" s="7" t="n"/>
      <c r="I5" s="7" t="n"/>
      <c r="J5" s="5" t="inlineStr">
        <is>
          <t>Прил. 3</t>
        </is>
      </c>
    </row>
    <row r="6">
      <c r="A6" s="5" t="n">
        <v>2</v>
      </c>
      <c r="B6" s="5" t="inlineStr">
        <is>
          <t>Штуцерная проходная</t>
        </is>
      </c>
      <c r="C6" s="5" t="n">
        <v>32</v>
      </c>
      <c r="D6" s="5" t="n">
        <v>10</v>
      </c>
      <c r="E6" s="6" t="inlineStr">
        <is>
          <t>Клапан муфтовый проходной запорный Ду32Ру10</t>
        </is>
      </c>
      <c r="F6" s="11" t="n"/>
      <c r="G6" s="5" t="inlineStr"/>
      <c r="H6" s="7" t="n"/>
      <c r="I6" s="7" t="n"/>
      <c r="J6" s="5" t="inlineStr">
        <is>
          <t>Прил. 3</t>
        </is>
      </c>
    </row>
    <row r="7">
      <c r="A7" s="5" t="n">
        <v>3</v>
      </c>
      <c r="B7" s="5" t="inlineStr">
        <is>
          <t>Фланцевая угловая</t>
        </is>
      </c>
      <c r="C7" s="5" t="n">
        <v>50</v>
      </c>
      <c r="D7" s="5" t="n"/>
      <c r="E7" s="6" t="inlineStr">
        <is>
          <t>Клапан фланц. концевой пожарный угловой Ду50</t>
        </is>
      </c>
      <c r="F7" s="11" t="n"/>
      <c r="G7" s="5" t="inlineStr">
        <is>
          <t>б/у</t>
        </is>
      </c>
      <c r="H7" s="7" t="n">
        <v>1</v>
      </c>
      <c r="I7" s="7" t="n">
        <v>9.300000000000001</v>
      </c>
      <c r="J7" s="5" t="inlineStr">
        <is>
          <t>Прил. 3</t>
        </is>
      </c>
    </row>
    <row r="8">
      <c r="A8" s="5" t="n">
        <v>4</v>
      </c>
      <c r="B8" s="5" t="inlineStr">
        <is>
          <t>Фланцевая угловая</t>
        </is>
      </c>
      <c r="C8" s="5" t="n">
        <v>50</v>
      </c>
      <c r="D8" s="5" t="n"/>
      <c r="E8" s="6" t="inlineStr">
        <is>
          <t>Клапан фланцевый угловой Ду50</t>
        </is>
      </c>
      <c r="F8" s="11" t="n"/>
      <c r="G8" s="5" t="inlineStr">
        <is>
          <t>б/у</t>
        </is>
      </c>
      <c r="H8" s="7" t="n">
        <v>3</v>
      </c>
      <c r="I8" s="7" t="n">
        <v>12</v>
      </c>
      <c r="J8" s="5" t="inlineStr">
        <is>
          <t>Прил. 2</t>
        </is>
      </c>
    </row>
    <row r="9">
      <c r="A9" s="5" t="n">
        <v>5</v>
      </c>
      <c r="B9" s="5" t="inlineStr">
        <is>
          <t>Фланцевая угловая</t>
        </is>
      </c>
      <c r="C9" s="5" t="n">
        <v>100</v>
      </c>
      <c r="D9" s="5" t="n"/>
      <c r="E9" s="6" t="inlineStr">
        <is>
          <t>Клапан фланцевый угловой Ду100</t>
        </is>
      </c>
      <c r="F9" s="11" t="n"/>
      <c r="G9" s="5" t="inlineStr">
        <is>
          <t>б/у</t>
        </is>
      </c>
      <c r="H9" s="7" t="n">
        <v>10</v>
      </c>
      <c r="I9" s="7" t="n">
        <v>28</v>
      </c>
      <c r="J9" s="5" t="inlineStr">
        <is>
          <t>Прил. 2</t>
        </is>
      </c>
    </row>
    <row r="10">
      <c r="A10" s="5" t="n">
        <v>6</v>
      </c>
      <c r="B10" s="5" t="inlineStr">
        <is>
          <t>Фланцевая угловая</t>
        </is>
      </c>
      <c r="C10" s="5" t="n">
        <v>150</v>
      </c>
      <c r="D10" s="5" t="n">
        <v>10</v>
      </c>
      <c r="E10" s="6" t="inlineStr">
        <is>
          <t>Клапан фланцевый угловой Ду150 Ру10</t>
        </is>
      </c>
      <c r="F10" s="11" t="n"/>
      <c r="G10" s="5" t="inlineStr"/>
      <c r="H10" s="7" t="n">
        <v>0</v>
      </c>
      <c r="I10" s="7" t="n"/>
      <c r="J10" s="5" t="inlineStr">
        <is>
          <t>Прил. 3</t>
        </is>
      </c>
    </row>
    <row r="11">
      <c r="A11" s="5" t="n">
        <v>7</v>
      </c>
      <c r="B11" s="5" t="inlineStr">
        <is>
          <t>Фланцевая проходная</t>
        </is>
      </c>
      <c r="C11" s="5" t="n">
        <v>50</v>
      </c>
      <c r="D11" s="5" t="n"/>
      <c r="E11" s="6" t="inlineStr">
        <is>
          <t>Клапан фланцевый проходной Ду50</t>
        </is>
      </c>
      <c r="F11" s="11" t="n"/>
      <c r="G11" s="5" t="inlineStr">
        <is>
          <t>б/у</t>
        </is>
      </c>
      <c r="H11" s="7" t="n">
        <v>51</v>
      </c>
      <c r="I11" s="7" t="n">
        <v>12</v>
      </c>
      <c r="J11" s="5" t="inlineStr">
        <is>
          <t>Прил. 2</t>
        </is>
      </c>
    </row>
    <row r="12">
      <c r="A12" s="5" t="n">
        <v>8</v>
      </c>
      <c r="B12" s="5" t="inlineStr">
        <is>
          <t>Фланцевая проходная</t>
        </is>
      </c>
      <c r="C12" s="5" t="n">
        <v>200</v>
      </c>
      <c r="D12" s="5" t="n"/>
      <c r="E12" s="6" t="inlineStr">
        <is>
          <t>Клапан фланцевый проходной Ду200</t>
        </is>
      </c>
      <c r="F12" s="11" t="n"/>
      <c r="G12" s="5" t="inlineStr">
        <is>
          <t>б/у</t>
        </is>
      </c>
      <c r="H12" s="7" t="n">
        <v>3</v>
      </c>
      <c r="I12" s="7" t="n">
        <v>110</v>
      </c>
      <c r="J12" s="5" t="inlineStr">
        <is>
          <t>Прил. 3</t>
        </is>
      </c>
    </row>
    <row r="13">
      <c r="A13" s="5" t="n">
        <v>9</v>
      </c>
      <c r="B13" s="5" t="inlineStr">
        <is>
          <t>Клинкеты</t>
        </is>
      </c>
      <c r="C13" s="5" t="n">
        <v>200</v>
      </c>
      <c r="D13" s="5" t="n"/>
      <c r="E13" s="6" t="inlineStr">
        <is>
          <t>Клинкет Ду 200</t>
        </is>
      </c>
      <c r="F13" s="11" t="n"/>
      <c r="G13" s="5" t="inlineStr">
        <is>
          <t>б/у</t>
        </is>
      </c>
      <c r="H13" s="7" t="n">
        <v>15</v>
      </c>
      <c r="I13" s="7" t="n">
        <v>88</v>
      </c>
      <c r="J13" s="5" t="inlineStr">
        <is>
          <t>Прил. 2</t>
        </is>
      </c>
    </row>
    <row r="14">
      <c r="A14" s="5" t="n">
        <v>10</v>
      </c>
      <c r="B14" s="5" t="inlineStr">
        <is>
          <t>Клинкеты</t>
        </is>
      </c>
      <c r="C14" s="5" t="n">
        <v>250</v>
      </c>
      <c r="D14" s="5" t="n"/>
      <c r="E14" s="6" t="inlineStr">
        <is>
          <t>Клинкет Ду 250</t>
        </is>
      </c>
      <c r="F14" s="11" t="n"/>
      <c r="G14" s="5" t="inlineStr">
        <is>
          <t>б/у</t>
        </is>
      </c>
      <c r="H14" s="7" t="n">
        <v>19</v>
      </c>
      <c r="I14" s="7" t="n">
        <v>125</v>
      </c>
      <c r="J14" s="5" t="inlineStr">
        <is>
          <t>Прил. 2</t>
        </is>
      </c>
    </row>
    <row r="15">
      <c r="A15" s="5" t="n">
        <v>11</v>
      </c>
      <c r="B15" s="5" t="inlineStr">
        <is>
          <t>Клинкеты</t>
        </is>
      </c>
      <c r="C15" s="5" t="n">
        <v>300</v>
      </c>
      <c r="D15" s="5" t="n"/>
      <c r="E15" s="6" t="inlineStr">
        <is>
          <t>Клинкет Ду 300</t>
        </is>
      </c>
      <c r="F15" s="11" t="n"/>
      <c r="G15" s="5" t="inlineStr">
        <is>
          <t>б/у</t>
        </is>
      </c>
      <c r="H15" s="7" t="n">
        <v>13</v>
      </c>
      <c r="I15" s="7" t="n">
        <v>192</v>
      </c>
      <c r="J15" s="5" t="inlineStr">
        <is>
          <t>Прил. 2</t>
        </is>
      </c>
    </row>
    <row r="16">
      <c r="A16" s="5" t="n">
        <v>12</v>
      </c>
      <c r="B16" s="5" t="inlineStr">
        <is>
          <t>Клинкеты</t>
        </is>
      </c>
      <c r="C16" s="5" t="n">
        <v>350</v>
      </c>
      <c r="D16" s="5" t="n"/>
      <c r="E16" s="6" t="inlineStr">
        <is>
          <t>Клинкет  Ду 350</t>
        </is>
      </c>
      <c r="F16" s="11" t="n"/>
      <c r="G16" s="5" t="inlineStr">
        <is>
          <t>б/у</t>
        </is>
      </c>
      <c r="H16" s="7" t="n">
        <v>1</v>
      </c>
      <c r="I16" s="7" t="n">
        <v>228</v>
      </c>
      <c r="J16" s="5" t="inlineStr">
        <is>
          <t>Прил. 2</t>
        </is>
      </c>
    </row>
    <row r="17">
      <c r="A17" s="5" t="n">
        <v>13</v>
      </c>
      <c r="B17" s="5" t="inlineStr">
        <is>
          <t>Фильтры забортной воды</t>
        </is>
      </c>
      <c r="C17" s="5" t="n">
        <v>50</v>
      </c>
      <c r="D17" s="5" t="n"/>
      <c r="E17" s="6" t="inlineStr">
        <is>
          <t>Фильтр забортной воды Ду 50</t>
        </is>
      </c>
      <c r="F17" s="11" t="n"/>
      <c r="G17" s="5" t="inlineStr">
        <is>
          <t>б/у</t>
        </is>
      </c>
      <c r="H17" s="7" t="n">
        <v>0</v>
      </c>
      <c r="I17" s="7" t="n">
        <v>0</v>
      </c>
      <c r="J17" s="5" t="inlineStr">
        <is>
          <t>Прил. 2</t>
        </is>
      </c>
    </row>
    <row r="18">
      <c r="A18" s="5" t="n">
        <v>14</v>
      </c>
      <c r="B18" s="5" t="inlineStr">
        <is>
          <t>Фильтры забортной воды</t>
        </is>
      </c>
      <c r="C18" s="5" t="n">
        <v>80</v>
      </c>
      <c r="D18" s="5" t="n"/>
      <c r="E18" s="6" t="inlineStr">
        <is>
          <t>Фильтр заборной воды ДУ 80</t>
        </is>
      </c>
      <c r="F18" s="11" t="n"/>
      <c r="G18" s="5" t="inlineStr">
        <is>
          <t>б/у</t>
        </is>
      </c>
      <c r="H18" s="7" t="n">
        <v>5</v>
      </c>
      <c r="I18" s="7" t="n">
        <v>22</v>
      </c>
      <c r="J18" s="5" t="inlineStr">
        <is>
          <t>Прил. 2</t>
        </is>
      </c>
    </row>
    <row r="19">
      <c r="A19" s="5" t="n">
        <v>15</v>
      </c>
      <c r="B19" s="5" t="inlineStr">
        <is>
          <t>Фильтры забортной воды</t>
        </is>
      </c>
      <c r="C19" s="5" t="n">
        <v>100</v>
      </c>
      <c r="D19" s="5" t="n"/>
      <c r="E19" s="6" t="inlineStr">
        <is>
          <t>Фильтр забортной воды Ду 100</t>
        </is>
      </c>
      <c r="F19" s="11" t="n"/>
      <c r="G19" s="5" t="inlineStr">
        <is>
          <t>б/у</t>
        </is>
      </c>
      <c r="H19" s="7" t="n">
        <v>1</v>
      </c>
      <c r="I19" s="7" t="n">
        <v>42</v>
      </c>
      <c r="J19" s="5" t="inlineStr">
        <is>
          <t>Прил. 2</t>
        </is>
      </c>
    </row>
    <row r="20">
      <c r="A20" s="5" t="n">
        <v>16</v>
      </c>
      <c r="B20" s="5" t="inlineStr">
        <is>
          <t>Фильтры забортной воды</t>
        </is>
      </c>
      <c r="C20" s="5" t="n">
        <v>150</v>
      </c>
      <c r="D20" s="5" t="n"/>
      <c r="E20" s="6" t="inlineStr">
        <is>
          <t>Фильтр заборной воды ДУ 150</t>
        </is>
      </c>
      <c r="F20" s="11" t="n"/>
      <c r="G20" s="5" t="inlineStr">
        <is>
          <t>б/у</t>
        </is>
      </c>
      <c r="H20" s="7" t="n">
        <v>5</v>
      </c>
      <c r="I20" s="7" t="n">
        <v>64</v>
      </c>
      <c r="J20" s="5" t="inlineStr">
        <is>
          <t>Прил. 2</t>
        </is>
      </c>
    </row>
    <row r="21">
      <c r="A21" s="5" t="n">
        <v>17</v>
      </c>
      <c r="B21" s="5" t="inlineStr">
        <is>
          <t>Фильтры забортной воды</t>
        </is>
      </c>
      <c r="C21" s="5" t="n">
        <v>200</v>
      </c>
      <c r="D21" s="5" t="n"/>
      <c r="E21" s="6" t="inlineStr">
        <is>
          <t>Фильтр забортной воды Ду200</t>
        </is>
      </c>
      <c r="F21" s="11" t="n"/>
      <c r="G21" s="5" t="inlineStr">
        <is>
          <t>б/у</t>
        </is>
      </c>
      <c r="H21" s="7" t="n">
        <v>8</v>
      </c>
      <c r="I21" s="7" t="n">
        <v>148</v>
      </c>
      <c r="J21" s="5" t="inlineStr">
        <is>
          <t>Прил. 2</t>
        </is>
      </c>
    </row>
    <row r="22">
      <c r="A22" s="5" t="n">
        <v>18</v>
      </c>
      <c r="B22" s="5" t="inlineStr">
        <is>
          <t>Фильтры забортной воды</t>
        </is>
      </c>
      <c r="C22" s="5" t="n">
        <v>300</v>
      </c>
      <c r="D22" s="5" t="n"/>
      <c r="E22" s="6" t="inlineStr">
        <is>
          <t>Фильтр забортной воды Ду 300</t>
        </is>
      </c>
      <c r="F22" s="11" t="n"/>
      <c r="G22" s="5" t="inlineStr">
        <is>
          <t>б/у</t>
        </is>
      </c>
      <c r="H22" s="7" t="n">
        <v>2</v>
      </c>
      <c r="I22" s="7" t="n">
        <v>172</v>
      </c>
      <c r="J22" s="5" t="inlineStr">
        <is>
          <t>Прил. 2</t>
        </is>
      </c>
    </row>
    <row r="23">
      <c r="A23" s="5" t="n">
        <v>19</v>
      </c>
      <c r="B23" s="5" t="inlineStr">
        <is>
          <t>Коробки клапанные</t>
        </is>
      </c>
      <c r="C23" s="5" t="n">
        <v>50</v>
      </c>
      <c r="D23" s="5" t="n"/>
      <c r="E23" s="6" t="inlineStr">
        <is>
          <t>Коробка 2-х клапановая фланцевая Ду50</t>
        </is>
      </c>
      <c r="F23" s="11" t="n"/>
      <c r="G23" s="5" t="inlineStr">
        <is>
          <t>б/у</t>
        </is>
      </c>
      <c r="H23" s="7" t="n">
        <v>2</v>
      </c>
      <c r="I23" s="7" t="n">
        <v>30</v>
      </c>
      <c r="J23" s="5" t="inlineStr">
        <is>
          <t>Прил. 2</t>
        </is>
      </c>
    </row>
    <row r="24">
      <c r="A24" s="5" t="n">
        <v>20</v>
      </c>
      <c r="B24" s="5" t="inlineStr">
        <is>
          <t>Коробки клапанные</t>
        </is>
      </c>
      <c r="C24" s="5" t="n">
        <v>50</v>
      </c>
      <c r="D24" s="5" t="n"/>
      <c r="E24" s="6" t="inlineStr">
        <is>
          <t>Коробка 3-х клап.фланцевая Ду50</t>
        </is>
      </c>
      <c r="F24" s="11" t="n"/>
      <c r="G24" s="5" t="inlineStr">
        <is>
          <t>б/у</t>
        </is>
      </c>
      <c r="H24" s="7" t="n">
        <v>5</v>
      </c>
      <c r="I24" s="7" t="n">
        <v>41</v>
      </c>
      <c r="J24" s="5" t="inlineStr">
        <is>
          <t>Прил. 2</t>
        </is>
      </c>
    </row>
    <row r="25">
      <c r="A25" s="5" t="n">
        <v>21</v>
      </c>
      <c r="B25" s="5" t="inlineStr">
        <is>
          <t>Коробки клапанные</t>
        </is>
      </c>
      <c r="C25" s="5" t="n">
        <v>80</v>
      </c>
      <c r="D25" s="5" t="n"/>
      <c r="E25" s="6" t="inlineStr">
        <is>
          <t>Коробка 2-х клапановая фланцевая Ду80</t>
        </is>
      </c>
      <c r="F25" s="11" t="n"/>
      <c r="G25" s="5" t="inlineStr">
        <is>
          <t>б/у</t>
        </is>
      </c>
      <c r="H25" s="7" t="n">
        <v>15</v>
      </c>
      <c r="I25" s="7" t="n">
        <v>47.6</v>
      </c>
      <c r="J25" s="5" t="inlineStr">
        <is>
          <t>Прил. 2</t>
        </is>
      </c>
    </row>
    <row r="26">
      <c r="A26" s="5" t="n">
        <v>22</v>
      </c>
      <c r="B26" s="5" t="inlineStr">
        <is>
          <t>Коробки клапанные</t>
        </is>
      </c>
      <c r="C26" s="5" t="n">
        <v>80</v>
      </c>
      <c r="D26" s="5" t="n"/>
      <c r="E26" s="6" t="inlineStr">
        <is>
          <t>Коробка 3-х клап.фланцевая Ду80</t>
        </is>
      </c>
      <c r="F26" s="11" t="n"/>
      <c r="G26" s="5" t="inlineStr">
        <is>
          <t>б/у</t>
        </is>
      </c>
      <c r="H26" s="7" t="n">
        <v>12</v>
      </c>
      <c r="I26" s="7" t="n">
        <v>68</v>
      </c>
      <c r="J26" s="5" t="inlineStr">
        <is>
          <t>Прил. 2</t>
        </is>
      </c>
    </row>
    <row r="27">
      <c r="A27" s="5" t="n">
        <v>23</v>
      </c>
      <c r="B27" s="5" t="inlineStr">
        <is>
          <t>Коробки клапанные</t>
        </is>
      </c>
      <c r="C27" s="5" t="n">
        <v>100</v>
      </c>
      <c r="D27" s="5" t="n"/>
      <c r="E27" s="6" t="inlineStr">
        <is>
          <t>Коробка 3-х клап.фланцевая Ду100</t>
        </is>
      </c>
      <c r="F27" s="11" t="n"/>
      <c r="G27" s="5" t="inlineStr">
        <is>
          <t>б/у</t>
        </is>
      </c>
      <c r="H27" s="7" t="n">
        <v>1</v>
      </c>
      <c r="I27" s="7" t="n">
        <v>90.5</v>
      </c>
      <c r="J27" s="5" t="inlineStr">
        <is>
          <t>Прил. 2</t>
        </is>
      </c>
    </row>
    <row r="28">
      <c r="A28" s="5" t="n">
        <v>24</v>
      </c>
      <c r="B28" s="5" t="inlineStr">
        <is>
          <t>Краны</t>
        </is>
      </c>
      <c r="C28" s="5" t="n">
        <v>15</v>
      </c>
      <c r="D28" s="5" t="n">
        <v>25</v>
      </c>
      <c r="E28" s="6" t="inlineStr">
        <is>
          <t>Кран штуцерный спусковой самозапорный проходной Ду15 Ру25</t>
        </is>
      </c>
      <c r="F28" s="11" t="n"/>
      <c r="G28" s="5" t="inlineStr"/>
      <c r="H28" s="7" t="n">
        <v>0</v>
      </c>
      <c r="I28" s="7" t="n">
        <v>0</v>
      </c>
      <c r="J28" s="5" t="inlineStr">
        <is>
          <t>Прил. 2</t>
        </is>
      </c>
    </row>
    <row r="29">
      <c r="A29" s="5" t="n">
        <v>25</v>
      </c>
      <c r="B29" s="5" t="inlineStr">
        <is>
          <t>Электромагнитные клапаны</t>
        </is>
      </c>
      <c r="C29" s="5" t="n"/>
      <c r="D29" s="5" t="n"/>
      <c r="E29" s="6" t="inlineStr">
        <is>
          <t>Клапан фреоновый саленоидный</t>
        </is>
      </c>
      <c r="F29" s="11" t="n"/>
      <c r="G29" s="5" t="inlineStr"/>
      <c r="H29" s="7" t="n"/>
      <c r="I29" s="7" t="n"/>
      <c r="J29" s="5" t="inlineStr">
        <is>
          <t>Прил. 3</t>
        </is>
      </c>
    </row>
    <row r="30">
      <c r="A30" s="5" t="n">
        <v>26</v>
      </c>
      <c r="B30" s="5" t="inlineStr">
        <is>
          <t>Эжекторы</t>
        </is>
      </c>
      <c r="C30" s="5" t="n"/>
      <c r="D30" s="5" t="n"/>
      <c r="E30" s="6" t="inlineStr">
        <is>
          <t>Эжектор ВЭЖ 6,3</t>
        </is>
      </c>
      <c r="F30" s="11" t="n"/>
      <c r="G30" s="5" t="inlineStr">
        <is>
          <t>б/у</t>
        </is>
      </c>
      <c r="H30" s="7" t="n">
        <v>1</v>
      </c>
      <c r="I30" s="7" t="n">
        <v>4</v>
      </c>
      <c r="J30" s="5" t="inlineStr">
        <is>
          <t>Прил.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50" customWidth="1" min="3" max="3"/>
    <col width="20" customWidth="1" min="4" max="4"/>
    <col width="13" customWidth="1" min="5" max="5"/>
    <col width="11" customWidth="1" min="6" max="6"/>
    <col width="11" customWidth="1" min="7" max="7"/>
    <col width="11" customWidth="1" min="8" max="8"/>
    <col width="12" customWidth="1" min="9" max="9"/>
    <col width="24" customWidth="1" min="10" max="10"/>
  </cols>
  <sheetData>
    <row r="1">
      <c r="A1" s="1" t="inlineStr">
        <is>
          <t>Что надо проверить до продажи</t>
        </is>
      </c>
    </row>
    <row r="2">
      <c r="A2" s="2" t="inlineStr">
        <is>
          <t>Собрано из самого списка: расхождения между приложением и фактом, пометки менеджера и строки с нулевым весом.</t>
        </is>
      </c>
    </row>
    <row r="4" ht="40" customHeight="1">
      <c r="A4" s="3" t="inlineStr">
        <is>
          <t>Что не так</t>
        </is>
      </c>
      <c r="B4" s="3" t="inlineStr">
        <is>
          <t>Группа</t>
        </is>
      </c>
      <c r="C4" s="3" t="inlineStr">
        <is>
          <t>Наименование</t>
        </is>
      </c>
      <c r="D4" s="3" t="inlineStr">
        <is>
          <t>Чертеж</t>
        </is>
      </c>
      <c r="E4" s="3" t="inlineStr">
        <is>
          <t>Кол-во по приложению</t>
        </is>
      </c>
      <c r="F4" s="3" t="inlineStr">
        <is>
          <t>Кол-во факт</t>
        </is>
      </c>
      <c r="G4" s="3" t="inlineStr">
        <is>
          <t>Расхождение</t>
        </is>
      </c>
      <c r="H4" s="3" t="inlineStr">
        <is>
          <t>Вес 1 шт, кг</t>
        </is>
      </c>
      <c r="I4" s="3" t="inlineStr">
        <is>
          <t>Общий вес, кг</t>
        </is>
      </c>
      <c r="J4" s="3" t="inlineStr">
        <is>
          <t>Примечание</t>
        </is>
      </c>
    </row>
    <row r="5">
      <c r="A5" s="22" t="inlineStr">
        <is>
          <t>состояние под вопросом</t>
        </is>
      </c>
      <c r="B5" s="5" t="inlineStr">
        <is>
          <t>Головки вентиляционные</t>
        </is>
      </c>
      <c r="C5" s="6" t="inlineStr">
        <is>
          <t>Головка воздушно-квадрат.(поплавковая) Ду25</t>
        </is>
      </c>
      <c r="D5" s="5" t="inlineStr">
        <is>
          <t>(541-03.232)</t>
        </is>
      </c>
      <c r="E5" s="8" t="n">
        <v>8</v>
      </c>
      <c r="F5" s="8" t="n">
        <v>8</v>
      </c>
      <c r="G5" s="8" t="n">
        <v>0</v>
      </c>
      <c r="H5" s="7" t="n">
        <v>1.6</v>
      </c>
      <c r="I5" s="7" t="n">
        <v>12.8</v>
      </c>
      <c r="J5" s="6" t="inlineStr"/>
    </row>
    <row r="6">
      <c r="A6" s="22" t="inlineStr">
        <is>
          <t>состояние под вопросом</t>
        </is>
      </c>
      <c r="B6" s="5" t="inlineStr">
        <is>
          <t>Головки вентиляционные</t>
        </is>
      </c>
      <c r="C6" s="6" t="inlineStr">
        <is>
          <t>Головка воздушно-квадрат.(поплавковая) Ду32</t>
        </is>
      </c>
      <c r="D6" s="5" t="inlineStr">
        <is>
          <t>541-03.224</t>
        </is>
      </c>
      <c r="E6" s="8" t="n">
        <v>3</v>
      </c>
      <c r="F6" s="8" t="n">
        <v>3</v>
      </c>
      <c r="G6" s="8" t="n">
        <v>0</v>
      </c>
      <c r="H6" s="7" t="n">
        <v>1.5</v>
      </c>
      <c r="I6" s="7" t="n">
        <v>4.5</v>
      </c>
      <c r="J6" s="6" t="inlineStr"/>
    </row>
    <row r="7">
      <c r="A7" s="22" t="inlineStr">
        <is>
          <t>состояние под вопросом</t>
        </is>
      </c>
      <c r="B7" s="5" t="inlineStr">
        <is>
          <t>Головки вентиляционные</t>
        </is>
      </c>
      <c r="C7" s="6" t="inlineStr">
        <is>
          <t>Головка воздушно-квадрат.(поплавковая) Ду80</t>
        </is>
      </c>
      <c r="D7" s="5" t="inlineStr">
        <is>
          <t>(541-03.218)</t>
        </is>
      </c>
      <c r="E7" s="8" t="n">
        <v>19</v>
      </c>
      <c r="F7" s="8" t="n">
        <v>19</v>
      </c>
      <c r="G7" s="8" t="n">
        <v>0</v>
      </c>
      <c r="H7" s="7" t="n">
        <v>11.2</v>
      </c>
      <c r="I7" s="7" t="n">
        <v>212.8</v>
      </c>
      <c r="J7" s="6" t="inlineStr"/>
    </row>
    <row r="8">
      <c r="A8" s="22" t="inlineStr">
        <is>
          <t>состояние под вопросом</t>
        </is>
      </c>
      <c r="B8" s="5" t="inlineStr">
        <is>
          <t>Головки вентиляционные</t>
        </is>
      </c>
      <c r="C8" s="6" t="inlineStr">
        <is>
          <t>Головка воздушно-квадрат.(поплавковая) Ду125 (без поплавка)</t>
        </is>
      </c>
      <c r="D8" s="5" t="inlineStr">
        <is>
          <t>(541-03.220)</t>
        </is>
      </c>
      <c r="E8" s="8" t="n">
        <v>6</v>
      </c>
      <c r="F8" s="8" t="n">
        <v>6</v>
      </c>
      <c r="G8" s="8" t="n">
        <v>0</v>
      </c>
      <c r="H8" s="7" t="n">
        <v>18.2</v>
      </c>
      <c r="I8" s="7" t="n">
        <v>109.2</v>
      </c>
      <c r="J8" s="6" t="inlineStr"/>
    </row>
    <row r="9">
      <c r="A9" s="22" t="inlineStr">
        <is>
          <t>факт не сходится с приложением</t>
        </is>
      </c>
      <c r="B9" s="5" t="inlineStr">
        <is>
          <t>Кингстоны</t>
        </is>
      </c>
      <c r="C9" s="6" t="inlineStr">
        <is>
          <t>Кингстон донный фланцевый Ду32Ру2,5</t>
        </is>
      </c>
      <c r="D9" s="5" t="inlineStr">
        <is>
          <t>527-03.014</t>
        </is>
      </c>
      <c r="E9" s="8" t="n">
        <v>0</v>
      </c>
      <c r="F9" s="8" t="n">
        <v>1</v>
      </c>
      <c r="G9" s="8" t="n">
        <v>1</v>
      </c>
      <c r="H9" s="7" t="n">
        <v>11.2</v>
      </c>
      <c r="I9" s="7" t="n">
        <v>11.2</v>
      </c>
      <c r="J9" s="6" t="inlineStr"/>
    </row>
    <row r="10">
      <c r="A10" s="22" t="inlineStr">
        <is>
          <t>факт не сходится с приложением</t>
        </is>
      </c>
      <c r="B10" s="5" t="inlineStr">
        <is>
          <t>Кингстоны</t>
        </is>
      </c>
      <c r="C10" s="6" t="inlineStr">
        <is>
          <t>Кингстон донный фланцевый Ду50 Ру2,5</t>
        </is>
      </c>
      <c r="D10" s="5" t="inlineStr">
        <is>
          <t>527-03.054</t>
        </is>
      </c>
      <c r="E10" s="8" t="n">
        <v>1</v>
      </c>
      <c r="F10" s="8" t="n">
        <v>2</v>
      </c>
      <c r="G10" s="8" t="n">
        <v>1</v>
      </c>
      <c r="H10" s="7" t="n">
        <v>11</v>
      </c>
      <c r="I10" s="7" t="n">
        <v>22</v>
      </c>
      <c r="J10" s="6" t="inlineStr"/>
    </row>
    <row r="11">
      <c r="A11" s="22" t="inlineStr">
        <is>
          <t>факт не сходится с приложением</t>
        </is>
      </c>
      <c r="B11" s="5" t="inlineStr">
        <is>
          <t>Кингстоны</t>
        </is>
      </c>
      <c r="C11" s="6" t="inlineStr">
        <is>
          <t>Кингстон донный фланцевый Ду80 Ру2,5</t>
        </is>
      </c>
      <c r="D11" s="5" t="inlineStr">
        <is>
          <t>527-03.055</t>
        </is>
      </c>
      <c r="E11" s="8" t="n">
        <v>0</v>
      </c>
      <c r="F11" s="8" t="n">
        <v>1</v>
      </c>
      <c r="G11" s="8" t="n">
        <v>1</v>
      </c>
      <c r="H11" s="7" t="n">
        <v>19</v>
      </c>
      <c r="I11" s="7" t="n">
        <v>19</v>
      </c>
      <c r="J11" s="6" t="inlineStr"/>
    </row>
    <row r="12">
      <c r="A12" s="22" t="inlineStr">
        <is>
          <t>факт не сходится с приложением</t>
        </is>
      </c>
      <c r="B12" s="5" t="inlineStr">
        <is>
          <t>Клинкеты</t>
        </is>
      </c>
      <c r="C12" s="6" t="inlineStr">
        <is>
          <t>Клинкет Ду 200</t>
        </is>
      </c>
      <c r="D12" s="5" t="inlineStr"/>
      <c r="E12" s="8" t="n">
        <v>11</v>
      </c>
      <c r="F12" s="8" t="n">
        <v>15</v>
      </c>
      <c r="G12" s="8" t="n">
        <v>4</v>
      </c>
      <c r="H12" s="7" t="n">
        <v>88</v>
      </c>
      <c r="I12" s="7" t="n">
        <v>1320</v>
      </c>
      <c r="J12" s="6" t="inlineStr"/>
    </row>
    <row r="13">
      <c r="A13" s="22" t="inlineStr">
        <is>
          <t>факт не сходится с приложением</t>
        </is>
      </c>
      <c r="B13" s="5" t="inlineStr">
        <is>
          <t>Клинкеты</t>
        </is>
      </c>
      <c r="C13" s="6" t="inlineStr">
        <is>
          <t>Клинкет Ду 300</t>
        </is>
      </c>
      <c r="D13" s="5" t="inlineStr"/>
      <c r="E13" s="8" t="n">
        <v>16</v>
      </c>
      <c r="F13" s="8" t="n">
        <v>13</v>
      </c>
      <c r="G13" s="8" t="n">
        <v>-3</v>
      </c>
      <c r="H13" s="7" t="n">
        <v>192</v>
      </c>
      <c r="I13" s="7" t="n">
        <v>2496</v>
      </c>
      <c r="J13" s="6" t="inlineStr"/>
    </row>
    <row r="14">
      <c r="A14" s="22" t="inlineStr">
        <is>
          <t>факт не сходится с приложением; перепроверить</t>
        </is>
      </c>
      <c r="B14" s="5" t="inlineStr">
        <is>
          <t>Коробки клапанные</t>
        </is>
      </c>
      <c r="C14" s="6" t="inlineStr">
        <is>
          <t>Коробка 3-х клап.фланцевая Ду50</t>
        </is>
      </c>
      <c r="D14" s="5" t="inlineStr"/>
      <c r="E14" s="8" t="n">
        <v>3</v>
      </c>
      <c r="F14" s="8" t="n">
        <v>5</v>
      </c>
      <c r="G14" s="8" t="n">
        <v>2</v>
      </c>
      <c r="H14" s="7" t="n">
        <v>41</v>
      </c>
      <c r="I14" s="7" t="n">
        <v>205</v>
      </c>
      <c r="J14" s="6" t="inlineStr">
        <is>
          <t>перепроверить</t>
        </is>
      </c>
    </row>
    <row r="15">
      <c r="A15" s="22" t="inlineStr">
        <is>
          <t>факт не сходится с приложением; перепроверить</t>
        </is>
      </c>
      <c r="B15" s="5" t="inlineStr">
        <is>
          <t>Коробки клапанные</t>
        </is>
      </c>
      <c r="C15" s="6" t="inlineStr">
        <is>
          <t>Коробка 2-х клапановая фланцевая Ду80</t>
        </is>
      </c>
      <c r="D15" s="5" t="inlineStr"/>
      <c r="E15" s="8" t="n">
        <v>13</v>
      </c>
      <c r="F15" s="8" t="n">
        <v>15</v>
      </c>
      <c r="G15" s="8" t="n">
        <v>2</v>
      </c>
      <c r="H15" s="7" t="n">
        <v>47.6</v>
      </c>
      <c r="I15" s="7" t="n">
        <v>714</v>
      </c>
      <c r="J15" s="6" t="inlineStr">
        <is>
          <t>перепроверить</t>
        </is>
      </c>
    </row>
    <row r="16">
      <c r="A16" s="22" t="inlineStr">
        <is>
          <t>факт не сходится с приложением; перепроверить</t>
        </is>
      </c>
      <c r="B16" s="5" t="inlineStr">
        <is>
          <t>Коробки клапанные</t>
        </is>
      </c>
      <c r="C16" s="6" t="inlineStr">
        <is>
          <t>Коробка 3-х клап.фланцевая Ду80</t>
        </is>
      </c>
      <c r="D16" s="5" t="inlineStr"/>
      <c r="E16" s="8" t="n">
        <v>8</v>
      </c>
      <c r="F16" s="8" t="n">
        <v>12</v>
      </c>
      <c r="G16" s="8" t="n">
        <v>4</v>
      </c>
      <c r="H16" s="7" t="n">
        <v>68</v>
      </c>
      <c r="I16" s="7" t="n">
        <v>816</v>
      </c>
      <c r="J16" s="6" t="inlineStr">
        <is>
          <t>перепроверить</t>
        </is>
      </c>
    </row>
    <row r="17">
      <c r="A17" s="22" t="inlineStr">
        <is>
          <t>факт не сходится с приложением</t>
        </is>
      </c>
      <c r="B17" s="5" t="inlineStr">
        <is>
          <t>Краны</t>
        </is>
      </c>
      <c r="C17" s="6" t="inlineStr">
        <is>
          <t>Кран штуцерный спусковой самозапорный проходной Ду15 Ру25</t>
        </is>
      </c>
      <c r="D17" s="5" t="inlineStr"/>
      <c r="E17" s="8" t="n">
        <v>4</v>
      </c>
      <c r="F17" s="8" t="n">
        <v>0</v>
      </c>
      <c r="G17" s="8" t="n">
        <v>-4</v>
      </c>
      <c r="H17" s="7" t="n">
        <v>0</v>
      </c>
      <c r="I17" s="7" t="n">
        <v>0</v>
      </c>
      <c r="J17" s="6" t="inlineStr"/>
    </row>
    <row r="18">
      <c r="A18" s="22" t="inlineStr">
        <is>
          <t>факт не сходится с приложением; уже отгружено; общий вес не посчитан</t>
        </is>
      </c>
      <c r="B18" s="5" t="inlineStr">
        <is>
          <t>Краны</t>
        </is>
      </c>
      <c r="C18" s="6" t="inlineStr">
        <is>
          <t>Кран штуцерный спусковой самозапорный проходной Ду20 Ру10</t>
        </is>
      </c>
      <c r="D18" s="5" t="inlineStr">
        <is>
          <t>528-3М129</t>
        </is>
      </c>
      <c r="E18" s="8" t="n">
        <v>36</v>
      </c>
      <c r="F18" s="8" t="n">
        <v>40</v>
      </c>
      <c r="G18" s="8" t="n">
        <v>4</v>
      </c>
      <c r="H18" s="7" t="n">
        <v>1.8</v>
      </c>
      <c r="I18" s="7" t="n">
        <v>0</v>
      </c>
      <c r="J18" s="6" t="inlineStr">
        <is>
          <t>отгружено 29.09.26</t>
        </is>
      </c>
    </row>
    <row r="19">
      <c r="A19" s="22" t="inlineStr">
        <is>
          <t>факт не сходится с приложением</t>
        </is>
      </c>
      <c r="B19" s="5" t="inlineStr">
        <is>
          <t>Краны</t>
        </is>
      </c>
      <c r="C19" s="6" t="inlineStr">
        <is>
          <t>Кран двухходовой штуцерный Ду20 Ру16</t>
        </is>
      </c>
      <c r="D19" s="5" t="inlineStr">
        <is>
          <t>536-3М5</t>
        </is>
      </c>
      <c r="E19" s="8" t="n">
        <v>3</v>
      </c>
      <c r="F19" s="8" t="n">
        <v>6</v>
      </c>
      <c r="G19" s="8" t="n">
        <v>3</v>
      </c>
      <c r="H19" s="7" t="n">
        <v>1.2</v>
      </c>
      <c r="I19" s="7" t="n">
        <v>7.2</v>
      </c>
      <c r="J19" s="6" t="inlineStr"/>
    </row>
    <row r="20">
      <c r="A20" s="22" t="inlineStr">
        <is>
          <t>факт не сходится с приложением</t>
        </is>
      </c>
      <c r="B20" s="5" t="inlineStr">
        <is>
          <t>Краны</t>
        </is>
      </c>
      <c r="C20" s="6" t="inlineStr">
        <is>
          <t>Кран трехходовой штуцерный Ду32 Ру10</t>
        </is>
      </c>
      <c r="D20" s="5" t="inlineStr">
        <is>
          <t>536-35.696</t>
        </is>
      </c>
      <c r="E20" s="8" t="n">
        <v>0</v>
      </c>
      <c r="F20" s="8" t="n">
        <v>1</v>
      </c>
      <c r="G20" s="8" t="n">
        <v>1</v>
      </c>
      <c r="H20" s="7" t="n">
        <v>4.1</v>
      </c>
      <c r="I20" s="7" t="n">
        <v>4.1</v>
      </c>
      <c r="J20" s="6" t="inlineStr"/>
    </row>
    <row r="21">
      <c r="A21" s="22" t="inlineStr">
        <is>
          <t>состояние под вопросом</t>
        </is>
      </c>
      <c r="B21" s="5" t="inlineStr">
        <is>
          <t>Паровые клапаны</t>
        </is>
      </c>
      <c r="C21" s="6" t="inlineStr">
        <is>
          <t>Клапан паровой Ду65Ру10</t>
        </is>
      </c>
      <c r="D21" s="5" t="inlineStr">
        <is>
          <t>581-03.034</t>
        </is>
      </c>
      <c r="E21" s="8" t="n">
        <v>1</v>
      </c>
      <c r="F21" s="8" t="n">
        <v>1</v>
      </c>
      <c r="G21" s="8" t="n">
        <v>0</v>
      </c>
      <c r="H21" s="7" t="n">
        <v>32.6</v>
      </c>
      <c r="I21" s="7" t="n">
        <v>32.6</v>
      </c>
      <c r="J21" s="6" t="inlineStr"/>
    </row>
    <row r="22">
      <c r="A22" s="22" t="inlineStr">
        <is>
          <t>состояние под вопросом</t>
        </is>
      </c>
      <c r="B22" s="5" t="inlineStr">
        <is>
          <t>Редукционные клапаны</t>
        </is>
      </c>
      <c r="C22" s="6" t="inlineStr">
        <is>
          <t>Клапан редукционный штуцерный угловой Ду10Ру200…30 с манометром</t>
        </is>
      </c>
      <c r="D22" s="5" t="inlineStr">
        <is>
          <t>525-35.2634</t>
        </is>
      </c>
      <c r="E22" s="8" t="n">
        <v>1</v>
      </c>
      <c r="F22" s="8" t="n">
        <v>1</v>
      </c>
      <c r="G22" s="8" t="n">
        <v>0</v>
      </c>
      <c r="H22" s="7" t="n">
        <v>7.5</v>
      </c>
      <c r="I22" s="7" t="n">
        <v>7.5</v>
      </c>
      <c r="J22" s="6" t="inlineStr"/>
    </row>
    <row r="23">
      <c r="A23" s="22" t="inlineStr">
        <is>
          <t>еще раз посчитать; состояние под вопросом</t>
        </is>
      </c>
      <c r="B23" s="5" t="inlineStr">
        <is>
          <t>Редукционные клапаны</t>
        </is>
      </c>
      <c r="C23" s="6" t="inlineStr">
        <is>
          <t>Клапан редукционный штуц.проход.односедельный Ду20Ру400 у входа</t>
        </is>
      </c>
      <c r="D23" s="5" t="inlineStr">
        <is>
          <t>525-03.044</t>
        </is>
      </c>
      <c r="E23" s="8" t="n">
        <v>9</v>
      </c>
      <c r="F23" s="8" t="n">
        <v>9</v>
      </c>
      <c r="G23" s="8" t="n">
        <v>0</v>
      </c>
      <c r="H23" s="7" t="n">
        <v>27</v>
      </c>
      <c r="I23" s="7" t="n">
        <v>243</v>
      </c>
      <c r="J23" s="6" t="inlineStr">
        <is>
          <t>еще раз посчитать</t>
        </is>
      </c>
    </row>
    <row r="24">
      <c r="A24" s="22" t="inlineStr">
        <is>
          <t>факт не сходится с приложением</t>
        </is>
      </c>
      <c r="B24" s="5" t="inlineStr">
        <is>
          <t>Стаканы переборочные</t>
        </is>
      </c>
      <c r="C24" s="6" t="inlineStr">
        <is>
          <t>Стакан переборочный Ду20Ру100</t>
        </is>
      </c>
      <c r="D24" s="5" t="inlineStr">
        <is>
          <t>554-03.905-06</t>
        </is>
      </c>
      <c r="E24" s="8" t="n">
        <v>8</v>
      </c>
      <c r="F24" s="8" t="n">
        <v>26</v>
      </c>
      <c r="G24" s="8" t="n">
        <v>18</v>
      </c>
      <c r="H24" s="7" t="n">
        <v>1.5</v>
      </c>
      <c r="I24" s="7" t="n">
        <v>39</v>
      </c>
      <c r="J24" s="6" t="inlineStr"/>
    </row>
    <row r="25">
      <c r="A25" s="22" t="inlineStr">
        <is>
          <t>факт не сходится с приложением</t>
        </is>
      </c>
      <c r="B25" s="5" t="inlineStr">
        <is>
          <t>Фильтры забортной воды</t>
        </is>
      </c>
      <c r="C25" s="6" t="inlineStr">
        <is>
          <t>Фильтр забортной воды Ду 50</t>
        </is>
      </c>
      <c r="D25" s="5" t="inlineStr"/>
      <c r="E25" s="8" t="n">
        <v>1</v>
      </c>
      <c r="F25" s="8" t="n">
        <v>0</v>
      </c>
      <c r="G25" s="8" t="n">
        <v>-1</v>
      </c>
      <c r="H25" s="7" t="n">
        <v>0</v>
      </c>
      <c r="I25" s="7" t="n">
        <v>0</v>
      </c>
      <c r="J25" s="6" t="inlineStr"/>
    </row>
    <row r="26">
      <c r="A26" s="22" t="inlineStr">
        <is>
          <t>факт не сходится с приложением</t>
        </is>
      </c>
      <c r="B26" s="5" t="inlineStr">
        <is>
          <t>Фильтры забортной воды</t>
        </is>
      </c>
      <c r="C26" s="6" t="inlineStr">
        <is>
          <t>Фильтр заборной воды ДУ 80</t>
        </is>
      </c>
      <c r="D26" s="5" t="inlineStr"/>
      <c r="E26" s="8" t="n">
        <v>0</v>
      </c>
      <c r="F26" s="8" t="n">
        <v>5</v>
      </c>
      <c r="G26" s="8" t="n">
        <v>5</v>
      </c>
      <c r="H26" s="7" t="n">
        <v>22</v>
      </c>
      <c r="I26" s="7" t="n">
        <v>110</v>
      </c>
      <c r="J26" s="6" t="inlineStr"/>
    </row>
    <row r="27">
      <c r="A27" s="22" t="inlineStr">
        <is>
          <t>факт не сходится с приложением</t>
        </is>
      </c>
      <c r="B27" s="5" t="inlineStr">
        <is>
          <t>Фильтры забортной воды</t>
        </is>
      </c>
      <c r="C27" s="6" t="inlineStr">
        <is>
          <t>Фильтр фланц.прох. забортной воды Ду100 Ру4</t>
        </is>
      </c>
      <c r="D27" s="5" t="inlineStr">
        <is>
          <t>427-03-109-2</t>
        </is>
      </c>
      <c r="E27" s="8" t="n">
        <v>3</v>
      </c>
      <c r="F27" s="8" t="n">
        <v>0</v>
      </c>
      <c r="G27" s="8" t="n">
        <v>-3</v>
      </c>
      <c r="H27" s="7" t="n">
        <v>45</v>
      </c>
      <c r="I27" s="7" t="n">
        <v>0</v>
      </c>
      <c r="J27" s="6" t="inlineStr"/>
    </row>
    <row r="28">
      <c r="A28" s="22" t="inlineStr">
        <is>
          <t>уже отгружено; общий вес не посчитан</t>
        </is>
      </c>
      <c r="B28" s="5" t="inlineStr">
        <is>
          <t>Фильтры забортной воды</t>
        </is>
      </c>
      <c r="C28" s="6" t="inlineStr">
        <is>
          <t>Фильтр забортной воды Ду 300</t>
        </is>
      </c>
      <c r="D28" s="5" t="inlineStr"/>
      <c r="E28" s="8" t="n">
        <v>2</v>
      </c>
      <c r="F28" s="8" t="n">
        <v>2</v>
      </c>
      <c r="G28" s="8" t="n">
        <v>0</v>
      </c>
      <c r="H28" s="7" t="n">
        <v>172</v>
      </c>
      <c r="I28" s="7" t="n">
        <v>0</v>
      </c>
      <c r="J28" s="6" t="inlineStr">
        <is>
          <t>отгружено 24.09.26</t>
        </is>
      </c>
    </row>
    <row r="29">
      <c r="A29" s="22" t="inlineStr">
        <is>
          <t>факт не сходится с приложением</t>
        </is>
      </c>
      <c r="B29" s="5" t="inlineStr">
        <is>
          <t>Фланцевая проходная</t>
        </is>
      </c>
      <c r="C29" s="6" t="inlineStr">
        <is>
          <t>Клапан фланцевый проходной Ду50</t>
        </is>
      </c>
      <c r="D29" s="5" t="inlineStr"/>
      <c r="E29" s="8" t="n">
        <v>66</v>
      </c>
      <c r="F29" s="8" t="n">
        <v>51</v>
      </c>
      <c r="G29" s="8" t="n">
        <v>-15</v>
      </c>
      <c r="H29" s="7" t="n">
        <v>12</v>
      </c>
      <c r="I29" s="7" t="n">
        <v>612</v>
      </c>
      <c r="J29" s="6" t="inlineStr"/>
    </row>
    <row r="30">
      <c r="A30" s="22" t="inlineStr">
        <is>
          <t>факт не сходится с приложением</t>
        </is>
      </c>
      <c r="B30" s="5" t="inlineStr">
        <is>
          <t>Фланцевая проходная</t>
        </is>
      </c>
      <c r="C30" s="6" t="inlineStr">
        <is>
          <t>Клапан фланцевый проходной Ду125 Ру 10</t>
        </is>
      </c>
      <c r="D30" s="5" t="inlineStr">
        <is>
          <t>521-03.491</t>
        </is>
      </c>
      <c r="E30" s="8" t="n">
        <v>0</v>
      </c>
      <c r="F30" s="8" t="n">
        <v>9</v>
      </c>
      <c r="G30" s="8" t="n">
        <v>9</v>
      </c>
      <c r="H30" s="7" t="n">
        <v>46</v>
      </c>
      <c r="I30" s="7" t="n">
        <v>414</v>
      </c>
      <c r="J30" s="6" t="inlineStr"/>
    </row>
    <row r="31">
      <c r="A31" s="22" t="inlineStr">
        <is>
          <t>факт не сходится с приложением</t>
        </is>
      </c>
      <c r="B31" s="5" t="inlineStr">
        <is>
          <t>Фланцевая проходная</t>
        </is>
      </c>
      <c r="C31" s="6" t="inlineStr">
        <is>
          <t>Клапан фланцевый проходной Ду125 Ру 10</t>
        </is>
      </c>
      <c r="D31" s="5" t="inlineStr">
        <is>
          <t>без чертежа</t>
        </is>
      </c>
      <c r="E31" s="8" t="n">
        <v>0</v>
      </c>
      <c r="F31" s="8" t="n">
        <v>1</v>
      </c>
      <c r="G31" s="8" t="n">
        <v>1</v>
      </c>
      <c r="H31" s="7" t="n">
        <v>46</v>
      </c>
      <c r="I31" s="7" t="n">
        <v>46</v>
      </c>
      <c r="J31" s="6" t="inlineStr"/>
    </row>
    <row r="32">
      <c r="A32" s="22" t="inlineStr">
        <is>
          <t>факт не сходится с приложением</t>
        </is>
      </c>
      <c r="B32" s="5" t="inlineStr">
        <is>
          <t>Фланцевая угловая</t>
        </is>
      </c>
      <c r="C32" s="6" t="inlineStr">
        <is>
          <t>Клапан фланцевый угловой Ду25</t>
        </is>
      </c>
      <c r="D32" s="5" t="inlineStr">
        <is>
          <t>521-3М539</t>
        </is>
      </c>
      <c r="E32" s="8" t="n">
        <v>15</v>
      </c>
      <c r="F32" s="8" t="n">
        <v>13</v>
      </c>
      <c r="G32" s="8" t="n">
        <v>-2</v>
      </c>
      <c r="H32" s="7" t="n">
        <v>5.5</v>
      </c>
      <c r="I32" s="7" t="n">
        <v>71.5</v>
      </c>
      <c r="J32" s="6" t="inlineStr"/>
    </row>
    <row r="33">
      <c r="A33" s="22" t="inlineStr">
        <is>
          <t>факт не сходится с приложением</t>
        </is>
      </c>
      <c r="B33" s="5" t="inlineStr">
        <is>
          <t>Фланцевая угловая</t>
        </is>
      </c>
      <c r="C33" s="6" t="inlineStr">
        <is>
          <t>Клапан фланцевый угловой Ду25</t>
        </is>
      </c>
      <c r="D33" s="5" t="inlineStr">
        <is>
          <t>521-3М.123</t>
        </is>
      </c>
      <c r="E33" s="8" t="n">
        <v>0</v>
      </c>
      <c r="F33" s="8" t="n">
        <v>1</v>
      </c>
      <c r="G33" s="8" t="n">
        <v>1</v>
      </c>
      <c r="H33" s="7" t="n">
        <v>5.5</v>
      </c>
      <c r="I33" s="7" t="n">
        <v>5.5</v>
      </c>
      <c r="J33" s="6" t="inlineStr"/>
    </row>
    <row r="34">
      <c r="A34" s="22" t="inlineStr">
        <is>
          <t>факт не сходится с приложением</t>
        </is>
      </c>
      <c r="B34" s="5" t="inlineStr">
        <is>
          <t>Фланцевая угловая</t>
        </is>
      </c>
      <c r="C34" s="6" t="inlineStr">
        <is>
          <t>Клапан фланцевый угловой Ду50</t>
        </is>
      </c>
      <c r="D34" s="5" t="inlineStr"/>
      <c r="E34" s="8" t="n">
        <v>0</v>
      </c>
      <c r="F34" s="8" t="n">
        <v>3</v>
      </c>
      <c r="G34" s="8" t="n">
        <v>3</v>
      </c>
      <c r="H34" s="7" t="n">
        <v>12</v>
      </c>
      <c r="I34" s="7" t="n">
        <v>36</v>
      </c>
      <c r="J34" s="6" t="inlineStr"/>
    </row>
    <row r="35">
      <c r="A35" s="22" t="inlineStr">
        <is>
          <t>факт не сходится с приложением</t>
        </is>
      </c>
      <c r="B35" s="5" t="inlineStr">
        <is>
          <t>Фланцевая угловая</t>
        </is>
      </c>
      <c r="C35" s="6" t="inlineStr">
        <is>
          <t>Клапан фланцевый угловой Ду65 Ру10</t>
        </is>
      </c>
      <c r="D35" s="5" t="inlineStr">
        <is>
          <t>522-35.4154-02</t>
        </is>
      </c>
      <c r="E35" s="8" t="n">
        <v>6</v>
      </c>
      <c r="F35" s="8" t="n">
        <v>3</v>
      </c>
      <c r="G35" s="8" t="n">
        <v>-3</v>
      </c>
      <c r="H35" s="7" t="n">
        <v>16</v>
      </c>
      <c r="I35" s="7" t="n">
        <v>48</v>
      </c>
      <c r="J35" s="6" t="inlineStr"/>
    </row>
    <row r="36">
      <c r="A36" s="22" t="inlineStr">
        <is>
          <t>факт не сходится с приложением</t>
        </is>
      </c>
      <c r="B36" s="5" t="inlineStr">
        <is>
          <t>Фланцевая угловая</t>
        </is>
      </c>
      <c r="C36" s="6" t="inlineStr">
        <is>
          <t>Клапан фланцевый угловой Ду65 Ру10</t>
        </is>
      </c>
      <c r="D36" s="5" t="inlineStr">
        <is>
          <t>522-35.4201</t>
        </is>
      </c>
      <c r="E36" s="8" t="n">
        <v>3</v>
      </c>
      <c r="F36" s="8" t="n">
        <v>0</v>
      </c>
      <c r="G36" s="8" t="n">
        <v>-3</v>
      </c>
      <c r="H36" s="7" t="n">
        <v>16</v>
      </c>
      <c r="I36" s="7" t="n">
        <v>0</v>
      </c>
      <c r="J36" s="6" t="inlineStr"/>
    </row>
    <row r="37">
      <c r="A37" s="22" t="inlineStr">
        <is>
          <t>факт не сходится с приложением</t>
        </is>
      </c>
      <c r="B37" s="5" t="inlineStr">
        <is>
          <t>Фланцевая угловая</t>
        </is>
      </c>
      <c r="C37" s="6" t="inlineStr">
        <is>
          <t>Клапан фланцевый угловой Ду65 Ру10</t>
        </is>
      </c>
      <c r="D37" s="5" t="inlineStr">
        <is>
          <t>521-03.195</t>
        </is>
      </c>
      <c r="E37" s="8" t="n">
        <v>12</v>
      </c>
      <c r="F37" s="8" t="n">
        <v>0</v>
      </c>
      <c r="G37" s="8" t="n">
        <v>-12</v>
      </c>
      <c r="H37" s="7" t="n">
        <v>16</v>
      </c>
      <c r="I37" s="7" t="n">
        <v>0</v>
      </c>
      <c r="J37" s="6" t="inlineStr"/>
    </row>
    <row r="38">
      <c r="A38" s="22" t="inlineStr">
        <is>
          <t>факт не сходится с приложением</t>
        </is>
      </c>
      <c r="B38" s="5" t="inlineStr">
        <is>
          <t>Фланцевая угловая</t>
        </is>
      </c>
      <c r="C38" s="6" t="inlineStr">
        <is>
          <t>Клапан фланцевый угловой Ду65 Ру40</t>
        </is>
      </c>
      <c r="D38" s="5" t="inlineStr">
        <is>
          <t>521-03.230</t>
        </is>
      </c>
      <c r="E38" s="8" t="n">
        <v>0</v>
      </c>
      <c r="F38" s="8" t="n">
        <v>1</v>
      </c>
      <c r="G38" s="8" t="n">
        <v>1</v>
      </c>
      <c r="H38" s="7" t="n">
        <v>20</v>
      </c>
      <c r="I38" s="7" t="n">
        <v>20</v>
      </c>
      <c r="J38" s="6" t="inlineStr"/>
    </row>
    <row r="39">
      <c r="A39" s="22" t="inlineStr">
        <is>
          <t>факт не сходится с приложением</t>
        </is>
      </c>
      <c r="B39" s="5" t="inlineStr">
        <is>
          <t>Фланцевая угловая</t>
        </is>
      </c>
      <c r="C39" s="6" t="inlineStr">
        <is>
          <t>Клапан фланцевый угловой Ду80</t>
        </is>
      </c>
      <c r="D39" s="5" t="inlineStr">
        <is>
          <t>522-03.197</t>
        </is>
      </c>
      <c r="E39" s="8" t="n">
        <v>7</v>
      </c>
      <c r="F39" s="8" t="n">
        <v>28</v>
      </c>
      <c r="G39" s="8" t="n">
        <v>21</v>
      </c>
      <c r="H39" s="7" t="n">
        <v>25</v>
      </c>
      <c r="I39" s="7" t="n">
        <v>700</v>
      </c>
      <c r="J39" s="6" t="inlineStr"/>
    </row>
    <row r="40">
      <c r="A40" s="22" t="inlineStr">
        <is>
          <t>факт не сходится с приложением</t>
        </is>
      </c>
      <c r="B40" s="5" t="inlineStr">
        <is>
          <t>Фланцевая угловая</t>
        </is>
      </c>
      <c r="C40" s="6" t="inlineStr">
        <is>
          <t>Клапан фланцевый угловой Ду100</t>
        </is>
      </c>
      <c r="D40" s="5" t="inlineStr"/>
      <c r="E40" s="8" t="n">
        <v>0</v>
      </c>
      <c r="F40" s="8" t="n">
        <v>10</v>
      </c>
      <c r="G40" s="8" t="n">
        <v>10</v>
      </c>
      <c r="H40" s="7" t="n">
        <v>28</v>
      </c>
      <c r="I40" s="7" t="n">
        <v>280</v>
      </c>
      <c r="J40" s="6" t="inlineStr"/>
    </row>
    <row r="41">
      <c r="A41" s="22" t="inlineStr">
        <is>
          <t>факт не сходится с приложением</t>
        </is>
      </c>
      <c r="B41" s="5" t="inlineStr">
        <is>
          <t>Фланцевая угловая</t>
        </is>
      </c>
      <c r="C41" s="6" t="inlineStr">
        <is>
          <t>Клапан фланцевый угловой Ду150 Ру10</t>
        </is>
      </c>
      <c r="D41" s="5" t="inlineStr">
        <is>
          <t>521-01.207</t>
        </is>
      </c>
      <c r="E41" s="8" t="n">
        <v>1</v>
      </c>
      <c r="F41" s="8" t="n">
        <v>0</v>
      </c>
      <c r="G41" s="8" t="n">
        <v>-1</v>
      </c>
      <c r="H41" s="7" t="n">
        <v>0</v>
      </c>
      <c r="I41" s="7" t="n">
        <v>0</v>
      </c>
      <c r="J41" s="6" t="inlineStr"/>
    </row>
    <row r="42">
      <c r="A42" s="22" t="inlineStr">
        <is>
          <t>факт не сходится с приложением</t>
        </is>
      </c>
      <c r="B42" s="5" t="inlineStr">
        <is>
          <t>Фланцевая угловая</t>
        </is>
      </c>
      <c r="C42" s="6" t="inlineStr">
        <is>
          <t>Клапан фланцевый угловой Ду150 Ру10</t>
        </is>
      </c>
      <c r="D42" s="5" t="inlineStr"/>
      <c r="E42" s="8" t="n">
        <v>1</v>
      </c>
      <c r="F42" s="8" t="n">
        <v>0</v>
      </c>
      <c r="G42" s="8" t="n">
        <v>-1</v>
      </c>
      <c r="H42" s="7" t="n"/>
      <c r="I42" s="7" t="n">
        <v>0</v>
      </c>
      <c r="J42" s="6" t="inlineStr"/>
    </row>
    <row r="43">
      <c r="A43" s="22" t="inlineStr">
        <is>
          <t>перепроверить кол-во</t>
        </is>
      </c>
      <c r="B43" s="5" t="inlineStr">
        <is>
          <t>Штуцерная проходная</t>
        </is>
      </c>
      <c r="C43" s="6" t="inlineStr">
        <is>
          <t>Клапан штуцерный проходной Ду 10 Ру40</t>
        </is>
      </c>
      <c r="D43" s="5" t="inlineStr">
        <is>
          <t>521-01.471-01</t>
        </is>
      </c>
      <c r="E43" s="8" t="n">
        <v>798</v>
      </c>
      <c r="F43" s="8" t="n">
        <v>798</v>
      </c>
      <c r="G43" s="8" t="n">
        <v>0</v>
      </c>
      <c r="H43" s="7" t="n">
        <v>1.2</v>
      </c>
      <c r="I43" s="7" t="n">
        <v>957.6</v>
      </c>
      <c r="J43" s="6" t="inlineStr">
        <is>
          <t>перепроверить кол-во</t>
        </is>
      </c>
    </row>
    <row r="44">
      <c r="A44" s="22" t="inlineStr">
        <is>
          <t>не нашла  еще</t>
        </is>
      </c>
      <c r="B44" s="5" t="inlineStr">
        <is>
          <t>Штуцерная проходная</t>
        </is>
      </c>
      <c r="C44" s="6" t="inlineStr">
        <is>
          <t>Клапан штуцерный проходной Ду 10 Ру400</t>
        </is>
      </c>
      <c r="D44" s="5" t="inlineStr">
        <is>
          <t>521-03.420</t>
        </is>
      </c>
      <c r="E44" s="8" t="n">
        <v>2</v>
      </c>
      <c r="F44" s="8" t="n"/>
      <c r="G44" s="8" t="n"/>
      <c r="H44" s="7" t="n">
        <v>3.64</v>
      </c>
      <c r="I44" s="7" t="n">
        <v>0</v>
      </c>
      <c r="J44" s="6" t="inlineStr">
        <is>
          <t>не нашла  еще</t>
        </is>
      </c>
    </row>
    <row r="45">
      <c r="A45" s="22" t="inlineStr">
        <is>
          <t>факт не сходится с приложением</t>
        </is>
      </c>
      <c r="B45" s="5" t="inlineStr">
        <is>
          <t>Штуцерная угловая</t>
        </is>
      </c>
      <c r="C45" s="6" t="inlineStr">
        <is>
          <t>Клапан штуцерный угловой Ду20 Ру100</t>
        </is>
      </c>
      <c r="D45" s="5" t="inlineStr">
        <is>
          <t>521-01.468-05</t>
        </is>
      </c>
      <c r="E45" s="8" t="n">
        <v>5</v>
      </c>
      <c r="F45" s="8" t="n">
        <v>0</v>
      </c>
      <c r="G45" s="8" t="n">
        <v>-5</v>
      </c>
      <c r="H45" s="7" t="n">
        <v>1.9</v>
      </c>
      <c r="I45" s="7" t="n">
        <v>0</v>
      </c>
      <c r="J45" s="6" t="inlineStr"/>
    </row>
    <row r="46">
      <c r="A46" s="22" t="inlineStr">
        <is>
          <t>уже отгружено; общий вес не посчитан</t>
        </is>
      </c>
      <c r="B46" s="5" t="inlineStr">
        <is>
          <t>Штуцерная, угол или проход не указан</t>
        </is>
      </c>
      <c r="C46" s="6" t="inlineStr">
        <is>
          <t>Клапан для манометра штуцерный сальниковый Ду 6</t>
        </is>
      </c>
      <c r="D46" s="5" t="inlineStr">
        <is>
          <t>521-34.3404-03</t>
        </is>
      </c>
      <c r="E46" s="8" t="n">
        <v>18</v>
      </c>
      <c r="F46" s="8" t="n">
        <v>18</v>
      </c>
      <c r="G46" s="8" t="n">
        <v>0</v>
      </c>
      <c r="H46" s="7" t="n">
        <v>0.7</v>
      </c>
      <c r="I46" s="7" t="n">
        <v>0</v>
      </c>
      <c r="J46" s="6" t="inlineStr">
        <is>
          <t>отгружено 29.09.26</t>
        </is>
      </c>
    </row>
    <row r="47">
      <c r="A47" s="22" t="inlineStr">
        <is>
          <t>факт не сходится с приложением; уже отгружено; общий вес не посчитан</t>
        </is>
      </c>
      <c r="B47" s="5" t="inlineStr">
        <is>
          <t>Штуцерная, угол или проход не указан</t>
        </is>
      </c>
      <c r="C47" s="6" t="inlineStr">
        <is>
          <t>Клапан для манометра штущерный сальниковый Ду6 Ру100 новый                                                                                                       (521-35.3434 -8 шт , 521-02.013 -86 шт , 521-35.3434-04 -30 шт)</t>
        </is>
      </c>
      <c r="D47" s="5" t="inlineStr">
        <is>
          <t>521-02.013</t>
        </is>
      </c>
      <c r="E47" s="8" t="n">
        <v>95</v>
      </c>
      <c r="F47" s="8" t="n">
        <v>124</v>
      </c>
      <c r="G47" s="8" t="n">
        <v>29</v>
      </c>
      <c r="H47" s="7" t="n">
        <v>0.7</v>
      </c>
      <c r="I47" s="7" t="n">
        <v>0</v>
      </c>
      <c r="J47" s="6" t="inlineStr">
        <is>
          <t>отгружено 29.09.26</t>
        </is>
      </c>
    </row>
    <row r="48">
      <c r="A48" s="22" t="inlineStr">
        <is>
          <t>состояние под вопросом</t>
        </is>
      </c>
      <c r="B48" s="5" t="inlineStr">
        <is>
          <t>Электромагнитные клапаны</t>
        </is>
      </c>
      <c r="C48" s="6" t="inlineStr">
        <is>
          <t>Клапан с электромагнитным ручным управлением Ду20/10 перем. 220В</t>
        </is>
      </c>
      <c r="D48" s="5" t="inlineStr">
        <is>
          <t>587-35.8490-04</t>
        </is>
      </c>
      <c r="E48" s="8" t="n">
        <v>1</v>
      </c>
      <c r="F48" s="8" t="n">
        <v>1</v>
      </c>
      <c r="G48" s="8" t="n">
        <v>0</v>
      </c>
      <c r="H48" s="7" t="n">
        <v>11.6</v>
      </c>
      <c r="I48" s="7" t="n">
        <v>11.6</v>
      </c>
      <c r="J4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2026-10-12T23:40:20Z</dcterms:created>
  <dcterms:modified xsi:type="dcterms:W3CDTF">2026-10-12T23:40:20Z</dcterms:modified>
</cp:coreProperties>
</file>
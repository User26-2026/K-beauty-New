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 согласованию" sheetId="1" state="visible" r:id="rId1"/>
  </sheets>
  <definedNames>
    <definedName name="_xlnm._FilterDatabase" localSheetId="0" hidden="1">'К согласованию'!$A$4:$P$109</definedName>
    <definedName name="_xlnm.Print_Titles" localSheetId="0">'К согласованию'!$4:$4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3" fontId="5" fillId="4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horizontal="center" vertical="top"/>
    </xf>
    <xf numFmtId="3" fontId="6" fillId="3" borderId="1" applyAlignment="1" pivotButton="0" quotePrefix="0" xfId="0">
      <alignment vertical="top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8" customWidth="1" min="3" max="3"/>
    <col width="6" customWidth="1" min="4" max="4"/>
    <col width="8" customWidth="1" min="5" max="5"/>
    <col width="8" customWidth="1" min="6" max="6"/>
    <col width="6" customWidth="1" min="7" max="7"/>
    <col width="9" customWidth="1" min="8" max="8"/>
    <col width="10" customWidth="1" min="9" max="9"/>
    <col width="26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</cols>
  <sheetData>
    <row r="1">
      <c r="A1" s="1" t="inlineStr">
        <is>
          <t>Цены, которые надо закрыть по отгрузке 26.10.2026</t>
        </is>
      </c>
    </row>
    <row r="2">
      <c r="A2" s="2" t="inlineStr">
        <is>
          <t>101 позиция, 1 356 шт, 4 942 кг. Товар уехал в контейнере, но по пункту 3.5 Договора до согласования цены проданным не считается. Желтая колонка — под заполнение, остальное справочно.</t>
        </is>
      </c>
    </row>
    <row r="4" ht="40" customHeight="1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Чертеж</t>
        </is>
      </c>
      <c r="D4" s="3" t="inlineStr">
        <is>
          <t>Ду</t>
        </is>
      </c>
      <c r="E4" s="3" t="inlineStr">
        <is>
          <t>Ру</t>
        </is>
      </c>
      <c r="F4" s="3" t="inlineStr">
        <is>
          <t>Сост.</t>
        </is>
      </c>
      <c r="G4" s="3" t="inlineStr">
        <is>
          <t>Шт</t>
        </is>
      </c>
      <c r="H4" s="3" t="inlineStr">
        <is>
          <t>Вес ед., кг</t>
        </is>
      </c>
      <c r="I4" s="3" t="inlineStr">
        <is>
          <t>Вес всего, кг</t>
        </is>
      </c>
      <c r="J4" s="3" t="inlineStr">
        <is>
          <t>Почему без цены</t>
        </is>
      </c>
      <c r="K4" s="3" t="inlineStr">
        <is>
          <t>По ставке за ед., руб</t>
        </is>
      </c>
      <c r="L4" s="3" t="inlineStr">
        <is>
          <t>Из Договора за ед., руб</t>
        </is>
      </c>
      <c r="M4" s="3" t="inlineStr">
        <is>
          <t>У конкурента за ед., руб</t>
        </is>
      </c>
      <c r="N4" s="3" t="inlineStr">
        <is>
          <t>Лом за ед., руб</t>
        </is>
      </c>
      <c r="O4" s="3" t="inlineStr">
        <is>
          <t>СОГЛАСОВАНО за ед., руб</t>
        </is>
      </c>
      <c r="P4" s="3" t="inlineStr">
        <is>
          <t>Сумма по согласованной, руб</t>
        </is>
      </c>
    </row>
    <row r="5">
      <c r="A5" s="4" t="inlineStr">
        <is>
          <t>новое, цена согласовывается отдельно — 83 позиции, 1 267 шт, 4 592 кг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6" t="n">
        <v>1</v>
      </c>
      <c r="B6" s="7" t="inlineStr">
        <is>
          <t>Клапан фланцевый проходной Ду50</t>
        </is>
      </c>
      <c r="C6" s="8" t="inlineStr">
        <is>
          <t>521-35.3442</t>
        </is>
      </c>
      <c r="D6" s="6" t="n">
        <v>50</v>
      </c>
      <c r="E6" s="6" t="inlineStr"/>
      <c r="F6" s="6" t="inlineStr">
        <is>
          <t>новый</t>
        </is>
      </c>
      <c r="G6" s="6" t="n">
        <v>60</v>
      </c>
      <c r="H6" s="6" t="n">
        <v>17.8</v>
      </c>
      <c r="I6" s="6" t="n">
        <v>1068</v>
      </c>
      <c r="J6" s="7" t="inlineStr">
        <is>
          <t>новое, цена согласовывается отдельно</t>
        </is>
      </c>
      <c r="K6" s="9" t="n">
        <v>33152</v>
      </c>
      <c r="L6" s="8" t="inlineStr">
        <is>
          <t>20 000</t>
        </is>
      </c>
      <c r="M6" s="9" t="n">
        <v>23000</v>
      </c>
      <c r="N6" s="9" t="n">
        <v>13261</v>
      </c>
      <c r="O6" s="10" t="inlineStr"/>
      <c r="P6" s="9">
        <f>O6*G6</f>
        <v/>
      </c>
    </row>
    <row r="7">
      <c r="A7" s="6" t="n">
        <v>2</v>
      </c>
      <c r="B7" s="7" t="inlineStr">
        <is>
          <t>Клапан штуцерный проходной Ду 10 Ру40</t>
        </is>
      </c>
      <c r="C7" s="8" t="inlineStr">
        <is>
          <t>521-01.471-01</t>
        </is>
      </c>
      <c r="D7" s="6" t="n">
        <v>10</v>
      </c>
      <c r="E7" s="6" t="inlineStr">
        <is>
          <t>40</t>
        </is>
      </c>
      <c r="F7" s="6" t="inlineStr">
        <is>
          <t>новый</t>
        </is>
      </c>
      <c r="G7" s="6" t="n">
        <v>796</v>
      </c>
      <c r="H7" s="6" t="n">
        <v>1.2</v>
      </c>
      <c r="I7" s="6" t="n">
        <v>955</v>
      </c>
      <c r="J7" s="7" t="inlineStr">
        <is>
          <t>новое, цена согласовывается отдельно</t>
        </is>
      </c>
      <c r="K7" s="9" t="n">
        <v>2235</v>
      </c>
      <c r="L7" s="8" t="inlineStr">
        <is>
          <t>5 000</t>
        </is>
      </c>
      <c r="M7" s="9" t="n">
        <v>3250</v>
      </c>
      <c r="N7" s="9" t="n">
        <v>894</v>
      </c>
      <c r="O7" s="10" t="inlineStr"/>
      <c r="P7" s="9">
        <f>O7*G7</f>
        <v/>
      </c>
    </row>
    <row r="8">
      <c r="A8" s="6" t="n">
        <v>3</v>
      </c>
      <c r="B8" s="7" t="inlineStr">
        <is>
          <t>Клапан педальный Ду25</t>
        </is>
      </c>
      <c r="C8" s="8" t="inlineStr">
        <is>
          <t>М528-03.001</t>
        </is>
      </c>
      <c r="D8" s="6" t="n">
        <v>25</v>
      </c>
      <c r="E8" s="6" t="inlineStr"/>
      <c r="F8" s="6" t="inlineStr">
        <is>
          <t>новый</t>
        </is>
      </c>
      <c r="G8" s="6" t="n">
        <v>62</v>
      </c>
      <c r="H8" s="6" t="n">
        <v>5.5</v>
      </c>
      <c r="I8" s="6" t="n">
        <v>341</v>
      </c>
      <c r="J8" s="7" t="inlineStr">
        <is>
          <t>новое, цена согласовывается отдельно</t>
        </is>
      </c>
      <c r="K8" s="9" t="n">
        <v>10244</v>
      </c>
      <c r="L8" s="8" t="inlineStr">
        <is>
          <t>15 000</t>
        </is>
      </c>
      <c r="M8" s="9" t="inlineStr"/>
      <c r="N8" s="9" t="n">
        <v>4098</v>
      </c>
      <c r="O8" s="10" t="inlineStr"/>
      <c r="P8" s="9">
        <f>O8*G8</f>
        <v/>
      </c>
    </row>
    <row r="9">
      <c r="A9" s="6" t="n">
        <v>4</v>
      </c>
      <c r="B9" s="7" t="inlineStr">
        <is>
          <t>Клапан редукционный штуц.проход.односедельный Ду20Ру400 у входа</t>
        </is>
      </c>
      <c r="C9" s="8" t="inlineStr">
        <is>
          <t>525-03.044</t>
        </is>
      </c>
      <c r="D9" s="6" t="n">
        <v>20</v>
      </c>
      <c r="E9" s="6" t="inlineStr">
        <is>
          <t>400</t>
        </is>
      </c>
      <c r="F9" s="6" t="inlineStr">
        <is>
          <t>новый</t>
        </is>
      </c>
      <c r="G9" s="6" t="n">
        <v>8</v>
      </c>
      <c r="H9" s="6" t="n">
        <v>27</v>
      </c>
      <c r="I9" s="6" t="n">
        <v>216</v>
      </c>
      <c r="J9" s="7" t="inlineStr">
        <is>
          <t>новое, цена согласовывается отдельно</t>
        </is>
      </c>
      <c r="K9" s="9" t="n">
        <v>50288</v>
      </c>
      <c r="L9" s="8" t="inlineStr">
        <is>
          <t>35 000</t>
        </is>
      </c>
      <c r="M9" s="9" t="n">
        <v>9000</v>
      </c>
      <c r="N9" s="9" t="n">
        <v>20115</v>
      </c>
      <c r="O9" s="10" t="inlineStr"/>
      <c r="P9" s="9">
        <f>O9*G9</f>
        <v/>
      </c>
    </row>
    <row r="10">
      <c r="A10" s="6" t="n">
        <v>5</v>
      </c>
      <c r="B10" s="7" t="inlineStr">
        <is>
          <t>Головка воздушно-квадрат.(поплавковая) Ду80</t>
        </is>
      </c>
      <c r="C10" s="8" t="inlineStr">
        <is>
          <t>(541-03.218)</t>
        </is>
      </c>
      <c r="D10" s="6" t="n">
        <v>80</v>
      </c>
      <c r="E10" s="6" t="inlineStr"/>
      <c r="F10" s="6" t="inlineStr">
        <is>
          <t>новый</t>
        </is>
      </c>
      <c r="G10" s="6" t="n">
        <v>19</v>
      </c>
      <c r="H10" s="6" t="n">
        <v>11.2</v>
      </c>
      <c r="I10" s="6" t="n">
        <v>213</v>
      </c>
      <c r="J10" s="7" t="inlineStr">
        <is>
          <t>новое, цена согласовывается отдельно</t>
        </is>
      </c>
      <c r="K10" s="9" t="n">
        <v>20860</v>
      </c>
      <c r="L10" s="8" t="inlineStr"/>
      <c r="M10" s="9" t="inlineStr"/>
      <c r="N10" s="9" t="n">
        <v>8344</v>
      </c>
      <c r="O10" s="10" t="inlineStr"/>
      <c r="P10" s="9">
        <f>O10*G10</f>
        <v/>
      </c>
    </row>
    <row r="11">
      <c r="A11" s="6" t="n">
        <v>6</v>
      </c>
      <c r="B11" s="7" t="inlineStr">
        <is>
          <t>Клапан невозвратный Ду 100</t>
        </is>
      </c>
      <c r="C11" s="8" t="inlineStr">
        <is>
          <t>522-03.205</t>
        </is>
      </c>
      <c r="D11" s="6" t="n">
        <v>100</v>
      </c>
      <c r="E11" s="6" t="inlineStr"/>
      <c r="F11" s="6" t="inlineStr">
        <is>
          <t>новый</t>
        </is>
      </c>
      <c r="G11" s="6" t="n">
        <v>4</v>
      </c>
      <c r="H11" s="6" t="n">
        <v>28.8</v>
      </c>
      <c r="I11" s="6" t="n">
        <v>115</v>
      </c>
      <c r="J11" s="7" t="inlineStr">
        <is>
          <t>новое, цена согласовывается отдельно</t>
        </is>
      </c>
      <c r="K11" s="9" t="n">
        <v>53640</v>
      </c>
      <c r="L11" s="8" t="inlineStr"/>
      <c r="M11" s="9" t="inlineStr"/>
      <c r="N11" s="9" t="n">
        <v>21456</v>
      </c>
      <c r="O11" s="10" t="inlineStr"/>
      <c r="P11" s="9">
        <f>O11*G11</f>
        <v/>
      </c>
    </row>
    <row r="12">
      <c r="A12" s="6" t="n">
        <v>7</v>
      </c>
      <c r="B12" s="7" t="inlineStr">
        <is>
          <t>Головка воздушно-квадрат.(поплавковая) Ду125 (без поплавка)</t>
        </is>
      </c>
      <c r="C12" s="8" t="inlineStr">
        <is>
          <t>(541-03.220)</t>
        </is>
      </c>
      <c r="D12" s="6" t="n">
        <v>125</v>
      </c>
      <c r="E12" s="6" t="inlineStr"/>
      <c r="F12" s="6" t="inlineStr">
        <is>
          <t>новый</t>
        </is>
      </c>
      <c r="G12" s="6" t="n">
        <v>6</v>
      </c>
      <c r="H12" s="6" t="n">
        <v>18.2</v>
      </c>
      <c r="I12" s="6" t="n">
        <v>109</v>
      </c>
      <c r="J12" s="7" t="inlineStr">
        <is>
          <t>новое, цена согласовывается отдельно</t>
        </is>
      </c>
      <c r="K12" s="9" t="n">
        <v>33898</v>
      </c>
      <c r="L12" s="8" t="inlineStr"/>
      <c r="M12" s="9" t="inlineStr"/>
      <c r="N12" s="9" t="n">
        <v>13559</v>
      </c>
      <c r="O12" s="10" t="inlineStr"/>
      <c r="P12" s="9">
        <f>O12*G12</f>
        <v/>
      </c>
    </row>
    <row r="13">
      <c r="A13" s="6" t="n">
        <v>8</v>
      </c>
      <c r="B13" s="7" t="inlineStr">
        <is>
          <t>Клапан штуцерный угловой Ду32 Ру100</t>
        </is>
      </c>
      <c r="C13" s="8" t="inlineStr">
        <is>
          <t>521-01.468-07</t>
        </is>
      </c>
      <c r="D13" s="6" t="n">
        <v>32</v>
      </c>
      <c r="E13" s="6" t="inlineStr">
        <is>
          <t>100</t>
        </is>
      </c>
      <c r="F13" s="6" t="inlineStr">
        <is>
          <t>новый</t>
        </is>
      </c>
      <c r="G13" s="6" t="n">
        <v>31</v>
      </c>
      <c r="H13" s="6" t="n">
        <v>3.3</v>
      </c>
      <c r="I13" s="6" t="n">
        <v>102</v>
      </c>
      <c r="J13" s="7" t="inlineStr">
        <is>
          <t>новое, цена согласовывается отдельно</t>
        </is>
      </c>
      <c r="K13" s="9" t="n">
        <v>6146</v>
      </c>
      <c r="L13" s="8" t="inlineStr">
        <is>
          <t>6 500</t>
        </is>
      </c>
      <c r="M13" s="9" t="n">
        <v>11200</v>
      </c>
      <c r="N13" s="9" t="n">
        <v>2458</v>
      </c>
      <c r="O13" s="10" t="inlineStr"/>
      <c r="P13" s="9">
        <f>O13*G13</f>
        <v/>
      </c>
    </row>
    <row r="14">
      <c r="A14" s="6" t="n">
        <v>9</v>
      </c>
      <c r="B14" s="7" t="inlineStr">
        <is>
          <t>Клапан фланцевый угловой Ду80</t>
        </is>
      </c>
      <c r="C14" s="8" t="inlineStr">
        <is>
          <t>522-03.196</t>
        </is>
      </c>
      <c r="D14" s="6" t="n">
        <v>80</v>
      </c>
      <c r="E14" s="6" t="inlineStr"/>
      <c r="F14" s="6" t="inlineStr">
        <is>
          <t>новый</t>
        </is>
      </c>
      <c r="G14" s="6" t="n">
        <v>4</v>
      </c>
      <c r="H14" s="6" t="n">
        <v>20</v>
      </c>
      <c r="I14" s="6" t="n">
        <v>80</v>
      </c>
      <c r="J14" s="7" t="inlineStr">
        <is>
          <t>новое, цена согласовывается отдельно</t>
        </is>
      </c>
      <c r="K14" s="9" t="n">
        <v>37250</v>
      </c>
      <c r="L14" s="8" t="inlineStr">
        <is>
          <t>30 000</t>
        </is>
      </c>
      <c r="M14" s="9" t="n">
        <v>30400</v>
      </c>
      <c r="N14" s="9" t="n">
        <v>14900</v>
      </c>
      <c r="O14" s="10" t="inlineStr"/>
      <c r="P14" s="9">
        <f>O14*G14</f>
        <v/>
      </c>
    </row>
    <row r="15">
      <c r="A15" s="6" t="n">
        <v>10</v>
      </c>
      <c r="B15" s="7" t="inlineStr">
        <is>
          <t>Колонка указательная с плоским рифленым стеклом Ду10Ру10</t>
        </is>
      </c>
      <c r="C15" s="8" t="inlineStr">
        <is>
          <t>598-03.083-01</t>
        </is>
      </c>
      <c r="D15" s="6" t="n">
        <v>10</v>
      </c>
      <c r="E15" s="6" t="inlineStr">
        <is>
          <t>10</t>
        </is>
      </c>
      <c r="F15" s="6" t="inlineStr">
        <is>
          <t>новая</t>
        </is>
      </c>
      <c r="G15" s="6" t="n">
        <v>12</v>
      </c>
      <c r="H15" s="6" t="n">
        <v>6.4</v>
      </c>
      <c r="I15" s="6" t="n">
        <v>77</v>
      </c>
      <c r="J15" s="7" t="inlineStr">
        <is>
          <t>новое, цена согласовывается отдельно</t>
        </is>
      </c>
      <c r="K15" s="9" t="n">
        <v>11920</v>
      </c>
      <c r="L15" s="8" t="inlineStr">
        <is>
          <t>12 000</t>
        </is>
      </c>
      <c r="M15" s="9" t="n">
        <v>9000</v>
      </c>
      <c r="N15" s="9" t="n">
        <v>4768</v>
      </c>
      <c r="O15" s="10" t="inlineStr"/>
      <c r="P15" s="9">
        <f>O15*G15</f>
        <v/>
      </c>
    </row>
    <row r="16">
      <c r="A16" s="6" t="n">
        <v>11</v>
      </c>
      <c r="B16" s="7" t="inlineStr">
        <is>
          <t>Клапан пусковой Ду32Ру125</t>
        </is>
      </c>
      <c r="C16" s="8" t="inlineStr">
        <is>
          <t>587-03.082</t>
        </is>
      </c>
      <c r="D16" s="6" t="n">
        <v>32</v>
      </c>
      <c r="E16" s="6" t="inlineStr">
        <is>
          <t>125</t>
        </is>
      </c>
      <c r="F16" s="6" t="inlineStr">
        <is>
          <t>новый</t>
        </is>
      </c>
      <c r="G16" s="6" t="n">
        <v>8</v>
      </c>
      <c r="H16" s="6" t="n">
        <v>8.800000000000001</v>
      </c>
      <c r="I16" s="6" t="n">
        <v>70</v>
      </c>
      <c r="J16" s="7" t="inlineStr">
        <is>
          <t>новое, цена согласовывается отдельно</t>
        </is>
      </c>
      <c r="K16" s="9" t="n">
        <v>16390</v>
      </c>
      <c r="L16" s="8" t="inlineStr">
        <is>
          <t>30 000</t>
        </is>
      </c>
      <c r="M16" s="9" t="inlineStr"/>
      <c r="N16" s="9" t="n">
        <v>6556</v>
      </c>
      <c r="O16" s="10" t="inlineStr"/>
      <c r="P16" s="9">
        <f>O16*G16</f>
        <v/>
      </c>
    </row>
    <row r="17">
      <c r="A17" s="6" t="n">
        <v>12</v>
      </c>
      <c r="B17" s="7" t="inlineStr">
        <is>
          <t>Крышка с коменсом и жалюзи 290*460</t>
        </is>
      </c>
      <c r="C17" s="8" t="inlineStr">
        <is>
          <t>546-03.094</t>
        </is>
      </c>
      <c r="D17" s="6" t="inlineStr"/>
      <c r="E17" s="6" t="inlineStr"/>
      <c r="F17" s="6" t="inlineStr">
        <is>
          <t>новая</t>
        </is>
      </c>
      <c r="G17" s="6" t="n">
        <v>6</v>
      </c>
      <c r="H17" s="6" t="n">
        <v>11.7</v>
      </c>
      <c r="I17" s="6" t="n">
        <v>70</v>
      </c>
      <c r="J17" s="7" t="inlineStr">
        <is>
          <t>новое, цена согласовывается отдельно</t>
        </is>
      </c>
      <c r="K17" s="9" t="n">
        <v>21791</v>
      </c>
      <c r="L17" s="8" t="inlineStr"/>
      <c r="M17" s="9" t="inlineStr"/>
      <c r="N17" s="9" t="n">
        <v>8716</v>
      </c>
      <c r="O17" s="10" t="inlineStr"/>
      <c r="P17" s="9">
        <f>O17*G17</f>
        <v/>
      </c>
    </row>
    <row r="18">
      <c r="A18" s="6" t="n">
        <v>13</v>
      </c>
      <c r="B18" s="7" t="inlineStr">
        <is>
          <t>Клапан невозвратно -приемный Ду 50</t>
        </is>
      </c>
      <c r="C18" s="8" t="inlineStr">
        <is>
          <t>522-35.4043-01</t>
        </is>
      </c>
      <c r="D18" s="6" t="n">
        <v>50</v>
      </c>
      <c r="E18" s="6" t="inlineStr"/>
      <c r="F18" s="6" t="inlineStr">
        <is>
          <t>новый</t>
        </is>
      </c>
      <c r="G18" s="6" t="n">
        <v>6</v>
      </c>
      <c r="H18" s="6" t="n">
        <v>10.8</v>
      </c>
      <c r="I18" s="6" t="n">
        <v>65</v>
      </c>
      <c r="J18" s="7" t="inlineStr">
        <is>
          <t>новое, цена согласовывается отдельно</t>
        </is>
      </c>
      <c r="K18" s="9" t="n">
        <v>20115</v>
      </c>
      <c r="L18" s="8" t="inlineStr"/>
      <c r="M18" s="9" t="n">
        <v>15000</v>
      </c>
      <c r="N18" s="9" t="n">
        <v>8046</v>
      </c>
      <c r="O18" s="10" t="inlineStr"/>
      <c r="P18" s="9">
        <f>O18*G18</f>
        <v/>
      </c>
    </row>
    <row r="19">
      <c r="A19" s="6" t="n">
        <v>14</v>
      </c>
      <c r="B19" s="7" t="inlineStr">
        <is>
          <t>Клапан штуцерный угловой ДУ 32 Ру 160</t>
        </is>
      </c>
      <c r="C19" s="8" t="inlineStr">
        <is>
          <t>521-03.480</t>
        </is>
      </c>
      <c r="D19" s="6" t="n">
        <v>32</v>
      </c>
      <c r="E19" s="6" t="inlineStr">
        <is>
          <t>160</t>
        </is>
      </c>
      <c r="F19" s="6" t="inlineStr">
        <is>
          <t>новый</t>
        </is>
      </c>
      <c r="G19" s="6" t="n">
        <v>16</v>
      </c>
      <c r="H19" s="6" t="n">
        <v>3.9</v>
      </c>
      <c r="I19" s="6" t="n">
        <v>62</v>
      </c>
      <c r="J19" s="7" t="inlineStr">
        <is>
          <t>новое, цена согласовывается отдельно</t>
        </is>
      </c>
      <c r="K19" s="9" t="n">
        <v>7264</v>
      </c>
      <c r="L19" s="8" t="inlineStr"/>
      <c r="M19" s="9" t="n">
        <v>12800</v>
      </c>
      <c r="N19" s="9" t="n">
        <v>2906</v>
      </c>
      <c r="O19" s="10" t="inlineStr"/>
      <c r="P19" s="9">
        <f>O19*G19</f>
        <v/>
      </c>
    </row>
    <row r="20">
      <c r="A20" s="6" t="n">
        <v>15</v>
      </c>
      <c r="B20" s="7" t="inlineStr">
        <is>
          <t>Клапан невозв-запорн.с присоед.под дюрит прох. Ду 50</t>
        </is>
      </c>
      <c r="C20" s="8" t="inlineStr">
        <is>
          <t>521-03.442-03</t>
        </is>
      </c>
      <c r="D20" s="6" t="n">
        <v>50</v>
      </c>
      <c r="E20" s="6" t="inlineStr">
        <is>
          <t>6</t>
        </is>
      </c>
      <c r="F20" s="6" t="inlineStr">
        <is>
          <t>новый</t>
        </is>
      </c>
      <c r="G20" s="6" t="n">
        <v>10</v>
      </c>
      <c r="H20" s="6" t="n">
        <v>5.5</v>
      </c>
      <c r="I20" s="6" t="n">
        <v>55</v>
      </c>
      <c r="J20" s="7" t="inlineStr">
        <is>
          <t>новое, цена согласовывается отдельно</t>
        </is>
      </c>
      <c r="K20" s="9" t="n">
        <v>10244</v>
      </c>
      <c r="L20" s="8" t="inlineStr">
        <is>
          <t>20</t>
        </is>
      </c>
      <c r="M20" s="9" t="inlineStr"/>
      <c r="N20" s="9" t="n">
        <v>4098</v>
      </c>
      <c r="O20" s="10" t="inlineStr"/>
      <c r="P20" s="9">
        <f>O20*G20</f>
        <v/>
      </c>
    </row>
    <row r="21">
      <c r="A21" s="6" t="n">
        <v>16</v>
      </c>
      <c r="B21" s="7" t="inlineStr">
        <is>
          <t>Клапан штуцерный угловой Ду32Ру100</t>
        </is>
      </c>
      <c r="C21" s="8" t="inlineStr">
        <is>
          <t>521-01.464-07</t>
        </is>
      </c>
      <c r="D21" s="6" t="n">
        <v>32</v>
      </c>
      <c r="E21" s="6" t="inlineStr">
        <is>
          <t>100</t>
        </is>
      </c>
      <c r="F21" s="6" t="inlineStr">
        <is>
          <t>новый</t>
        </is>
      </c>
      <c r="G21" s="6" t="n">
        <v>14</v>
      </c>
      <c r="H21" s="6" t="n">
        <v>3.3</v>
      </c>
      <c r="I21" s="6" t="n">
        <v>46</v>
      </c>
      <c r="J21" s="7" t="inlineStr">
        <is>
          <t>новое, цена согласовывается отдельно</t>
        </is>
      </c>
      <c r="K21" s="9" t="n">
        <v>6146</v>
      </c>
      <c r="L21" s="8" t="inlineStr">
        <is>
          <t>6 500</t>
        </is>
      </c>
      <c r="M21" s="9" t="n">
        <v>11200</v>
      </c>
      <c r="N21" s="9" t="n">
        <v>2458</v>
      </c>
      <c r="O21" s="10" t="inlineStr"/>
      <c r="P21" s="9">
        <f>O21*G21</f>
        <v/>
      </c>
    </row>
    <row r="22">
      <c r="A22" s="6" t="n">
        <v>17</v>
      </c>
      <c r="B22" s="7" t="inlineStr">
        <is>
          <t>Стакан переборочный Ду20Ру100</t>
        </is>
      </c>
      <c r="C22" s="8" t="inlineStr">
        <is>
          <t>554-03.905-06</t>
        </is>
      </c>
      <c r="D22" s="6" t="n">
        <v>20</v>
      </c>
      <c r="E22" s="6" t="inlineStr">
        <is>
          <t>100</t>
        </is>
      </c>
      <c r="F22" s="6" t="inlineStr">
        <is>
          <t>новый</t>
        </is>
      </c>
      <c r="G22" s="6" t="n">
        <v>26</v>
      </c>
      <c r="H22" s="6" t="n">
        <v>1.5</v>
      </c>
      <c r="I22" s="6" t="n">
        <v>39</v>
      </c>
      <c r="J22" s="7" t="inlineStr">
        <is>
          <t>новое, цена согласовывается отдельно</t>
        </is>
      </c>
      <c r="K22" s="9" t="n">
        <v>2794</v>
      </c>
      <c r="L22" s="8" t="inlineStr"/>
      <c r="M22" s="9" t="inlineStr"/>
      <c r="N22" s="9" t="n">
        <v>1118</v>
      </c>
      <c r="O22" s="10" t="inlineStr"/>
      <c r="P22" s="9">
        <f>O22*G22</f>
        <v/>
      </c>
    </row>
    <row r="23">
      <c r="A23" s="6" t="n">
        <v>18</v>
      </c>
      <c r="B23" s="7" t="inlineStr">
        <is>
          <t>Клапан пусковой Ду20Ру125</t>
        </is>
      </c>
      <c r="C23" s="8" t="inlineStr">
        <is>
          <t>587-03.080</t>
        </is>
      </c>
      <c r="D23" s="6" t="n">
        <v>20</v>
      </c>
      <c r="E23" s="6" t="inlineStr">
        <is>
          <t>125</t>
        </is>
      </c>
      <c r="F23" s="6" t="inlineStr">
        <is>
          <t>новый</t>
        </is>
      </c>
      <c r="G23" s="6" t="n">
        <v>7</v>
      </c>
      <c r="H23" s="6" t="n">
        <v>5.6</v>
      </c>
      <c r="I23" s="6" t="n">
        <v>39</v>
      </c>
      <c r="J23" s="7" t="inlineStr">
        <is>
          <t>новое, цена согласовывается отдельно</t>
        </is>
      </c>
      <c r="K23" s="9" t="n">
        <v>10430</v>
      </c>
      <c r="L23" s="8" t="inlineStr">
        <is>
          <t>25 000</t>
        </is>
      </c>
      <c r="M23" s="9" t="inlineStr"/>
      <c r="N23" s="9" t="n">
        <v>4172</v>
      </c>
      <c r="O23" s="10" t="inlineStr"/>
      <c r="P23" s="9">
        <f>O23*G23</f>
        <v/>
      </c>
    </row>
    <row r="24">
      <c r="A24" s="6" t="n">
        <v>19</v>
      </c>
      <c r="B24" s="7" t="inlineStr">
        <is>
          <t>Кингстон донный фланцевый Ду80 Ру2,5</t>
        </is>
      </c>
      <c r="C24" s="8" t="inlineStr">
        <is>
          <t>527-03.055</t>
        </is>
      </c>
      <c r="D24" s="6" t="n">
        <v>80</v>
      </c>
      <c r="E24" s="6" t="inlineStr">
        <is>
          <t>2</t>
        </is>
      </c>
      <c r="F24" s="6" t="inlineStr">
        <is>
          <t>новый</t>
        </is>
      </c>
      <c r="G24" s="6" t="n">
        <v>2</v>
      </c>
      <c r="H24" s="6" t="n">
        <v>19</v>
      </c>
      <c r="I24" s="6" t="n">
        <v>38</v>
      </c>
      <c r="J24" s="7" t="inlineStr">
        <is>
          <t>новое, цена согласовывается отдельно</t>
        </is>
      </c>
      <c r="K24" s="9" t="n">
        <v>35388</v>
      </c>
      <c r="L24" s="8" t="inlineStr">
        <is>
          <t>30 000</t>
        </is>
      </c>
      <c r="M24" s="9" t="inlineStr"/>
      <c r="N24" s="9" t="n">
        <v>14155</v>
      </c>
      <c r="O24" s="10" t="inlineStr"/>
      <c r="P24" s="9">
        <f>O24*G24</f>
        <v/>
      </c>
    </row>
    <row r="25">
      <c r="A25" s="6" t="n">
        <v>20</v>
      </c>
      <c r="B25" s="7" t="inlineStr">
        <is>
          <t>Клапан штуцерный угловой ДУ 32 Ру 160</t>
        </is>
      </c>
      <c r="C25" s="8" t="inlineStr">
        <is>
          <t>522-03.151-01</t>
        </is>
      </c>
      <c r="D25" s="6" t="n">
        <v>32</v>
      </c>
      <c r="E25" s="6" t="inlineStr">
        <is>
          <t>160</t>
        </is>
      </c>
      <c r="F25" s="6" t="inlineStr">
        <is>
          <t>новый</t>
        </is>
      </c>
      <c r="G25" s="6" t="n">
        <v>8</v>
      </c>
      <c r="H25" s="6" t="n">
        <v>4.7</v>
      </c>
      <c r="I25" s="6" t="n">
        <v>38</v>
      </c>
      <c r="J25" s="7" t="inlineStr">
        <is>
          <t>новое, цена согласовывается отдельно</t>
        </is>
      </c>
      <c r="K25" s="9" t="n">
        <v>8754</v>
      </c>
      <c r="L25" s="8" t="inlineStr"/>
      <c r="M25" s="9" t="n">
        <v>9600</v>
      </c>
      <c r="N25" s="9" t="n">
        <v>3502</v>
      </c>
      <c r="O25" s="10" t="inlineStr"/>
      <c r="P25" s="9">
        <f>O25*G25</f>
        <v/>
      </c>
    </row>
    <row r="26">
      <c r="A26" s="6" t="n">
        <v>21</v>
      </c>
      <c r="B26" s="7" t="inlineStr">
        <is>
          <t>Грибки АМГ Ду 175 с нижнем приводом</t>
        </is>
      </c>
      <c r="C26" s="8" t="inlineStr">
        <is>
          <t>541-03.316-03</t>
        </is>
      </c>
      <c r="D26" s="6" t="n">
        <v>175</v>
      </c>
      <c r="E26" s="6" t="inlineStr"/>
      <c r="F26" s="6" t="inlineStr">
        <is>
          <t>новый</t>
        </is>
      </c>
      <c r="G26" s="6" t="n">
        <v>10</v>
      </c>
      <c r="H26" s="6" t="n">
        <v>3.8</v>
      </c>
      <c r="I26" s="6" t="n">
        <v>38</v>
      </c>
      <c r="J26" s="7" t="inlineStr">
        <is>
          <t>новое, цена согласовывается отдельно</t>
        </is>
      </c>
      <c r="K26" s="9" t="n">
        <v>7078</v>
      </c>
      <c r="L26" s="8" t="inlineStr"/>
      <c r="M26" s="9" t="inlineStr"/>
      <c r="N26" s="9" t="n">
        <v>988</v>
      </c>
      <c r="O26" s="10" t="inlineStr"/>
      <c r="P26" s="9">
        <f>O26*G26</f>
        <v/>
      </c>
    </row>
    <row r="27">
      <c r="A27" s="6" t="n">
        <v>22</v>
      </c>
      <c r="B27" s="7" t="inlineStr">
        <is>
          <t>Клапан фланцевый угловой Ду80</t>
        </is>
      </c>
      <c r="C27" s="8" t="inlineStr">
        <is>
          <t>521-01.150-02</t>
        </is>
      </c>
      <c r="D27" s="6" t="n">
        <v>80</v>
      </c>
      <c r="E27" s="6" t="inlineStr">
        <is>
          <t>10</t>
        </is>
      </c>
      <c r="F27" s="6" t="inlineStr">
        <is>
          <t>новый</t>
        </is>
      </c>
      <c r="G27" s="6" t="n">
        <v>2</v>
      </c>
      <c r="H27" s="6" t="n">
        <v>18.7</v>
      </c>
      <c r="I27" s="6" t="n">
        <v>37</v>
      </c>
      <c r="J27" s="7" t="inlineStr">
        <is>
          <t>новое, цена согласовывается отдельно</t>
        </is>
      </c>
      <c r="K27" s="9" t="n">
        <v>34829</v>
      </c>
      <c r="L27" s="8" t="inlineStr">
        <is>
          <t>30 000</t>
        </is>
      </c>
      <c r="M27" s="9" t="n">
        <v>28800</v>
      </c>
      <c r="N27" s="9" t="n">
        <v>13932</v>
      </c>
      <c r="O27" s="10" t="inlineStr"/>
      <c r="P27" s="9">
        <f>O27*G27</f>
        <v/>
      </c>
    </row>
    <row r="28">
      <c r="A28" s="6" t="n">
        <v>23</v>
      </c>
      <c r="B28" s="7" t="inlineStr">
        <is>
          <t>Клапан фланцевый проходной Ду80 Ру 40 сталь</t>
        </is>
      </c>
      <c r="C28" s="8" t="inlineStr">
        <is>
          <t>521-35.3437</t>
        </is>
      </c>
      <c r="D28" s="6" t="n">
        <v>80</v>
      </c>
      <c r="E28" s="6" t="inlineStr">
        <is>
          <t>40</t>
        </is>
      </c>
      <c r="F28" s="6" t="inlineStr">
        <is>
          <t>новый</t>
        </is>
      </c>
      <c r="G28" s="6" t="n">
        <v>1</v>
      </c>
      <c r="H28" s="6" t="n">
        <v>33</v>
      </c>
      <c r="I28" s="6" t="n">
        <v>33</v>
      </c>
      <c r="J28" s="7" t="inlineStr">
        <is>
          <t>новое, цена согласовывается отдельно</t>
        </is>
      </c>
      <c r="K28" s="9" t="n">
        <v>61462</v>
      </c>
      <c r="L28" s="8" t="inlineStr"/>
      <c r="M28" s="9" t="n">
        <v>28000</v>
      </c>
      <c r="N28" s="9" t="n">
        <v>627</v>
      </c>
      <c r="O28" s="10" t="inlineStr"/>
      <c r="P28" s="9">
        <f>O28*G28</f>
        <v/>
      </c>
    </row>
    <row r="29">
      <c r="A29" s="6" t="n">
        <v>24</v>
      </c>
      <c r="B29" s="7" t="inlineStr">
        <is>
          <t>Клапан паровой Ду65Ру10</t>
        </is>
      </c>
      <c r="C29" s="8" t="inlineStr">
        <is>
          <t>581-03.034</t>
        </is>
      </c>
      <c r="D29" s="6" t="n">
        <v>65</v>
      </c>
      <c r="E29" s="6" t="inlineStr">
        <is>
          <t>10</t>
        </is>
      </c>
      <c r="F29" s="6" t="inlineStr">
        <is>
          <t>новый</t>
        </is>
      </c>
      <c r="G29" s="6" t="n">
        <v>1</v>
      </c>
      <c r="H29" s="6" t="n">
        <v>32.6</v>
      </c>
      <c r="I29" s="6" t="n">
        <v>33</v>
      </c>
      <c r="J29" s="7" t="inlineStr">
        <is>
          <t>новое, цена согласовывается отдельно</t>
        </is>
      </c>
      <c r="K29" s="9" t="n">
        <v>60718</v>
      </c>
      <c r="L29" s="8" t="inlineStr">
        <is>
          <t>60</t>
        </is>
      </c>
      <c r="M29" s="9" t="inlineStr"/>
      <c r="N29" s="9" t="n">
        <v>24287</v>
      </c>
      <c r="O29" s="10" t="inlineStr"/>
      <c r="P29" s="9">
        <f>O29*G29</f>
        <v/>
      </c>
    </row>
    <row r="30">
      <c r="A30" s="6" t="n">
        <v>25</v>
      </c>
      <c r="B30" s="7" t="inlineStr">
        <is>
          <t>Клапан фланцевый проходной Ду50 Ру 40 сталь</t>
        </is>
      </c>
      <c r="C30" s="8" t="inlineStr">
        <is>
          <t>522-01.322</t>
        </is>
      </c>
      <c r="D30" s="6" t="n">
        <v>50</v>
      </c>
      <c r="E30" s="6" t="inlineStr">
        <is>
          <t>40</t>
        </is>
      </c>
      <c r="F30" s="6" t="inlineStr">
        <is>
          <t>новый</t>
        </is>
      </c>
      <c r="G30" s="6" t="n">
        <v>2</v>
      </c>
      <c r="H30" s="6" t="n">
        <v>15.9</v>
      </c>
      <c r="I30" s="6" t="n">
        <v>32</v>
      </c>
      <c r="J30" s="7" t="inlineStr">
        <is>
          <t>новое, цена согласовывается отдельно</t>
        </is>
      </c>
      <c r="K30" s="9" t="n">
        <v>29614</v>
      </c>
      <c r="L30" s="8" t="inlineStr"/>
      <c r="M30" s="9" t="n">
        <v>20000</v>
      </c>
      <c r="N30" s="9" t="n">
        <v>302</v>
      </c>
      <c r="O30" s="10" t="inlineStr"/>
      <c r="P30" s="9">
        <f>O30*G30</f>
        <v/>
      </c>
    </row>
    <row r="31">
      <c r="A31" s="6" t="n">
        <v>26</v>
      </c>
      <c r="B31" s="7" t="inlineStr">
        <is>
          <t>Клапан невозвратный Ду 100</t>
        </is>
      </c>
      <c r="C31" s="8" t="inlineStr">
        <is>
          <t>522-01.168</t>
        </is>
      </c>
      <c r="D31" s="6" t="n">
        <v>100</v>
      </c>
      <c r="E31" s="6" t="inlineStr"/>
      <c r="F31" s="6" t="inlineStr">
        <is>
          <t>новый</t>
        </is>
      </c>
      <c r="G31" s="6" t="n">
        <v>1</v>
      </c>
      <c r="H31" s="6" t="n">
        <v>28.8</v>
      </c>
      <c r="I31" s="6" t="n">
        <v>29</v>
      </c>
      <c r="J31" s="7" t="inlineStr">
        <is>
          <t>новое, цена согласовывается отдельно</t>
        </is>
      </c>
      <c r="K31" s="9" t="n">
        <v>53640</v>
      </c>
      <c r="L31" s="8" t="inlineStr"/>
      <c r="M31" s="9" t="inlineStr"/>
      <c r="N31" s="9" t="n">
        <v>21456</v>
      </c>
      <c r="O31" s="10" t="inlineStr"/>
      <c r="P31" s="9">
        <f>O31*G31</f>
        <v/>
      </c>
    </row>
    <row r="32">
      <c r="A32" s="6" t="n">
        <v>27</v>
      </c>
      <c r="B32" s="7" t="inlineStr">
        <is>
          <t>Клапан запорн.с присоед.под дюрит прох. Ду65</t>
        </is>
      </c>
      <c r="C32" s="8" t="inlineStr">
        <is>
          <t>ИШТЛ.491112-003.04</t>
        </is>
      </c>
      <c r="D32" s="6" t="n">
        <v>65</v>
      </c>
      <c r="E32" s="6" t="inlineStr">
        <is>
          <t>6</t>
        </is>
      </c>
      <c r="F32" s="6" t="inlineStr">
        <is>
          <t>новый</t>
        </is>
      </c>
      <c r="G32" s="6" t="n">
        <v>5</v>
      </c>
      <c r="H32" s="6" t="n">
        <v>5.7</v>
      </c>
      <c r="I32" s="6" t="n">
        <v>28</v>
      </c>
      <c r="J32" s="7" t="inlineStr">
        <is>
          <t>новое, цена согласовывается отдельно</t>
        </is>
      </c>
      <c r="K32" s="9" t="n">
        <v>10616</v>
      </c>
      <c r="L32" s="8" t="inlineStr">
        <is>
          <t>30 000</t>
        </is>
      </c>
      <c r="M32" s="9" t="inlineStr"/>
      <c r="N32" s="9" t="n">
        <v>4246</v>
      </c>
      <c r="O32" s="10" t="inlineStr"/>
      <c r="P32" s="9">
        <f>O32*G32</f>
        <v/>
      </c>
    </row>
    <row r="33">
      <c r="A33" s="6" t="n">
        <v>28</v>
      </c>
      <c r="B33" s="7" t="inlineStr">
        <is>
          <t>Клапан запорн.с присоед.под дюрит прох. Ду65</t>
        </is>
      </c>
      <c r="C33" s="8" t="inlineStr">
        <is>
          <t>521-03.442-04</t>
        </is>
      </c>
      <c r="D33" s="6" t="n">
        <v>65</v>
      </c>
      <c r="E33" s="6" t="inlineStr">
        <is>
          <t>6</t>
        </is>
      </c>
      <c r="F33" s="6" t="inlineStr">
        <is>
          <t>новый</t>
        </is>
      </c>
      <c r="G33" s="6" t="n">
        <v>5</v>
      </c>
      <c r="H33" s="6" t="n">
        <v>5.7</v>
      </c>
      <c r="I33" s="6" t="n">
        <v>28</v>
      </c>
      <c r="J33" s="7" t="inlineStr">
        <is>
          <t>новое, цена согласовывается отдельно</t>
        </is>
      </c>
      <c r="K33" s="9" t="n">
        <v>10616</v>
      </c>
      <c r="L33" s="8" t="inlineStr">
        <is>
          <t>30 000</t>
        </is>
      </c>
      <c r="M33" s="9" t="inlineStr"/>
      <c r="N33" s="9" t="n">
        <v>4246</v>
      </c>
      <c r="O33" s="10" t="inlineStr"/>
      <c r="P33" s="9">
        <f>O33*G33</f>
        <v/>
      </c>
    </row>
    <row r="34">
      <c r="A34" s="6" t="n">
        <v>29</v>
      </c>
      <c r="B34" s="7" t="inlineStr">
        <is>
          <t>Клапан невозв-запорн.с присоед.под дюрит прох. Ду 50</t>
        </is>
      </c>
      <c r="C34" s="8" t="inlineStr">
        <is>
          <t>ИШТЛ.491912-002.04</t>
        </is>
      </c>
      <c r="D34" s="6" t="n">
        <v>50</v>
      </c>
      <c r="E34" s="6" t="inlineStr">
        <is>
          <t>6</t>
        </is>
      </c>
      <c r="F34" s="6" t="inlineStr">
        <is>
          <t>новый</t>
        </is>
      </c>
      <c r="G34" s="6" t="n">
        <v>5</v>
      </c>
      <c r="H34" s="6" t="n">
        <v>5.5</v>
      </c>
      <c r="I34" s="6" t="n">
        <v>28</v>
      </c>
      <c r="J34" s="7" t="inlineStr">
        <is>
          <t>новое, цена согласовывается отдельно</t>
        </is>
      </c>
      <c r="K34" s="9" t="n">
        <v>10244</v>
      </c>
      <c r="L34" s="8" t="inlineStr">
        <is>
          <t>20</t>
        </is>
      </c>
      <c r="M34" s="9" t="inlineStr"/>
      <c r="N34" s="9" t="n">
        <v>4098</v>
      </c>
      <c r="O34" s="10" t="inlineStr"/>
      <c r="P34" s="9">
        <f>O34*G34</f>
        <v/>
      </c>
    </row>
    <row r="35">
      <c r="A35" s="6" t="n">
        <v>30</v>
      </c>
      <c r="B35" s="7" t="inlineStr">
        <is>
          <t>Клапан невозв-запорн.с присоед.под дюрит прох. Ду 50</t>
        </is>
      </c>
      <c r="C35" s="8" t="inlineStr">
        <is>
          <t>ИШТЛ.491112-003.03</t>
        </is>
      </c>
      <c r="D35" s="6" t="n">
        <v>50</v>
      </c>
      <c r="E35" s="6" t="inlineStr">
        <is>
          <t>6</t>
        </is>
      </c>
      <c r="F35" s="6" t="inlineStr">
        <is>
          <t>новый</t>
        </is>
      </c>
      <c r="G35" s="6" t="n">
        <v>5</v>
      </c>
      <c r="H35" s="6" t="n">
        <v>5.5</v>
      </c>
      <c r="I35" s="6" t="n">
        <v>28</v>
      </c>
      <c r="J35" s="7" t="inlineStr">
        <is>
          <t>новое, цена согласовывается отдельно</t>
        </is>
      </c>
      <c r="K35" s="9" t="n">
        <v>10244</v>
      </c>
      <c r="L35" s="8" t="inlineStr">
        <is>
          <t>20</t>
        </is>
      </c>
      <c r="M35" s="9" t="inlineStr"/>
      <c r="N35" s="9" t="n">
        <v>4098</v>
      </c>
      <c r="O35" s="10" t="inlineStr"/>
      <c r="P35" s="9">
        <f>O35*G35</f>
        <v/>
      </c>
    </row>
    <row r="36">
      <c r="A36" s="6" t="n">
        <v>31</v>
      </c>
      <c r="B36" s="7" t="inlineStr">
        <is>
          <t>Клапан редукционный штуц.проход.односедельный Ду20Ру400 у входа</t>
        </is>
      </c>
      <c r="C36" s="8" t="inlineStr">
        <is>
          <t>525-03.044-01</t>
        </is>
      </c>
      <c r="D36" s="6" t="n">
        <v>20</v>
      </c>
      <c r="E36" s="6" t="inlineStr">
        <is>
          <t>400</t>
        </is>
      </c>
      <c r="F36" s="6" t="inlineStr">
        <is>
          <t>новый</t>
        </is>
      </c>
      <c r="G36" s="6" t="n">
        <v>1</v>
      </c>
      <c r="H36" s="6" t="n">
        <v>27</v>
      </c>
      <c r="I36" s="6" t="n">
        <v>27</v>
      </c>
      <c r="J36" s="7" t="inlineStr">
        <is>
          <t>новое, цена согласовывается отдельно</t>
        </is>
      </c>
      <c r="K36" s="9" t="n">
        <v>50288</v>
      </c>
      <c r="L36" s="8" t="inlineStr">
        <is>
          <t>35 000</t>
        </is>
      </c>
      <c r="M36" s="9" t="n">
        <v>9000</v>
      </c>
      <c r="N36" s="9" t="n">
        <v>20115</v>
      </c>
      <c r="O36" s="10" t="inlineStr"/>
      <c r="P36" s="9">
        <f>O36*G36</f>
        <v/>
      </c>
    </row>
    <row r="37">
      <c r="A37" s="6" t="n">
        <v>32</v>
      </c>
      <c r="B37" s="7" t="inlineStr">
        <is>
          <t>Клапан фланцевый угловой Ду80</t>
        </is>
      </c>
      <c r="C37" s="8" t="inlineStr">
        <is>
          <t>521-35.011</t>
        </is>
      </c>
      <c r="D37" s="6" t="n">
        <v>80</v>
      </c>
      <c r="E37" s="6" t="inlineStr">
        <is>
          <t>30</t>
        </is>
      </c>
      <c r="F37" s="6" t="inlineStr">
        <is>
          <t>новая</t>
        </is>
      </c>
      <c r="G37" s="6" t="n">
        <v>1</v>
      </c>
      <c r="H37" s="6" t="n">
        <v>25.5</v>
      </c>
      <c r="I37" s="6" t="n">
        <v>26</v>
      </c>
      <c r="J37" s="7" t="inlineStr">
        <is>
          <t>новое, цена согласовывается отдельно</t>
        </is>
      </c>
      <c r="K37" s="9" t="n">
        <v>47494</v>
      </c>
      <c r="L37" s="8" t="inlineStr">
        <is>
          <t>30 000</t>
        </is>
      </c>
      <c r="M37" s="9" t="n">
        <v>28800</v>
      </c>
      <c r="N37" s="9" t="n">
        <v>18998</v>
      </c>
      <c r="O37" s="10" t="inlineStr"/>
      <c r="P37" s="9">
        <f>O37*G37</f>
        <v/>
      </c>
    </row>
    <row r="38">
      <c r="A38" s="6" t="n">
        <v>33</v>
      </c>
      <c r="B38" s="7" t="inlineStr">
        <is>
          <t>Клапан фланцевый угловой Ду40 РУ 25</t>
        </is>
      </c>
      <c r="C38" s="8" t="inlineStr">
        <is>
          <t>522-35.446</t>
        </is>
      </c>
      <c r="D38" s="6" t="n">
        <v>40</v>
      </c>
      <c r="E38" s="6" t="inlineStr">
        <is>
          <t>25</t>
        </is>
      </c>
      <c r="F38" s="6" t="inlineStr">
        <is>
          <t>новый</t>
        </is>
      </c>
      <c r="G38" s="6" t="n">
        <v>2</v>
      </c>
      <c r="H38" s="6" t="n">
        <v>13.1</v>
      </c>
      <c r="I38" s="6" t="n">
        <v>26</v>
      </c>
      <c r="J38" s="7" t="inlineStr">
        <is>
          <t>новое, цена согласовывается отдельно</t>
        </is>
      </c>
      <c r="K38" s="9" t="n">
        <v>24399</v>
      </c>
      <c r="L38" s="8" t="inlineStr"/>
      <c r="M38" s="9" t="n">
        <v>20000</v>
      </c>
      <c r="N38" s="9" t="n">
        <v>9760</v>
      </c>
      <c r="O38" s="10" t="inlineStr"/>
      <c r="P38" s="9">
        <f>O38*G38</f>
        <v/>
      </c>
    </row>
    <row r="39">
      <c r="A39" s="6" t="n">
        <v>34</v>
      </c>
      <c r="B39" s="7" t="inlineStr">
        <is>
          <t>Клапан фланцевый проходной Ду80 Ру 40 сталь</t>
        </is>
      </c>
      <c r="C39" s="8" t="inlineStr">
        <is>
          <t>522-01.101</t>
        </is>
      </c>
      <c r="D39" s="6" t="n">
        <v>80</v>
      </c>
      <c r="E39" s="6" t="inlineStr">
        <is>
          <t>40</t>
        </is>
      </c>
      <c r="F39" s="6" t="inlineStr">
        <is>
          <t>новый</t>
        </is>
      </c>
      <c r="G39" s="6" t="n">
        <v>1</v>
      </c>
      <c r="H39" s="6" t="n">
        <v>19.6</v>
      </c>
      <c r="I39" s="6" t="n">
        <v>20</v>
      </c>
      <c r="J39" s="7" t="inlineStr">
        <is>
          <t>новое, цена согласовывается отдельно</t>
        </is>
      </c>
      <c r="K39" s="9" t="n">
        <v>36505</v>
      </c>
      <c r="L39" s="8" t="inlineStr"/>
      <c r="M39" s="9" t="n">
        <v>28000</v>
      </c>
      <c r="N39" s="9" t="n">
        <v>372</v>
      </c>
      <c r="O39" s="10" t="inlineStr"/>
      <c r="P39" s="9">
        <f>O39*G39</f>
        <v/>
      </c>
    </row>
    <row r="40">
      <c r="A40" s="6" t="n">
        <v>35</v>
      </c>
      <c r="B40" s="7" t="inlineStr">
        <is>
          <t>Клапан фланцевый угловой Ду80</t>
        </is>
      </c>
      <c r="C40" s="8" t="inlineStr">
        <is>
          <t>522-01.244</t>
        </is>
      </c>
      <c r="D40" s="6" t="n">
        <v>80</v>
      </c>
      <c r="E40" s="6" t="inlineStr"/>
      <c r="F40" s="6" t="inlineStr">
        <is>
          <t>новый</t>
        </is>
      </c>
      <c r="G40" s="6" t="n">
        <v>1</v>
      </c>
      <c r="H40" s="6" t="n">
        <v>20</v>
      </c>
      <c r="I40" s="6" t="n">
        <v>20</v>
      </c>
      <c r="J40" s="7" t="inlineStr">
        <is>
          <t>новое, цена согласовывается отдельно</t>
        </is>
      </c>
      <c r="K40" s="9" t="n">
        <v>37250</v>
      </c>
      <c r="L40" s="8" t="inlineStr">
        <is>
          <t>30 000</t>
        </is>
      </c>
      <c r="M40" s="9" t="n">
        <v>30000</v>
      </c>
      <c r="N40" s="9" t="n">
        <v>14900</v>
      </c>
      <c r="O40" s="10" t="inlineStr"/>
      <c r="P40" s="9">
        <f>O40*G40</f>
        <v/>
      </c>
    </row>
    <row r="41">
      <c r="A41" s="6" t="n">
        <v>36</v>
      </c>
      <c r="B41" s="7" t="inlineStr">
        <is>
          <t>Клапан фланцевый угловой Ду65 Ру40</t>
        </is>
      </c>
      <c r="C41" s="8" t="inlineStr">
        <is>
          <t>521-03.230</t>
        </is>
      </c>
      <c r="D41" s="6" t="n">
        <v>65</v>
      </c>
      <c r="E41" s="6" t="inlineStr">
        <is>
          <t>40</t>
        </is>
      </c>
      <c r="F41" s="6" t="inlineStr">
        <is>
          <t>новый</t>
        </is>
      </c>
      <c r="G41" s="6" t="n">
        <v>1</v>
      </c>
      <c r="H41" s="6" t="n">
        <v>20</v>
      </c>
      <c r="I41" s="6" t="n">
        <v>20</v>
      </c>
      <c r="J41" s="7" t="inlineStr">
        <is>
          <t>новое, цена согласовывается отдельно</t>
        </is>
      </c>
      <c r="K41" s="9" t="n">
        <v>37250</v>
      </c>
      <c r="L41" s="8" t="inlineStr"/>
      <c r="M41" s="9" t="n">
        <v>25150</v>
      </c>
      <c r="N41" s="9" t="n">
        <v>14900</v>
      </c>
      <c r="O41" s="10" t="inlineStr"/>
      <c r="P41" s="9">
        <f>O41*G41</f>
        <v/>
      </c>
    </row>
    <row r="42">
      <c r="A42" s="6" t="n">
        <v>37</v>
      </c>
      <c r="B42" s="7" t="inlineStr">
        <is>
          <t>Клапан штуцерный угловой Ду15 Ру160</t>
        </is>
      </c>
      <c r="C42" s="8" t="inlineStr">
        <is>
          <t>525-03.011</t>
        </is>
      </c>
      <c r="D42" s="6" t="n">
        <v>15</v>
      </c>
      <c r="E42" s="6" t="inlineStr">
        <is>
          <t>160</t>
        </is>
      </c>
      <c r="F42" s="6" t="inlineStr">
        <is>
          <t>новый</t>
        </is>
      </c>
      <c r="G42" s="6" t="n">
        <v>4</v>
      </c>
      <c r="H42" s="6" t="n">
        <v>4.9</v>
      </c>
      <c r="I42" s="6" t="n">
        <v>20</v>
      </c>
      <c r="J42" s="7" t="inlineStr">
        <is>
          <t>новое, цена согласовывается отдельно</t>
        </is>
      </c>
      <c r="K42" s="9" t="n">
        <v>9126</v>
      </c>
      <c r="L42" s="8" t="inlineStr"/>
      <c r="M42" s="9" t="n">
        <v>7500</v>
      </c>
      <c r="N42" s="9" t="n">
        <v>3651</v>
      </c>
      <c r="O42" s="10" t="inlineStr"/>
      <c r="P42" s="9">
        <f>O42*G42</f>
        <v/>
      </c>
    </row>
    <row r="43">
      <c r="A43" s="6" t="n">
        <v>38</v>
      </c>
      <c r="B43" s="7" t="inlineStr">
        <is>
          <t>Клапан фланцевый угловой Ду80</t>
        </is>
      </c>
      <c r="C43" s="8" t="inlineStr">
        <is>
          <t>521-01.150</t>
        </is>
      </c>
      <c r="D43" s="6" t="n">
        <v>80</v>
      </c>
      <c r="E43" s="6" t="inlineStr">
        <is>
          <t>10</t>
        </is>
      </c>
      <c r="F43" s="6" t="inlineStr">
        <is>
          <t>новый</t>
        </is>
      </c>
      <c r="G43" s="6" t="n">
        <v>1</v>
      </c>
      <c r="H43" s="6" t="n">
        <v>18.7</v>
      </c>
      <c r="I43" s="6" t="n">
        <v>19</v>
      </c>
      <c r="J43" s="7" t="inlineStr">
        <is>
          <t>новое, цена согласовывается отдельно</t>
        </is>
      </c>
      <c r="K43" s="9" t="n">
        <v>34829</v>
      </c>
      <c r="L43" s="8" t="inlineStr">
        <is>
          <t>30 000</t>
        </is>
      </c>
      <c r="M43" s="9" t="n">
        <v>30000</v>
      </c>
      <c r="N43" s="9" t="n">
        <v>13932</v>
      </c>
      <c r="O43" s="10" t="inlineStr"/>
      <c r="P43" s="9">
        <f>O43*G43</f>
        <v/>
      </c>
    </row>
    <row r="44">
      <c r="A44" s="6" t="n">
        <v>39</v>
      </c>
      <c r="B44" s="7" t="inlineStr">
        <is>
          <t>Клапан фланцевый проходной титановые Ду50Ру10</t>
        </is>
      </c>
      <c r="C44" s="8" t="inlineStr">
        <is>
          <t>521-182.110</t>
        </is>
      </c>
      <c r="D44" s="6" t="n">
        <v>50</v>
      </c>
      <c r="E44" s="6" t="inlineStr">
        <is>
          <t>10</t>
        </is>
      </c>
      <c r="F44" s="6" t="inlineStr">
        <is>
          <t>новый</t>
        </is>
      </c>
      <c r="G44" s="6" t="n">
        <v>5</v>
      </c>
      <c r="H44" s="6" t="n">
        <v>3.5</v>
      </c>
      <c r="I44" s="6" t="n">
        <v>18</v>
      </c>
      <c r="J44" s="7" t="inlineStr">
        <is>
          <t>новое, цена согласовывается отдельно</t>
        </is>
      </c>
      <c r="K44" s="9" t="n">
        <v>6519</v>
      </c>
      <c r="L44" s="8" t="inlineStr">
        <is>
          <t>35 000</t>
        </is>
      </c>
      <c r="M44" s="9" t="n">
        <v>23000</v>
      </c>
      <c r="N44" s="9" t="n">
        <v>455</v>
      </c>
      <c r="O44" s="10" t="inlineStr"/>
      <c r="P44" s="9">
        <f>O44*G44</f>
        <v/>
      </c>
    </row>
    <row r="45">
      <c r="A45" s="6" t="n">
        <v>40</v>
      </c>
      <c r="B45" s="7" t="inlineStr">
        <is>
          <t>Клапан штуцерный угловой Ду15 Ру160</t>
        </is>
      </c>
      <c r="C45" s="8" t="inlineStr">
        <is>
          <t>521-03.387</t>
        </is>
      </c>
      <c r="D45" s="6" t="n">
        <v>15</v>
      </c>
      <c r="E45" s="6" t="inlineStr">
        <is>
          <t>160</t>
        </is>
      </c>
      <c r="F45" s="6" t="inlineStr">
        <is>
          <t>новый</t>
        </is>
      </c>
      <c r="G45" s="6" t="n">
        <v>4</v>
      </c>
      <c r="H45" s="6" t="n">
        <v>4.6</v>
      </c>
      <c r="I45" s="6" t="n">
        <v>18</v>
      </c>
      <c r="J45" s="7" t="inlineStr">
        <is>
          <t>новое, цена согласовывается отдельно</t>
        </is>
      </c>
      <c r="K45" s="9" t="n">
        <v>8568</v>
      </c>
      <c r="L45" s="8" t="inlineStr"/>
      <c r="M45" s="9" t="n">
        <v>6000</v>
      </c>
      <c r="N45" s="9" t="n">
        <v>3427</v>
      </c>
      <c r="O45" s="10" t="inlineStr"/>
      <c r="P45" s="9">
        <f>O45*G45</f>
        <v/>
      </c>
    </row>
    <row r="46">
      <c r="A46" s="6" t="n">
        <v>41</v>
      </c>
      <c r="B46" s="7" t="inlineStr">
        <is>
          <t>Крышка с коменсом и жалюзи 120*280</t>
        </is>
      </c>
      <c r="C46" s="8" t="inlineStr">
        <is>
          <t>546-03.074-01</t>
        </is>
      </c>
      <c r="D46" s="6" t="inlineStr"/>
      <c r="E46" s="6" t="inlineStr"/>
      <c r="F46" s="6" t="inlineStr">
        <is>
          <t>новая</t>
        </is>
      </c>
      <c r="G46" s="6" t="n">
        <v>4</v>
      </c>
      <c r="H46" s="6" t="n">
        <v>4.6</v>
      </c>
      <c r="I46" s="6" t="n">
        <v>18</v>
      </c>
      <c r="J46" s="7" t="inlineStr">
        <is>
          <t>новое, цена согласовывается отдельно</t>
        </is>
      </c>
      <c r="K46" s="9" t="n">
        <v>8568</v>
      </c>
      <c r="L46" s="8" t="inlineStr"/>
      <c r="M46" s="9" t="inlineStr"/>
      <c r="N46" s="9" t="n">
        <v>3427</v>
      </c>
      <c r="O46" s="10" t="inlineStr"/>
      <c r="P46" s="9">
        <f>O46*G46</f>
        <v/>
      </c>
    </row>
    <row r="47">
      <c r="A47" s="6" t="n">
        <v>42</v>
      </c>
      <c r="B47" s="7" t="inlineStr">
        <is>
          <t>Задвижки (желтая)</t>
        </is>
      </c>
      <c r="C47" s="8" t="inlineStr">
        <is>
          <t>544-03.046</t>
        </is>
      </c>
      <c r="D47" s="6" t="inlineStr"/>
      <c r="E47" s="6" t="inlineStr"/>
      <c r="F47" s="6" t="inlineStr">
        <is>
          <t>новая</t>
        </is>
      </c>
      <c r="G47" s="6" t="n">
        <v>13</v>
      </c>
      <c r="H47" s="6" t="n">
        <v>1.4</v>
      </c>
      <c r="I47" s="6" t="n">
        <v>18</v>
      </c>
      <c r="J47" s="7" t="inlineStr">
        <is>
          <t>новое, цена согласовывается отдельно</t>
        </is>
      </c>
      <c r="K47" s="9" t="n">
        <v>2608</v>
      </c>
      <c r="L47" s="8" t="inlineStr"/>
      <c r="M47" s="9" t="inlineStr"/>
      <c r="N47" s="9" t="n">
        <v>1043</v>
      </c>
      <c r="O47" s="10" t="inlineStr"/>
      <c r="P47" s="9">
        <f>O47*G47</f>
        <v/>
      </c>
    </row>
    <row r="48">
      <c r="A48" s="6" t="n">
        <v>43</v>
      </c>
      <c r="B48" s="7" t="inlineStr">
        <is>
          <t>Клапан штуцерный проходной бессальниковый  Ду15/1</t>
        </is>
      </c>
      <c r="C48" s="8" t="inlineStr">
        <is>
          <t>521-35.2608-01</t>
        </is>
      </c>
      <c r="D48" s="6" t="n">
        <v>15</v>
      </c>
      <c r="E48" s="6" t="inlineStr"/>
      <c r="F48" s="6" t="inlineStr">
        <is>
          <t>новый</t>
        </is>
      </c>
      <c r="G48" s="6" t="n">
        <v>3</v>
      </c>
      <c r="H48" s="6" t="n">
        <v>5.7</v>
      </c>
      <c r="I48" s="6" t="n">
        <v>17</v>
      </c>
      <c r="J48" s="7" t="inlineStr">
        <is>
          <t>новое, цена согласовывается отдельно</t>
        </is>
      </c>
      <c r="K48" s="9" t="n">
        <v>10616</v>
      </c>
      <c r="L48" s="8" t="inlineStr"/>
      <c r="M48" s="9" t="n">
        <v>6500</v>
      </c>
      <c r="N48" s="9" t="n">
        <v>4246</v>
      </c>
      <c r="O48" s="10" t="inlineStr"/>
      <c r="P48" s="9">
        <f>O48*G48</f>
        <v/>
      </c>
    </row>
    <row r="49">
      <c r="A49" s="6" t="n">
        <v>44</v>
      </c>
      <c r="B49" s="7" t="inlineStr">
        <is>
          <t>Клапан невозвратно -приемный Ду 65</t>
        </is>
      </c>
      <c r="C49" s="8" t="inlineStr">
        <is>
          <t>522-35.4044-01</t>
        </is>
      </c>
      <c r="D49" s="6" t="n">
        <v>65</v>
      </c>
      <c r="E49" s="6" t="inlineStr"/>
      <c r="F49" s="6" t="inlineStr">
        <is>
          <t>новый</t>
        </is>
      </c>
      <c r="G49" s="6" t="n">
        <v>1</v>
      </c>
      <c r="H49" s="6" t="n">
        <v>13.5</v>
      </c>
      <c r="I49" s="6" t="n">
        <v>14</v>
      </c>
      <c r="J49" s="7" t="inlineStr">
        <is>
          <t>новое, цена согласовывается отдельно</t>
        </is>
      </c>
      <c r="K49" s="9" t="n">
        <v>25144</v>
      </c>
      <c r="L49" s="8" t="inlineStr"/>
      <c r="M49" s="9" t="n">
        <v>19500</v>
      </c>
      <c r="N49" s="9" t="n">
        <v>10058</v>
      </c>
      <c r="O49" s="10" t="inlineStr"/>
      <c r="P49" s="9">
        <f>O49*G49</f>
        <v/>
      </c>
    </row>
    <row r="50">
      <c r="A50" s="6" t="n">
        <v>45</v>
      </c>
      <c r="B50" s="7" t="inlineStr">
        <is>
          <t>Головка воздушно-квадрат.(поплавковая) Ду25</t>
        </is>
      </c>
      <c r="C50" s="8" t="inlineStr">
        <is>
          <t>(541-03.232)</t>
        </is>
      </c>
      <c r="D50" s="6" t="n">
        <v>25</v>
      </c>
      <c r="E50" s="6" t="inlineStr"/>
      <c r="F50" s="6" t="inlineStr">
        <is>
          <t>новый</t>
        </is>
      </c>
      <c r="G50" s="6" t="n">
        <v>8</v>
      </c>
      <c r="H50" s="6" t="n">
        <v>1.6</v>
      </c>
      <c r="I50" s="6" t="n">
        <v>13</v>
      </c>
      <c r="J50" s="7" t="inlineStr">
        <is>
          <t>новое, цена согласовывается отдельно</t>
        </is>
      </c>
      <c r="K50" s="9" t="n">
        <v>2980</v>
      </c>
      <c r="L50" s="8" t="inlineStr"/>
      <c r="M50" s="9" t="inlineStr"/>
      <c r="N50" s="9" t="n">
        <v>1192</v>
      </c>
      <c r="O50" s="10" t="inlineStr"/>
      <c r="P50" s="9">
        <f>O50*G50</f>
        <v/>
      </c>
    </row>
    <row r="51">
      <c r="A51" s="6" t="n">
        <v>46</v>
      </c>
      <c r="B51" s="7" t="inlineStr">
        <is>
          <t>Клапан фланц. пожарный угловой Ду32 Ру16</t>
        </is>
      </c>
      <c r="C51" s="8" t="inlineStr">
        <is>
          <t>595-01-010</t>
        </is>
      </c>
      <c r="D51" s="6" t="n">
        <v>32</v>
      </c>
      <c r="E51" s="6" t="inlineStr">
        <is>
          <t>16</t>
        </is>
      </c>
      <c r="F51" s="6" t="inlineStr">
        <is>
          <t>новый</t>
        </is>
      </c>
      <c r="G51" s="6" t="n">
        <v>2</v>
      </c>
      <c r="H51" s="6" t="n">
        <v>5.4</v>
      </c>
      <c r="I51" s="6" t="n">
        <v>11</v>
      </c>
      <c r="J51" s="7" t="inlineStr">
        <is>
          <t>новое, цена согласовывается отдельно</t>
        </is>
      </c>
      <c r="K51" s="9" t="n">
        <v>10058</v>
      </c>
      <c r="L51" s="8" t="inlineStr"/>
      <c r="M51" s="9" t="n">
        <v>12800</v>
      </c>
      <c r="N51" s="9" t="n">
        <v>4023</v>
      </c>
      <c r="O51" s="10" t="inlineStr"/>
      <c r="P51" s="9">
        <f>O51*G51</f>
        <v/>
      </c>
    </row>
    <row r="52">
      <c r="A52" s="6" t="n">
        <v>47</v>
      </c>
      <c r="B52" s="7" t="inlineStr">
        <is>
          <t>Клапан фланцевый проходной титановые Ду100Ру10</t>
        </is>
      </c>
      <c r="C52" s="8" t="inlineStr">
        <is>
          <t>521-182.116</t>
        </is>
      </c>
      <c r="D52" s="6" t="n">
        <v>100</v>
      </c>
      <c r="E52" s="6" t="inlineStr">
        <is>
          <t>10</t>
        </is>
      </c>
      <c r="F52" s="6" t="inlineStr">
        <is>
          <t>новый</t>
        </is>
      </c>
      <c r="G52" s="6" t="n">
        <v>1</v>
      </c>
      <c r="H52" s="6" t="n">
        <v>9.699999999999999</v>
      </c>
      <c r="I52" s="6" t="n">
        <v>10</v>
      </c>
      <c r="J52" s="7" t="inlineStr">
        <is>
          <t>новое, цена согласовывается отдельно</t>
        </is>
      </c>
      <c r="K52" s="9" t="n">
        <v>18066</v>
      </c>
      <c r="L52" s="8" t="inlineStr">
        <is>
          <t>55 000</t>
        </is>
      </c>
      <c r="M52" s="9" t="n">
        <v>36000</v>
      </c>
      <c r="N52" s="9" t="n">
        <v>1261</v>
      </c>
      <c r="O52" s="10" t="inlineStr"/>
      <c r="P52" s="9">
        <f>O52*G52</f>
        <v/>
      </c>
    </row>
    <row r="53">
      <c r="A53" s="6" t="n">
        <v>48</v>
      </c>
      <c r="B53" s="7" t="inlineStr">
        <is>
          <t>Крышка с коменсом и жалюзи 240*420</t>
        </is>
      </c>
      <c r="C53" s="8" t="inlineStr">
        <is>
          <t>546-03.092</t>
        </is>
      </c>
      <c r="D53" s="6" t="inlineStr"/>
      <c r="E53" s="6" t="inlineStr"/>
      <c r="F53" s="6" t="inlineStr">
        <is>
          <t>новая</t>
        </is>
      </c>
      <c r="G53" s="6" t="n">
        <v>1</v>
      </c>
      <c r="H53" s="6" t="n">
        <v>9.699999999999999</v>
      </c>
      <c r="I53" s="6" t="n">
        <v>10</v>
      </c>
      <c r="J53" s="7" t="inlineStr">
        <is>
          <t>новое, цена согласовывается отдельно</t>
        </is>
      </c>
      <c r="K53" s="9" t="n">
        <v>18066</v>
      </c>
      <c r="L53" s="8" t="inlineStr"/>
      <c r="M53" s="9" t="inlineStr"/>
      <c r="N53" s="9" t="n">
        <v>7226</v>
      </c>
      <c r="O53" s="10" t="inlineStr"/>
      <c r="P53" s="9">
        <f>O53*G53</f>
        <v/>
      </c>
    </row>
    <row r="54">
      <c r="A54" s="6" t="n">
        <v>49</v>
      </c>
      <c r="B54" s="7" t="inlineStr">
        <is>
          <t>Грибки АМГ Ду 200 с нижнем приводом</t>
        </is>
      </c>
      <c r="C54" s="8" t="inlineStr">
        <is>
          <t>(541-03.316-04)</t>
        </is>
      </c>
      <c r="D54" s="6" t="n">
        <v>200</v>
      </c>
      <c r="E54" s="6" t="inlineStr"/>
      <c r="F54" s="6" t="inlineStr">
        <is>
          <t>новый</t>
        </is>
      </c>
      <c r="G54" s="6" t="n">
        <v>2</v>
      </c>
      <c r="H54" s="6" t="n">
        <v>4.7</v>
      </c>
      <c r="I54" s="6" t="n">
        <v>9</v>
      </c>
      <c r="J54" s="7" t="inlineStr">
        <is>
          <t>новое, цена согласовывается отдельно</t>
        </is>
      </c>
      <c r="K54" s="9" t="n">
        <v>8754</v>
      </c>
      <c r="L54" s="8" t="inlineStr"/>
      <c r="M54" s="9" t="inlineStr"/>
      <c r="N54" s="9" t="n">
        <v>1222</v>
      </c>
      <c r="O54" s="10" t="inlineStr"/>
      <c r="P54" s="9">
        <f>O54*G54</f>
        <v/>
      </c>
    </row>
    <row r="55">
      <c r="A55" s="6" t="n">
        <v>50</v>
      </c>
      <c r="B55" s="7" t="inlineStr">
        <is>
          <t>Грибки АМГ Ду 150 (верхние)</t>
        </is>
      </c>
      <c r="C55" s="8" t="inlineStr">
        <is>
          <t>(541-03.315-02)</t>
        </is>
      </c>
      <c r="D55" s="6" t="n">
        <v>150</v>
      </c>
      <c r="E55" s="6" t="inlineStr"/>
      <c r="F55" s="6" t="inlineStr">
        <is>
          <t>новый</t>
        </is>
      </c>
      <c r="G55" s="6" t="n">
        <v>3</v>
      </c>
      <c r="H55" s="6" t="n">
        <v>2.9</v>
      </c>
      <c r="I55" s="6" t="n">
        <v>9</v>
      </c>
      <c r="J55" s="7" t="inlineStr">
        <is>
          <t>новое, цена согласовывается отдельно</t>
        </is>
      </c>
      <c r="K55" s="9" t="n">
        <v>5401</v>
      </c>
      <c r="L55" s="8" t="inlineStr"/>
      <c r="M55" s="9" t="inlineStr"/>
      <c r="N55" s="9" t="n">
        <v>754</v>
      </c>
      <c r="O55" s="10" t="inlineStr"/>
      <c r="P55" s="9">
        <f>O55*G55</f>
        <v/>
      </c>
    </row>
    <row r="56">
      <c r="A56" s="6" t="n">
        <v>51</v>
      </c>
      <c r="B56" s="7" t="inlineStr">
        <is>
          <t>Клапан штуцерный угловой Рр150/10</t>
        </is>
      </c>
      <c r="C56" s="8" t="inlineStr">
        <is>
          <t>521-ц22п</t>
        </is>
      </c>
      <c r="D56" s="6" t="inlineStr"/>
      <c r="E56" s="6" t="inlineStr">
        <is>
          <t>150</t>
        </is>
      </c>
      <c r="F56" s="6" t="inlineStr">
        <is>
          <t>новый</t>
        </is>
      </c>
      <c r="G56" s="6" t="n">
        <v>8</v>
      </c>
      <c r="H56" s="6" t="n">
        <v>1</v>
      </c>
      <c r="I56" s="6" t="n">
        <v>8</v>
      </c>
      <c r="J56" s="7" t="inlineStr">
        <is>
          <t>новое, цена согласовывается отдельно</t>
        </is>
      </c>
      <c r="K56" s="9" t="n">
        <v>1862</v>
      </c>
      <c r="L56" s="8" t="inlineStr">
        <is>
          <t>3 000</t>
        </is>
      </c>
      <c r="M56" s="9" t="inlineStr"/>
      <c r="N56" s="9" t="n">
        <v>745</v>
      </c>
      <c r="O56" s="10" t="inlineStr"/>
      <c r="P56" s="9">
        <f>O56*G56</f>
        <v/>
      </c>
    </row>
    <row r="57">
      <c r="A57" s="6" t="n">
        <v>52</v>
      </c>
      <c r="B57" s="7" t="inlineStr">
        <is>
          <t>Кран трехходовой штуцерный Ду32 Ру10</t>
        </is>
      </c>
      <c r="C57" s="8" t="inlineStr">
        <is>
          <t>536-35.696</t>
        </is>
      </c>
      <c r="D57" s="6" t="n">
        <v>32</v>
      </c>
      <c r="E57" s="6" t="inlineStr">
        <is>
          <t>10</t>
        </is>
      </c>
      <c r="F57" s="6" t="inlineStr">
        <is>
          <t>новый</t>
        </is>
      </c>
      <c r="G57" s="6" t="n">
        <v>2</v>
      </c>
      <c r="H57" s="6" t="n">
        <v>4.1</v>
      </c>
      <c r="I57" s="6" t="n">
        <v>8</v>
      </c>
      <c r="J57" s="7" t="inlineStr">
        <is>
          <t>новое, цена согласовывается отдельно</t>
        </is>
      </c>
      <c r="K57" s="9" t="n">
        <v>7636</v>
      </c>
      <c r="L57" s="8" t="inlineStr">
        <is>
          <t>6 500</t>
        </is>
      </c>
      <c r="M57" s="9" t="n">
        <v>10800</v>
      </c>
      <c r="N57" s="9" t="n">
        <v>3054</v>
      </c>
      <c r="O57" s="10" t="inlineStr"/>
      <c r="P57" s="9">
        <f>O57*G57</f>
        <v/>
      </c>
    </row>
    <row r="58">
      <c r="A58" s="6" t="n">
        <v>53</v>
      </c>
      <c r="B58" s="7" t="inlineStr">
        <is>
          <t>Клапан редукционный штуцерный угловой Ду10Ру200…30 с манометром</t>
        </is>
      </c>
      <c r="C58" s="8" t="inlineStr">
        <is>
          <t>525-35.2634</t>
        </is>
      </c>
      <c r="D58" s="6" t="n">
        <v>10</v>
      </c>
      <c r="E58" s="6" t="inlineStr">
        <is>
          <t>200</t>
        </is>
      </c>
      <c r="F58" s="6" t="inlineStr">
        <is>
          <t>новый</t>
        </is>
      </c>
      <c r="G58" s="6" t="n">
        <v>1</v>
      </c>
      <c r="H58" s="6" t="n">
        <v>7.5</v>
      </c>
      <c r="I58" s="6" t="n">
        <v>8</v>
      </c>
      <c r="J58" s="7" t="inlineStr">
        <is>
          <t>новое, цена согласовывается отдельно</t>
        </is>
      </c>
      <c r="K58" s="9" t="n">
        <v>13969</v>
      </c>
      <c r="L58" s="8" t="inlineStr">
        <is>
          <t>15 000</t>
        </is>
      </c>
      <c r="M58" s="9" t="n">
        <v>6000</v>
      </c>
      <c r="N58" s="9" t="n">
        <v>5588</v>
      </c>
      <c r="O58" s="10" t="inlineStr"/>
      <c r="P58" s="9">
        <f>O58*G58</f>
        <v/>
      </c>
    </row>
    <row r="59">
      <c r="A59" s="6" t="n">
        <v>54</v>
      </c>
      <c r="B59" s="7" t="inlineStr">
        <is>
          <t>Клапан редукционный штуцерный угловой Ду10Ру200…30 с манометром</t>
        </is>
      </c>
      <c r="C59" s="8" t="inlineStr">
        <is>
          <t>525-35.2634-04</t>
        </is>
      </c>
      <c r="D59" s="6" t="n">
        <v>10</v>
      </c>
      <c r="E59" s="6" t="inlineStr">
        <is>
          <t>200</t>
        </is>
      </c>
      <c r="F59" s="6" t="inlineStr">
        <is>
          <t>новый</t>
        </is>
      </c>
      <c r="G59" s="6" t="n">
        <v>1</v>
      </c>
      <c r="H59" s="6" t="n">
        <v>7.5</v>
      </c>
      <c r="I59" s="6" t="n">
        <v>8</v>
      </c>
      <c r="J59" s="7" t="inlineStr">
        <is>
          <t>новое, цена согласовывается отдельно</t>
        </is>
      </c>
      <c r="K59" s="9" t="n">
        <v>13969</v>
      </c>
      <c r="L59" s="8" t="inlineStr">
        <is>
          <t>15 000</t>
        </is>
      </c>
      <c r="M59" s="9" t="n">
        <v>6000</v>
      </c>
      <c r="N59" s="9" t="n">
        <v>5588</v>
      </c>
      <c r="O59" s="10" t="inlineStr"/>
      <c r="P59" s="9">
        <f>O59*G59</f>
        <v/>
      </c>
    </row>
    <row r="60">
      <c r="A60" s="6" t="n">
        <v>55</v>
      </c>
      <c r="B60" s="7" t="inlineStr">
        <is>
          <t>Кланан Рр18-2 45/25</t>
        </is>
      </c>
      <c r="C60" s="8" t="inlineStr">
        <is>
          <t>2619802305</t>
        </is>
      </c>
      <c r="D60" s="6" t="inlineStr"/>
      <c r="E60" s="6" t="inlineStr"/>
      <c r="F60" s="6" t="inlineStr">
        <is>
          <t>новый</t>
        </is>
      </c>
      <c r="G60" s="6" t="n">
        <v>1</v>
      </c>
      <c r="H60" s="6" t="n">
        <v>6.8</v>
      </c>
      <c r="I60" s="6" t="n">
        <v>7</v>
      </c>
      <c r="J60" s="7" t="inlineStr">
        <is>
          <t>новое, цена согласовывается отдельно</t>
        </is>
      </c>
      <c r="K60" s="9" t="n">
        <v>12665</v>
      </c>
      <c r="L60" s="8" t="inlineStr"/>
      <c r="M60" s="9" t="inlineStr"/>
      <c r="N60" s="9" t="n">
        <v>5066</v>
      </c>
      <c r="O60" s="10" t="inlineStr"/>
      <c r="P60" s="9">
        <f>O60*G60</f>
        <v/>
      </c>
    </row>
    <row r="61">
      <c r="A61" s="6" t="n">
        <v>56</v>
      </c>
      <c r="B61" s="7" t="inlineStr">
        <is>
          <t>Клапан Ду20/10</t>
        </is>
      </c>
      <c r="C61" s="8" t="inlineStr">
        <is>
          <t>581-С673-3</t>
        </is>
      </c>
      <c r="D61" s="6" t="inlineStr"/>
      <c r="E61" s="6" t="inlineStr"/>
      <c r="F61" s="6" t="inlineStr">
        <is>
          <t>новый</t>
        </is>
      </c>
      <c r="G61" s="6" t="n">
        <v>3</v>
      </c>
      <c r="H61" s="6" t="n">
        <v>2.4</v>
      </c>
      <c r="I61" s="6" t="n">
        <v>7</v>
      </c>
      <c r="J61" s="7" t="inlineStr">
        <is>
          <t>новое, цена согласовывается отдельно</t>
        </is>
      </c>
      <c r="K61" s="9" t="n">
        <v>4470</v>
      </c>
      <c r="L61" s="8" t="inlineStr"/>
      <c r="M61" s="9" t="inlineStr"/>
      <c r="N61" s="9" t="n">
        <v>1788</v>
      </c>
      <c r="O61" s="10" t="inlineStr"/>
      <c r="P61" s="9">
        <f>O61*G61</f>
        <v/>
      </c>
    </row>
    <row r="62">
      <c r="A62" s="6" t="n">
        <v>57</v>
      </c>
      <c r="B62" s="7" t="inlineStr">
        <is>
          <t>клапан</t>
        </is>
      </c>
      <c r="C62" s="8" t="inlineStr">
        <is>
          <t>552-03.023</t>
        </is>
      </c>
      <c r="D62" s="6" t="inlineStr"/>
      <c r="E62" s="6" t="inlineStr"/>
      <c r="F62" s="6" t="inlineStr">
        <is>
          <t>новый</t>
        </is>
      </c>
      <c r="G62" s="6" t="n">
        <v>2</v>
      </c>
      <c r="H62" s="6" t="n">
        <v>3.4</v>
      </c>
      <c r="I62" s="6" t="n">
        <v>7</v>
      </c>
      <c r="J62" s="7" t="inlineStr">
        <is>
          <t>новое, цена согласовывается отдельно</t>
        </is>
      </c>
      <c r="K62" s="9" t="n">
        <v>6332</v>
      </c>
      <c r="L62" s="8" t="inlineStr"/>
      <c r="M62" s="9" t="inlineStr"/>
      <c r="N62" s="9" t="n">
        <v>2533</v>
      </c>
      <c r="O62" s="10" t="inlineStr"/>
      <c r="P62" s="9">
        <f>O62*G62</f>
        <v/>
      </c>
    </row>
    <row r="63">
      <c r="A63" s="6" t="n">
        <v>58</v>
      </c>
      <c r="B63" s="7" t="inlineStr">
        <is>
          <t>Клапан фланц.  пожарный угловой Ду32 Ру10</t>
        </is>
      </c>
      <c r="C63" s="8" t="inlineStr">
        <is>
          <t>595-03-006</t>
        </is>
      </c>
      <c r="D63" s="6" t="n">
        <v>32</v>
      </c>
      <c r="E63" s="6" t="inlineStr">
        <is>
          <t>10</t>
        </is>
      </c>
      <c r="F63" s="6" t="inlineStr">
        <is>
          <t>новый</t>
        </is>
      </c>
      <c r="G63" s="6" t="n">
        <v>1</v>
      </c>
      <c r="H63" s="6" t="n">
        <v>5.8</v>
      </c>
      <c r="I63" s="6" t="n">
        <v>6</v>
      </c>
      <c r="J63" s="7" t="inlineStr">
        <is>
          <t>новое, цена согласовывается отдельно</t>
        </is>
      </c>
      <c r="K63" s="9" t="n">
        <v>10802</v>
      </c>
      <c r="L63" s="8" t="inlineStr"/>
      <c r="M63" s="9" t="n">
        <v>12800</v>
      </c>
      <c r="N63" s="9" t="n">
        <v>4321</v>
      </c>
      <c r="O63" s="10" t="inlineStr"/>
      <c r="P63" s="9">
        <f>O63*G63</f>
        <v/>
      </c>
    </row>
    <row r="64">
      <c r="A64" s="6" t="n">
        <v>59</v>
      </c>
      <c r="B64" s="7" t="inlineStr">
        <is>
          <t>Клапан угловой с присоединением под дюрит Ду50Ру4</t>
        </is>
      </c>
      <c r="C64" s="8" t="inlineStr">
        <is>
          <t>521-03.445-04</t>
        </is>
      </c>
      <c r="D64" s="6" t="n">
        <v>50</v>
      </c>
      <c r="E64" s="6" t="inlineStr">
        <is>
          <t>4</t>
        </is>
      </c>
      <c r="F64" s="6" t="inlineStr">
        <is>
          <t>новый</t>
        </is>
      </c>
      <c r="G64" s="6" t="n">
        <v>4</v>
      </c>
      <c r="H64" s="6" t="n">
        <v>1.3</v>
      </c>
      <c r="I64" s="6" t="n">
        <v>5</v>
      </c>
      <c r="J64" s="7" t="inlineStr">
        <is>
          <t>новое, цена согласовывается отдельно</t>
        </is>
      </c>
      <c r="K64" s="9" t="n">
        <v>2421</v>
      </c>
      <c r="L64" s="8" t="inlineStr">
        <is>
          <t>15 000</t>
        </is>
      </c>
      <c r="M64" s="9" t="inlineStr"/>
      <c r="N64" s="9" t="n">
        <v>968</v>
      </c>
      <c r="O64" s="10" t="inlineStr"/>
      <c r="P64" s="9">
        <f>O64*G64</f>
        <v/>
      </c>
    </row>
    <row r="65">
      <c r="A65" s="6" t="n">
        <v>60</v>
      </c>
      <c r="B65" s="7" t="inlineStr">
        <is>
          <t>Клапан невозвратный  штуцерный проходной Ду 32 Ру100</t>
        </is>
      </c>
      <c r="C65" s="8" t="inlineStr">
        <is>
          <t>522-01.494-03</t>
        </is>
      </c>
      <c r="D65" s="6" t="n">
        <v>32</v>
      </c>
      <c r="E65" s="6" t="inlineStr">
        <is>
          <t>100</t>
        </is>
      </c>
      <c r="F65" s="6" t="inlineStr">
        <is>
          <t>новый</t>
        </is>
      </c>
      <c r="G65" s="6" t="n">
        <v>2</v>
      </c>
      <c r="H65" s="6" t="n">
        <v>2.7</v>
      </c>
      <c r="I65" s="6" t="n">
        <v>5</v>
      </c>
      <c r="J65" s="7" t="inlineStr">
        <is>
          <t>новое, цена согласовывается отдельно</t>
        </is>
      </c>
      <c r="K65" s="9" t="n">
        <v>5029</v>
      </c>
      <c r="L65" s="8" t="inlineStr"/>
      <c r="M65" s="9" t="n">
        <v>6400</v>
      </c>
      <c r="N65" s="9" t="n">
        <v>2012</v>
      </c>
      <c r="O65" s="10" t="inlineStr"/>
      <c r="P65" s="9">
        <f>O65*G65</f>
        <v/>
      </c>
    </row>
    <row r="66">
      <c r="A66" s="6" t="n">
        <v>61</v>
      </c>
      <c r="B66" s="7" t="inlineStr">
        <is>
          <t>Стакан переборочный Ду25Ру100</t>
        </is>
      </c>
      <c r="C66" s="8" t="inlineStr">
        <is>
          <t>554-35.156</t>
        </is>
      </c>
      <c r="D66" s="6" t="n">
        <v>25</v>
      </c>
      <c r="E66" s="6" t="inlineStr">
        <is>
          <t>100</t>
        </is>
      </c>
      <c r="F66" s="6" t="inlineStr">
        <is>
          <t>новый</t>
        </is>
      </c>
      <c r="G66" s="6" t="n">
        <v>2</v>
      </c>
      <c r="H66" s="6" t="n">
        <v>2.5</v>
      </c>
      <c r="I66" s="6" t="n">
        <v>5</v>
      </c>
      <c r="J66" s="7" t="inlineStr">
        <is>
          <t>новое, цена согласовывается отдельно</t>
        </is>
      </c>
      <c r="K66" s="9" t="n">
        <v>4656</v>
      </c>
      <c r="L66" s="8" t="inlineStr"/>
      <c r="M66" s="9" t="inlineStr"/>
      <c r="N66" s="9" t="n">
        <v>1862</v>
      </c>
      <c r="O66" s="10" t="inlineStr"/>
      <c r="P66" s="9">
        <f>O66*G66</f>
        <v/>
      </c>
    </row>
    <row r="67">
      <c r="A67" s="6" t="n">
        <v>62</v>
      </c>
      <c r="B67" s="7" t="inlineStr">
        <is>
          <t>Стакан переборочный Ду20Ру100</t>
        </is>
      </c>
      <c r="C67" s="8" t="inlineStr">
        <is>
          <t>554-03.909-03</t>
        </is>
      </c>
      <c r="D67" s="6" t="n">
        <v>20</v>
      </c>
      <c r="E67" s="6" t="inlineStr">
        <is>
          <t>100</t>
        </is>
      </c>
      <c r="F67" s="6" t="inlineStr">
        <is>
          <t>новый</t>
        </is>
      </c>
      <c r="G67" s="6" t="n">
        <v>3</v>
      </c>
      <c r="H67" s="6" t="n">
        <v>1.7</v>
      </c>
      <c r="I67" s="6" t="n">
        <v>5</v>
      </c>
      <c r="J67" s="7" t="inlineStr">
        <is>
          <t>новое, цена согласовывается отдельно</t>
        </is>
      </c>
      <c r="K67" s="9" t="n">
        <v>3166</v>
      </c>
      <c r="L67" s="8" t="inlineStr"/>
      <c r="M67" s="9" t="inlineStr"/>
      <c r="N67" s="9" t="n">
        <v>1266</v>
      </c>
      <c r="O67" s="10" t="inlineStr"/>
      <c r="P67" s="9">
        <f>O67*G67</f>
        <v/>
      </c>
    </row>
    <row r="68">
      <c r="A68" s="6" t="n">
        <v>63</v>
      </c>
      <c r="B68" s="7" t="inlineStr">
        <is>
          <t>Грибки АМГ Ду 150 (нижние)</t>
        </is>
      </c>
      <c r="C68" s="8" t="inlineStr">
        <is>
          <t>(541-03.316-02)</t>
        </is>
      </c>
      <c r="D68" s="6" t="n">
        <v>150</v>
      </c>
      <c r="E68" s="6" t="inlineStr"/>
      <c r="F68" s="6" t="inlineStr">
        <is>
          <t>новый</t>
        </is>
      </c>
      <c r="G68" s="6" t="n">
        <v>2</v>
      </c>
      <c r="H68" s="6" t="n">
        <v>2.7</v>
      </c>
      <c r="I68" s="6" t="n">
        <v>5</v>
      </c>
      <c r="J68" s="7" t="inlineStr">
        <is>
          <t>новое, цена согласовывается отдельно</t>
        </is>
      </c>
      <c r="K68" s="9" t="n">
        <v>5029</v>
      </c>
      <c r="L68" s="8" t="inlineStr"/>
      <c r="M68" s="9" t="inlineStr"/>
      <c r="N68" s="9" t="n">
        <v>702</v>
      </c>
      <c r="O68" s="10" t="inlineStr"/>
      <c r="P68" s="9">
        <f>O68*G68</f>
        <v/>
      </c>
    </row>
    <row r="69">
      <c r="A69" s="6" t="n">
        <v>64</v>
      </c>
      <c r="B69" s="7" t="inlineStr">
        <is>
          <t>Клапан предохранительный штуцерный сигнальный Ду6 Ру100-230</t>
        </is>
      </c>
      <c r="C69" s="8" t="inlineStr">
        <is>
          <t>524-35.2423-01</t>
        </is>
      </c>
      <c r="D69" s="6" t="n">
        <v>6</v>
      </c>
      <c r="E69" s="6" t="inlineStr">
        <is>
          <t>100-230</t>
        </is>
      </c>
      <c r="F69" s="6" t="inlineStr">
        <is>
          <t>новый</t>
        </is>
      </c>
      <c r="G69" s="6" t="n">
        <v>1</v>
      </c>
      <c r="H69" s="6" t="n">
        <v>3.5</v>
      </c>
      <c r="I69" s="6" t="n">
        <v>4</v>
      </c>
      <c r="J69" s="7" t="inlineStr">
        <is>
          <t>новое, цена согласовывается отдельно</t>
        </is>
      </c>
      <c r="K69" s="9" t="n">
        <v>6519</v>
      </c>
      <c r="L69" s="8" t="inlineStr">
        <is>
          <t>20 000</t>
        </is>
      </c>
      <c r="M69" s="9" t="inlineStr"/>
      <c r="N69" s="9" t="n">
        <v>2608</v>
      </c>
      <c r="O69" s="10" t="inlineStr"/>
      <c r="P69" s="9">
        <f>O69*G69</f>
        <v/>
      </c>
    </row>
    <row r="70">
      <c r="A70" s="6" t="n">
        <v>65</v>
      </c>
      <c r="B70" s="7" t="inlineStr">
        <is>
          <t>Клапан предохранительный штуцерный сигнальный Ду6Ру100-250</t>
        </is>
      </c>
      <c r="C70" s="8" t="inlineStr">
        <is>
          <t>524-03.188</t>
        </is>
      </c>
      <c r="D70" s="6" t="n">
        <v>6</v>
      </c>
      <c r="E70" s="6" t="inlineStr">
        <is>
          <t>100</t>
        </is>
      </c>
      <c r="F70" s="6" t="inlineStr">
        <is>
          <t>новый</t>
        </is>
      </c>
      <c r="G70" s="6" t="n">
        <v>2</v>
      </c>
      <c r="H70" s="6" t="n">
        <v>2.1</v>
      </c>
      <c r="I70" s="6" t="n">
        <v>4</v>
      </c>
      <c r="J70" s="7" t="inlineStr">
        <is>
          <t>новое, цена согласовывается отдельно</t>
        </is>
      </c>
      <c r="K70" s="9" t="n">
        <v>3837</v>
      </c>
      <c r="L70" s="8" t="inlineStr"/>
      <c r="M70" s="9" t="n">
        <v>6000</v>
      </c>
      <c r="N70" s="9" t="n">
        <v>1535</v>
      </c>
      <c r="O70" s="10" t="inlineStr"/>
      <c r="P70" s="9">
        <f>O70*G70</f>
        <v/>
      </c>
    </row>
    <row r="71">
      <c r="A71" s="6" t="n">
        <v>66</v>
      </c>
      <c r="B71" s="7" t="inlineStr">
        <is>
          <t>Клапан невозв-запор.цапковый угловой  под дюрит Ду20Ру6</t>
        </is>
      </c>
      <c r="C71" s="8" t="inlineStr">
        <is>
          <t>522-03.123</t>
        </is>
      </c>
      <c r="D71" s="6" t="n">
        <v>20</v>
      </c>
      <c r="E71" s="6" t="inlineStr">
        <is>
          <t>6</t>
        </is>
      </c>
      <c r="F71" s="6" t="inlineStr">
        <is>
          <t>новый</t>
        </is>
      </c>
      <c r="G71" s="6" t="n">
        <v>2</v>
      </c>
      <c r="H71" s="6" t="n">
        <v>1.8</v>
      </c>
      <c r="I71" s="6" t="n">
        <v>4</v>
      </c>
      <c r="J71" s="7" t="inlineStr">
        <is>
          <t>новое, цена согласовывается отдельно</t>
        </is>
      </c>
      <c r="K71" s="9" t="n">
        <v>3352</v>
      </c>
      <c r="L71" s="8" t="inlineStr">
        <is>
          <t>10 000</t>
        </is>
      </c>
      <c r="M71" s="9" t="n">
        <v>6000</v>
      </c>
      <c r="N71" s="9" t="n">
        <v>1341</v>
      </c>
      <c r="O71" s="10" t="inlineStr"/>
      <c r="P71" s="9">
        <f>O71*G71</f>
        <v/>
      </c>
    </row>
    <row r="72">
      <c r="A72" s="6" t="n">
        <v>67</v>
      </c>
      <c r="B72" s="7" t="inlineStr">
        <is>
          <t>Клапан штуцерный угловой Ду10 Р160</t>
        </is>
      </c>
      <c r="C72" s="8" t="inlineStr">
        <is>
          <t>522-03.149</t>
        </is>
      </c>
      <c r="D72" s="6" t="n">
        <v>10</v>
      </c>
      <c r="E72" s="6" t="inlineStr">
        <is>
          <t>160</t>
        </is>
      </c>
      <c r="F72" s="6" t="inlineStr">
        <is>
          <t>новый</t>
        </is>
      </c>
      <c r="G72" s="6" t="n">
        <v>6</v>
      </c>
      <c r="H72" s="6" t="n">
        <v>0.7</v>
      </c>
      <c r="I72" s="6" t="n">
        <v>4</v>
      </c>
      <c r="J72" s="7" t="inlineStr">
        <is>
          <t>новое, цена согласовывается отдельно</t>
        </is>
      </c>
      <c r="K72" s="9" t="n">
        <v>1304</v>
      </c>
      <c r="L72" s="8" t="inlineStr">
        <is>
          <t>3 000</t>
        </is>
      </c>
      <c r="M72" s="9" t="n">
        <v>4500</v>
      </c>
      <c r="N72" s="9" t="n">
        <v>522</v>
      </c>
      <c r="O72" s="10" t="inlineStr"/>
      <c r="P72" s="9">
        <f>O72*G72</f>
        <v/>
      </c>
    </row>
    <row r="73">
      <c r="A73" s="6" t="n">
        <v>68</v>
      </c>
      <c r="B73" s="7" t="inlineStr">
        <is>
          <t>Клапан штуцерный проходной Ду 10 Ру400</t>
        </is>
      </c>
      <c r="C73" s="8" t="inlineStr">
        <is>
          <t>521-35.3238</t>
        </is>
      </c>
      <c r="D73" s="6" t="n">
        <v>10</v>
      </c>
      <c r="E73" s="6" t="inlineStr">
        <is>
          <t>400</t>
        </is>
      </c>
      <c r="F73" s="6" t="inlineStr">
        <is>
          <t>новый</t>
        </is>
      </c>
      <c r="G73" s="6" t="n">
        <v>1</v>
      </c>
      <c r="H73" s="6" t="n">
        <v>3.8</v>
      </c>
      <c r="I73" s="6" t="n">
        <v>4</v>
      </c>
      <c r="J73" s="7" t="inlineStr">
        <is>
          <t>новое, цена согласовывается отдельно</t>
        </is>
      </c>
      <c r="K73" s="9" t="n">
        <v>7078</v>
      </c>
      <c r="L73" s="8" t="inlineStr">
        <is>
          <t>20 000</t>
        </is>
      </c>
      <c r="M73" s="9" t="n">
        <v>6000</v>
      </c>
      <c r="N73" s="9" t="n">
        <v>2831</v>
      </c>
      <c r="O73" s="10" t="inlineStr"/>
      <c r="P73" s="9">
        <f>O73*G73</f>
        <v/>
      </c>
    </row>
    <row r="74">
      <c r="A74" s="6" t="n">
        <v>69</v>
      </c>
      <c r="B74" s="7" t="inlineStr">
        <is>
          <t>Головка воздушно-квадрат.(поплавковая) Ду32</t>
        </is>
      </c>
      <c r="C74" s="8" t="inlineStr">
        <is>
          <t>541-03.224</t>
        </is>
      </c>
      <c r="D74" s="6" t="n">
        <v>32</v>
      </c>
      <c r="E74" s="6" t="inlineStr"/>
      <c r="F74" s="6" t="inlineStr">
        <is>
          <t>новый</t>
        </is>
      </c>
      <c r="G74" s="6" t="n">
        <v>3</v>
      </c>
      <c r="H74" s="6" t="n">
        <v>1.5</v>
      </c>
      <c r="I74" s="6" t="n">
        <v>4</v>
      </c>
      <c r="J74" s="7" t="inlineStr">
        <is>
          <t>новое, цена согласовывается отдельно</t>
        </is>
      </c>
      <c r="K74" s="9" t="n">
        <v>2794</v>
      </c>
      <c r="L74" s="8" t="inlineStr"/>
      <c r="M74" s="9" t="inlineStr"/>
      <c r="N74" s="9" t="n">
        <v>1118</v>
      </c>
      <c r="O74" s="10" t="inlineStr"/>
      <c r="P74" s="9">
        <f>O74*G74</f>
        <v/>
      </c>
    </row>
    <row r="75">
      <c r="A75" s="6" t="n">
        <v>70</v>
      </c>
      <c r="B75" s="7" t="inlineStr">
        <is>
          <t>Клапан штуцерный угловой Ду32Ру100</t>
        </is>
      </c>
      <c r="C75" s="8" t="inlineStr">
        <is>
          <t>521-01.464-06</t>
        </is>
      </c>
      <c r="D75" s="6" t="n">
        <v>32</v>
      </c>
      <c r="E75" s="6" t="inlineStr">
        <is>
          <t>100</t>
        </is>
      </c>
      <c r="F75" s="6" t="inlineStr">
        <is>
          <t>новый</t>
        </is>
      </c>
      <c r="G75" s="6" t="n">
        <v>1</v>
      </c>
      <c r="H75" s="6" t="n">
        <v>3.3</v>
      </c>
      <c r="I75" s="6" t="n">
        <v>3</v>
      </c>
      <c r="J75" s="7" t="inlineStr">
        <is>
          <t>новое, цена согласовывается отдельно</t>
        </is>
      </c>
      <c r="K75" s="9" t="n">
        <v>6146</v>
      </c>
      <c r="L75" s="8" t="inlineStr">
        <is>
          <t>6 500</t>
        </is>
      </c>
      <c r="M75" s="9" t="n">
        <v>10100</v>
      </c>
      <c r="N75" s="9" t="n">
        <v>2458</v>
      </c>
      <c r="O75" s="10" t="inlineStr"/>
      <c r="P75" s="9">
        <f>O75*G75</f>
        <v/>
      </c>
    </row>
    <row r="76">
      <c r="A76" s="6" t="n">
        <v>71</v>
      </c>
      <c r="B76" s="7" t="inlineStr">
        <is>
          <t>Клапан штуцерный угловой Ду32Ру100</t>
        </is>
      </c>
      <c r="C76" s="8" t="inlineStr">
        <is>
          <t>522-01.500-07</t>
        </is>
      </c>
      <c r="D76" s="6" t="n">
        <v>32</v>
      </c>
      <c r="E76" s="6" t="inlineStr">
        <is>
          <t>100</t>
        </is>
      </c>
      <c r="F76" s="6" t="inlineStr">
        <is>
          <t>новый</t>
        </is>
      </c>
      <c r="G76" s="6" t="n">
        <v>1</v>
      </c>
      <c r="H76" s="6" t="n">
        <v>3.3</v>
      </c>
      <c r="I76" s="6" t="n">
        <v>3</v>
      </c>
      <c r="J76" s="7" t="inlineStr">
        <is>
          <t>новое, цена согласовывается отдельно</t>
        </is>
      </c>
      <c r="K76" s="9" t="n">
        <v>6146</v>
      </c>
      <c r="L76" s="8" t="inlineStr">
        <is>
          <t>6 500</t>
        </is>
      </c>
      <c r="M76" s="9" t="n">
        <v>9600</v>
      </c>
      <c r="N76" s="9" t="n">
        <v>2458</v>
      </c>
      <c r="O76" s="10" t="inlineStr"/>
      <c r="P76" s="9">
        <f>O76*G76</f>
        <v/>
      </c>
    </row>
    <row r="77">
      <c r="A77" s="6" t="n">
        <v>72</v>
      </c>
      <c r="B77" s="7" t="inlineStr">
        <is>
          <t>Клапан штуцерный угловой Ду25 Ру 100</t>
        </is>
      </c>
      <c r="C77" s="8" t="inlineStr">
        <is>
          <t>521--35.3363</t>
        </is>
      </c>
      <c r="D77" s="6" t="n">
        <v>25</v>
      </c>
      <c r="E77" s="6" t="inlineStr">
        <is>
          <t>100</t>
        </is>
      </c>
      <c r="F77" s="6" t="inlineStr">
        <is>
          <t>новый</t>
        </is>
      </c>
      <c r="G77" s="6" t="n">
        <v>1</v>
      </c>
      <c r="H77" s="6" t="n">
        <v>2.9</v>
      </c>
      <c r="I77" s="6" t="n">
        <v>3</v>
      </c>
      <c r="J77" s="7" t="inlineStr">
        <is>
          <t>новое, цена согласовывается отдельно</t>
        </is>
      </c>
      <c r="K77" s="9" t="n">
        <v>5401</v>
      </c>
      <c r="L77" s="8" t="inlineStr">
        <is>
          <t>5 000</t>
        </is>
      </c>
      <c r="M77" s="9" t="n">
        <v>10000</v>
      </c>
      <c r="N77" s="9" t="n">
        <v>2160</v>
      </c>
      <c r="O77" s="10" t="inlineStr"/>
      <c r="P77" s="9">
        <f>O77*G77</f>
        <v/>
      </c>
    </row>
    <row r="78">
      <c r="A78" s="6" t="n">
        <v>73</v>
      </c>
      <c r="B78" s="7" t="inlineStr">
        <is>
          <t>Стакан переборочный Ду10Ру100</t>
        </is>
      </c>
      <c r="C78" s="8" t="inlineStr">
        <is>
          <t>554-35.265</t>
        </is>
      </c>
      <c r="D78" s="6" t="n">
        <v>10</v>
      </c>
      <c r="E78" s="6" t="inlineStr">
        <is>
          <t>100</t>
        </is>
      </c>
      <c r="F78" s="6" t="inlineStr">
        <is>
          <t>новый</t>
        </is>
      </c>
      <c r="G78" s="6" t="n">
        <v>5</v>
      </c>
      <c r="H78" s="6" t="n">
        <v>0.6</v>
      </c>
      <c r="I78" s="6" t="n">
        <v>3</v>
      </c>
      <c r="J78" s="7" t="inlineStr">
        <is>
          <t>новое, цена согласовывается отдельно</t>
        </is>
      </c>
      <c r="K78" s="9" t="n">
        <v>1118</v>
      </c>
      <c r="L78" s="8" t="inlineStr"/>
      <c r="M78" s="9" t="inlineStr"/>
      <c r="N78" s="9" t="n">
        <v>447</v>
      </c>
      <c r="O78" s="10" t="inlineStr"/>
      <c r="P78" s="9">
        <f>O78*G78</f>
        <v/>
      </c>
    </row>
    <row r="79">
      <c r="A79" s="6" t="n">
        <v>74</v>
      </c>
      <c r="B79" s="7" t="inlineStr">
        <is>
          <t>Клапан невозв-запорн.с присоед.под дюрит прох. Ду 50 Ру6</t>
        </is>
      </c>
      <c r="C79" s="8" t="inlineStr">
        <is>
          <t>522-03.124-04</t>
        </is>
      </c>
      <c r="D79" s="6" t="n">
        <v>50</v>
      </c>
      <c r="E79" s="6" t="inlineStr">
        <is>
          <t>6</t>
        </is>
      </c>
      <c r="F79" s="6" t="inlineStr">
        <is>
          <t>новый</t>
        </is>
      </c>
      <c r="G79" s="6" t="n">
        <v>1</v>
      </c>
      <c r="H79" s="6" t="n">
        <v>1.5</v>
      </c>
      <c r="I79" s="6" t="n">
        <v>2</v>
      </c>
      <c r="J79" s="7" t="inlineStr">
        <is>
          <t>новое, цена согласовывается отдельно</t>
        </is>
      </c>
      <c r="K79" s="9" t="n">
        <v>2794</v>
      </c>
      <c r="L79" s="8" t="inlineStr">
        <is>
          <t>20 000</t>
        </is>
      </c>
      <c r="M79" s="9" t="inlineStr"/>
      <c r="N79" s="9" t="n">
        <v>1118</v>
      </c>
      <c r="O79" s="10" t="inlineStr"/>
      <c r="P79" s="9">
        <f>O79*G79</f>
        <v/>
      </c>
    </row>
    <row r="80">
      <c r="A80" s="6" t="n">
        <v>75</v>
      </c>
      <c r="B80" s="7" t="inlineStr">
        <is>
          <t>Клапан для манометра штуцерный  Ду3Ру400</t>
        </is>
      </c>
      <c r="C80" s="8" t="inlineStr">
        <is>
          <t>521-03.406</t>
        </is>
      </c>
      <c r="D80" s="6" t="n">
        <v>3</v>
      </c>
      <c r="E80" s="6" t="inlineStr">
        <is>
          <t>400</t>
        </is>
      </c>
      <c r="F80" s="6" t="inlineStr">
        <is>
          <t>новый</t>
        </is>
      </c>
      <c r="G80" s="6" t="n">
        <v>2</v>
      </c>
      <c r="H80" s="6" t="n">
        <v>1.1</v>
      </c>
      <c r="I80" s="6" t="n">
        <v>2</v>
      </c>
      <c r="J80" s="7" t="inlineStr">
        <is>
          <t>новое, цена согласовывается отдельно</t>
        </is>
      </c>
      <c r="K80" s="9" t="n">
        <v>2049</v>
      </c>
      <c r="L80" s="8" t="inlineStr"/>
      <c r="M80" s="9" t="n">
        <v>5000</v>
      </c>
      <c r="N80" s="9" t="n">
        <v>820</v>
      </c>
      <c r="O80" s="10" t="inlineStr"/>
      <c r="P80" s="9">
        <f>O80*G80</f>
        <v/>
      </c>
    </row>
    <row r="81">
      <c r="A81" s="6" t="n">
        <v>76</v>
      </c>
      <c r="B81" s="7" t="inlineStr">
        <is>
          <t>Клапан штуцерный угловой Ду20 Ру160</t>
        </is>
      </c>
      <c r="C81" s="8" t="inlineStr">
        <is>
          <t>521-03.479</t>
        </is>
      </c>
      <c r="D81" s="6" t="n">
        <v>20</v>
      </c>
      <c r="E81" s="6" t="inlineStr">
        <is>
          <t>160</t>
        </is>
      </c>
      <c r="F81" s="6" t="inlineStr">
        <is>
          <t>новый</t>
        </is>
      </c>
      <c r="G81" s="6" t="n">
        <v>1</v>
      </c>
      <c r="H81" s="6" t="n">
        <v>1.8</v>
      </c>
      <c r="I81" s="6" t="n">
        <v>2</v>
      </c>
      <c r="J81" s="7" t="inlineStr">
        <is>
          <t>новое, цена согласовывается отдельно</t>
        </is>
      </c>
      <c r="K81" s="9" t="n">
        <v>3352</v>
      </c>
      <c r="L81" s="8" t="inlineStr">
        <is>
          <t>4 500</t>
        </is>
      </c>
      <c r="M81" s="9" t="n">
        <v>9000</v>
      </c>
      <c r="N81" s="9" t="n">
        <v>1341</v>
      </c>
      <c r="O81" s="10" t="inlineStr"/>
      <c r="P81" s="9">
        <f>O81*G81</f>
        <v/>
      </c>
    </row>
    <row r="82">
      <c r="A82" s="6" t="n">
        <v>77</v>
      </c>
      <c r="B82" s="7" t="inlineStr">
        <is>
          <t>Клапан штуцерный угловой Ду15</t>
        </is>
      </c>
      <c r="C82" s="8" t="inlineStr">
        <is>
          <t>521-01.468-08</t>
        </is>
      </c>
      <c r="D82" s="6" t="n">
        <v>15</v>
      </c>
      <c r="E82" s="6" t="inlineStr"/>
      <c r="F82" s="6" t="inlineStr">
        <is>
          <t>новый</t>
        </is>
      </c>
      <c r="G82" s="6" t="n">
        <v>1</v>
      </c>
      <c r="H82" s="6" t="n">
        <v>2</v>
      </c>
      <c r="I82" s="6" t="n">
        <v>2</v>
      </c>
      <c r="J82" s="7" t="inlineStr">
        <is>
          <t>новое, цена согласовывается отдельно</t>
        </is>
      </c>
      <c r="K82" s="9" t="n">
        <v>3725</v>
      </c>
      <c r="L82" s="8" t="inlineStr"/>
      <c r="M82" s="9" t="n">
        <v>6000</v>
      </c>
      <c r="N82" s="9" t="n">
        <v>1490</v>
      </c>
      <c r="O82" s="10" t="inlineStr"/>
      <c r="P82" s="9">
        <f>O82*G82</f>
        <v/>
      </c>
    </row>
    <row r="83">
      <c r="A83" s="6" t="n">
        <v>78</v>
      </c>
      <c r="B83" s="7" t="inlineStr">
        <is>
          <t>Клапан предохранительный штуцерный угловой Ду10 ру 6,5-9</t>
        </is>
      </c>
      <c r="C83" s="8" t="inlineStr">
        <is>
          <t>524-03.004</t>
        </is>
      </c>
      <c r="D83" s="6" t="n">
        <v>10</v>
      </c>
      <c r="E83" s="6" t="inlineStr">
        <is>
          <t>6,5-9</t>
        </is>
      </c>
      <c r="F83" s="6" t="inlineStr">
        <is>
          <t>новый</t>
        </is>
      </c>
      <c r="G83" s="6" t="n">
        <v>1</v>
      </c>
      <c r="H83" s="6" t="n">
        <v>1.5</v>
      </c>
      <c r="I83" s="6" t="n">
        <v>2</v>
      </c>
      <c r="J83" s="7" t="inlineStr">
        <is>
          <t>новое, цена согласовывается отдельно</t>
        </is>
      </c>
      <c r="K83" s="9" t="n">
        <v>2831</v>
      </c>
      <c r="L83" s="8" t="inlineStr"/>
      <c r="M83" s="9" t="n">
        <v>4500</v>
      </c>
      <c r="N83" s="9" t="n">
        <v>1132</v>
      </c>
      <c r="O83" s="10" t="inlineStr"/>
      <c r="P83" s="9">
        <f>O83*G83</f>
        <v/>
      </c>
    </row>
    <row r="84">
      <c r="A84" s="6" t="n">
        <v>79</v>
      </c>
      <c r="B84" s="7" t="inlineStr">
        <is>
          <t>Клапан невозвратный штуцерный проходной Ду20 Ру40</t>
        </is>
      </c>
      <c r="C84" s="8" t="inlineStr">
        <is>
          <t>522-3м-9</t>
        </is>
      </c>
      <c r="D84" s="6" t="n">
        <v>20</v>
      </c>
      <c r="E84" s="6" t="inlineStr">
        <is>
          <t>40</t>
        </is>
      </c>
      <c r="F84" s="6" t="inlineStr">
        <is>
          <t>новый</t>
        </is>
      </c>
      <c r="G84" s="6" t="n">
        <v>1</v>
      </c>
      <c r="H84" s="6" t="n">
        <v>1.9</v>
      </c>
      <c r="I84" s="6" t="n">
        <v>2</v>
      </c>
      <c r="J84" s="7" t="inlineStr">
        <is>
          <t>новое, цена согласовывается отдельно</t>
        </is>
      </c>
      <c r="K84" s="9" t="n">
        <v>3539</v>
      </c>
      <c r="L84" s="8" t="inlineStr"/>
      <c r="M84" s="9" t="n">
        <v>6000</v>
      </c>
      <c r="N84" s="9" t="n">
        <v>1416</v>
      </c>
      <c r="O84" s="10" t="inlineStr"/>
      <c r="P84" s="9">
        <f>O84*G84</f>
        <v/>
      </c>
    </row>
    <row r="85">
      <c r="A85" s="6" t="n">
        <v>80</v>
      </c>
      <c r="B85" s="7" t="inlineStr">
        <is>
          <t>Клапан невозвратный штуцерный проходной Ду20Ру160</t>
        </is>
      </c>
      <c r="C85" s="8" t="inlineStr">
        <is>
          <t>522-03.089</t>
        </is>
      </c>
      <c r="D85" s="6" t="n">
        <v>20</v>
      </c>
      <c r="E85" s="6" t="inlineStr">
        <is>
          <t>160</t>
        </is>
      </c>
      <c r="F85" s="6" t="inlineStr">
        <is>
          <t>новый</t>
        </is>
      </c>
      <c r="G85" s="6" t="n">
        <v>1</v>
      </c>
      <c r="H85" s="6" t="n">
        <v>1.9</v>
      </c>
      <c r="I85" s="6" t="n">
        <v>2</v>
      </c>
      <c r="J85" s="7" t="inlineStr">
        <is>
          <t>новое, цена согласовывается отдельно</t>
        </is>
      </c>
      <c r="K85" s="9" t="n">
        <v>3539</v>
      </c>
      <c r="L85" s="8" t="inlineStr"/>
      <c r="M85" s="9" t="n">
        <v>6000</v>
      </c>
      <c r="N85" s="9" t="n">
        <v>1416</v>
      </c>
      <c r="O85" s="10" t="inlineStr"/>
      <c r="P85" s="9">
        <f>O85*G85</f>
        <v/>
      </c>
    </row>
    <row r="86">
      <c r="A86" s="6" t="n">
        <v>81</v>
      </c>
      <c r="B86" s="7" t="inlineStr">
        <is>
          <t>Клапан предохранительный штуцерный сигнальный Ду10Ру1,3-6,5</t>
        </is>
      </c>
      <c r="C86" s="8" t="inlineStr">
        <is>
          <t>524-03.174</t>
        </is>
      </c>
      <c r="D86" s="6" t="n">
        <v>10</v>
      </c>
      <c r="E86" s="6" t="inlineStr">
        <is>
          <t>1,3-6,5</t>
        </is>
      </c>
      <c r="F86" s="6" t="inlineStr">
        <is>
          <t>новый</t>
        </is>
      </c>
      <c r="G86" s="6" t="n">
        <v>1</v>
      </c>
      <c r="H86" s="6" t="n">
        <v>0.8</v>
      </c>
      <c r="I86" s="6" t="n">
        <v>1</v>
      </c>
      <c r="J86" s="7" t="inlineStr">
        <is>
          <t>новое, цена согласовывается отдельно</t>
        </is>
      </c>
      <c r="K86" s="9" t="n">
        <v>1490</v>
      </c>
      <c r="L86" s="8" t="inlineStr">
        <is>
          <t>3 500</t>
        </is>
      </c>
      <c r="M86" s="9" t="n">
        <v>4500</v>
      </c>
      <c r="N86" s="9" t="n">
        <v>596</v>
      </c>
      <c r="O86" s="10" t="inlineStr"/>
      <c r="P86" s="9">
        <f>O86*G86</f>
        <v/>
      </c>
    </row>
    <row r="87">
      <c r="A87" s="6" t="n">
        <v>82</v>
      </c>
      <c r="B87" s="7" t="inlineStr">
        <is>
          <t>Клапан предохранительный штуцерный сигнальный Ду10Ру2,5-6,5</t>
        </is>
      </c>
      <c r="C87" s="8" t="inlineStr">
        <is>
          <t>524-03.173</t>
        </is>
      </c>
      <c r="D87" s="6" t="n">
        <v>10</v>
      </c>
      <c r="E87" s="6" t="inlineStr">
        <is>
          <t>2,5-6,5</t>
        </is>
      </c>
      <c r="F87" s="6" t="inlineStr">
        <is>
          <t>новый</t>
        </is>
      </c>
      <c r="G87" s="6" t="n">
        <v>1</v>
      </c>
      <c r="H87" s="6" t="n">
        <v>1.2</v>
      </c>
      <c r="I87" s="6" t="n">
        <v>1</v>
      </c>
      <c r="J87" s="7" t="inlineStr">
        <is>
          <t>новое, цена согласовывается отдельно</t>
        </is>
      </c>
      <c r="K87" s="9" t="n">
        <v>2235</v>
      </c>
      <c r="L87" s="8" t="inlineStr">
        <is>
          <t>3 500</t>
        </is>
      </c>
      <c r="M87" s="9" t="n">
        <v>5625</v>
      </c>
      <c r="N87" s="9" t="n">
        <v>894</v>
      </c>
      <c r="O87" s="10" t="inlineStr"/>
      <c r="P87" s="9">
        <f>O87*G87</f>
        <v/>
      </c>
    </row>
    <row r="88">
      <c r="A88" s="6" t="n">
        <v>83</v>
      </c>
      <c r="B88" s="7" t="inlineStr">
        <is>
          <t>(Кнопка)Клапан самозакрывающий проходной муфтовый Ду15Ру3</t>
        </is>
      </c>
      <c r="C88" s="8" t="inlineStr">
        <is>
          <t>528-35.176</t>
        </is>
      </c>
      <c r="D88" s="6" t="n">
        <v>15</v>
      </c>
      <c r="E88" s="6" t="inlineStr">
        <is>
          <t>3</t>
        </is>
      </c>
      <c r="F88" s="6" t="inlineStr">
        <is>
          <t>новая</t>
        </is>
      </c>
      <c r="G88" s="6" t="n">
        <v>1</v>
      </c>
      <c r="H88" s="6" t="n">
        <v>0.8</v>
      </c>
      <c r="I88" s="6" t="n">
        <v>1</v>
      </c>
      <c r="J88" s="7" t="inlineStr">
        <is>
          <t>новое, цена согласовывается отдельно</t>
        </is>
      </c>
      <c r="K88" s="9" t="n">
        <v>1490</v>
      </c>
      <c r="L88" s="8" t="inlineStr">
        <is>
          <t>4 000</t>
        </is>
      </c>
      <c r="M88" s="9" t="n">
        <v>6500</v>
      </c>
      <c r="N88" s="9" t="n">
        <v>596</v>
      </c>
      <c r="O88" s="10" t="inlineStr"/>
      <c r="P88" s="9">
        <f>O88*G88</f>
        <v/>
      </c>
    </row>
    <row r="89">
      <c r="A89" s="4" t="inlineStr">
        <is>
          <t>высокое давление, Ру от 100 — 10 позиций, 79 шт, 172 кг</t>
        </is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>
      <c r="A90" s="6" t="n">
        <v>84</v>
      </c>
      <c r="B90" s="7" t="inlineStr">
        <is>
          <t>Клапан штуцерный проходной Ду 20 Ру 100</t>
        </is>
      </c>
      <c r="C90" s="8" t="inlineStr">
        <is>
          <t>521-01.470-03</t>
        </is>
      </c>
      <c r="D90" s="6" t="n">
        <v>20</v>
      </c>
      <c r="E90" s="6" t="inlineStr">
        <is>
          <t>100</t>
        </is>
      </c>
      <c r="F90" s="6" t="inlineStr">
        <is>
          <t>б/у</t>
        </is>
      </c>
      <c r="G90" s="6" t="n">
        <v>30</v>
      </c>
      <c r="H90" s="6" t="n">
        <v>2.1</v>
      </c>
      <c r="I90" s="6" t="n">
        <v>63</v>
      </c>
      <c r="J90" s="7" t="inlineStr">
        <is>
          <t>высокое давление, Ру от 100</t>
        </is>
      </c>
      <c r="K90" s="9" t="n">
        <v>3911</v>
      </c>
      <c r="L90" s="8" t="inlineStr"/>
      <c r="M90" s="9" t="n">
        <v>4000</v>
      </c>
      <c r="N90" s="9" t="n">
        <v>1564</v>
      </c>
      <c r="O90" s="10" t="inlineStr"/>
      <c r="P90" s="9">
        <f>O90*G90</f>
        <v/>
      </c>
    </row>
    <row r="91">
      <c r="A91" s="6" t="n">
        <v>85</v>
      </c>
      <c r="B91" s="7" t="inlineStr">
        <is>
          <t>Клапан штуцерный угловой Ду25 Ру 100 без маховика , без крышки корпуса</t>
        </is>
      </c>
      <c r="C91" s="8" t="inlineStr">
        <is>
          <t>521-01.468-06</t>
        </is>
      </c>
      <c r="D91" s="6" t="n">
        <v>25</v>
      </c>
      <c r="E91" s="6" t="inlineStr">
        <is>
          <t>100</t>
        </is>
      </c>
      <c r="F91" s="6" t="inlineStr">
        <is>
          <t>б/у</t>
        </is>
      </c>
      <c r="G91" s="6" t="n">
        <v>8</v>
      </c>
      <c r="H91" s="6" t="n">
        <v>3.1</v>
      </c>
      <c r="I91" s="6" t="n">
        <v>25</v>
      </c>
      <c r="J91" s="7" t="inlineStr">
        <is>
          <t>высокое давление, Ру от 100</t>
        </is>
      </c>
      <c r="K91" s="9" t="n">
        <v>5774</v>
      </c>
      <c r="L91" s="8" t="inlineStr"/>
      <c r="M91" s="9" t="n">
        <v>8750</v>
      </c>
      <c r="N91" s="9" t="n">
        <v>2310</v>
      </c>
      <c r="O91" s="10" t="inlineStr"/>
      <c r="P91" s="9">
        <f>O91*G91</f>
        <v/>
      </c>
    </row>
    <row r="92">
      <c r="A92" s="6" t="n">
        <v>86</v>
      </c>
      <c r="B92" s="7" t="inlineStr">
        <is>
          <t>Клапан штуцерный проходной Ду 20 Ру 100</t>
        </is>
      </c>
      <c r="C92" s="8" t="inlineStr">
        <is>
          <t>521-01.471-03</t>
        </is>
      </c>
      <c r="D92" s="6" t="n">
        <v>20</v>
      </c>
      <c r="E92" s="6" t="inlineStr">
        <is>
          <t>100</t>
        </is>
      </c>
      <c r="F92" s="6" t="inlineStr">
        <is>
          <t>б/у</t>
        </is>
      </c>
      <c r="G92" s="6" t="n">
        <v>11</v>
      </c>
      <c r="H92" s="6" t="n">
        <v>2.1</v>
      </c>
      <c r="I92" s="6" t="n">
        <v>23</v>
      </c>
      <c r="J92" s="7" t="inlineStr">
        <is>
          <t>высокое давление, Ру от 100</t>
        </is>
      </c>
      <c r="K92" s="9" t="n">
        <v>3911</v>
      </c>
      <c r="L92" s="8" t="inlineStr"/>
      <c r="M92" s="9" t="n">
        <v>4000</v>
      </c>
      <c r="N92" s="9" t="n">
        <v>1564</v>
      </c>
      <c r="O92" s="10" t="inlineStr"/>
      <c r="P92" s="9">
        <f>O92*G92</f>
        <v/>
      </c>
    </row>
    <row r="93">
      <c r="A93" s="6" t="n">
        <v>87</v>
      </c>
      <c r="B93" s="7" t="inlineStr">
        <is>
          <t>Клапан штуцерный проходной Ду 20 Ру 100, без маховика , без крышки корпуса</t>
        </is>
      </c>
      <c r="C93" s="8" t="inlineStr">
        <is>
          <t>521-01.470-03</t>
        </is>
      </c>
      <c r="D93" s="6" t="n">
        <v>20</v>
      </c>
      <c r="E93" s="6" t="inlineStr">
        <is>
          <t>100</t>
        </is>
      </c>
      <c r="F93" s="6" t="inlineStr">
        <is>
          <t>б/у</t>
        </is>
      </c>
      <c r="G93" s="6" t="n">
        <v>11</v>
      </c>
      <c r="H93" s="6" t="n">
        <v>2.1</v>
      </c>
      <c r="I93" s="6" t="n">
        <v>23</v>
      </c>
      <c r="J93" s="7" t="inlineStr">
        <is>
          <t>высокое давление, Ру от 100</t>
        </is>
      </c>
      <c r="K93" s="9" t="n">
        <v>3911</v>
      </c>
      <c r="L93" s="8" t="inlineStr"/>
      <c r="M93" s="9" t="n">
        <v>4000</v>
      </c>
      <c r="N93" s="9" t="n">
        <v>1564</v>
      </c>
      <c r="O93" s="10" t="inlineStr"/>
      <c r="P93" s="9">
        <f>O93*G93</f>
        <v/>
      </c>
    </row>
    <row r="94">
      <c r="A94" s="6" t="n">
        <v>88</v>
      </c>
      <c r="B94" s="7" t="inlineStr">
        <is>
          <t>Клапан штуцерный проходной Ду 20 Ру 100</t>
        </is>
      </c>
      <c r="C94" s="8" t="inlineStr">
        <is>
          <t>522-01.498-02</t>
        </is>
      </c>
      <c r="D94" s="6" t="n">
        <v>20</v>
      </c>
      <c r="E94" s="6" t="inlineStr">
        <is>
          <t>100</t>
        </is>
      </c>
      <c r="F94" s="6" t="inlineStr">
        <is>
          <t>б/у</t>
        </is>
      </c>
      <c r="G94" s="6" t="n">
        <v>8</v>
      </c>
      <c r="H94" s="6" t="n">
        <v>1.9</v>
      </c>
      <c r="I94" s="6" t="n">
        <v>15</v>
      </c>
      <c r="J94" s="7" t="inlineStr">
        <is>
          <t>высокое давление, Ру от 100</t>
        </is>
      </c>
      <c r="K94" s="9" t="n">
        <v>3539</v>
      </c>
      <c r="L94" s="8" t="inlineStr"/>
      <c r="M94" s="9" t="n">
        <v>5500</v>
      </c>
      <c r="N94" s="9" t="n">
        <v>1416</v>
      </c>
      <c r="O94" s="10" t="inlineStr"/>
      <c r="P94" s="9">
        <f>O94*G94</f>
        <v/>
      </c>
    </row>
    <row r="95">
      <c r="A95" s="6" t="n">
        <v>89</v>
      </c>
      <c r="B95" s="7" t="inlineStr">
        <is>
          <t>Клапан штуцерный угловой Ду15Ру100</t>
        </is>
      </c>
      <c r="C95" s="8" t="inlineStr">
        <is>
          <t>521-01.464-01</t>
        </is>
      </c>
      <c r="D95" s="6" t="n">
        <v>15</v>
      </c>
      <c r="E95" s="6" t="inlineStr">
        <is>
          <t>100</t>
        </is>
      </c>
      <c r="F95" s="6" t="inlineStr">
        <is>
          <t>б/у</t>
        </is>
      </c>
      <c r="G95" s="6" t="n">
        <v>3</v>
      </c>
      <c r="H95" s="6" t="n">
        <v>2</v>
      </c>
      <c r="I95" s="6" t="n">
        <v>6</v>
      </c>
      <c r="J95" s="7" t="inlineStr">
        <is>
          <t>высокое давление, Ру от 100</t>
        </is>
      </c>
      <c r="K95" s="9" t="n">
        <v>3725</v>
      </c>
      <c r="L95" s="8" t="inlineStr"/>
      <c r="M95" s="9" t="n">
        <v>5000</v>
      </c>
      <c r="N95" s="9" t="n">
        <v>1490</v>
      </c>
      <c r="O95" s="10" t="inlineStr"/>
      <c r="P95" s="9">
        <f>O95*G95</f>
        <v/>
      </c>
    </row>
    <row r="96">
      <c r="A96" s="6" t="n">
        <v>90</v>
      </c>
      <c r="B96" s="7" t="inlineStr">
        <is>
          <t>Клапан штуцерный проходной Ду 20 Ру 100</t>
        </is>
      </c>
      <c r="C96" s="8" t="inlineStr">
        <is>
          <t>521-01.470-02</t>
        </is>
      </c>
      <c r="D96" s="6" t="n">
        <v>20</v>
      </c>
      <c r="E96" s="6" t="inlineStr">
        <is>
          <t>100</t>
        </is>
      </c>
      <c r="F96" s="6" t="inlineStr">
        <is>
          <t>б/у</t>
        </is>
      </c>
      <c r="G96" s="6" t="n">
        <v>3</v>
      </c>
      <c r="H96" s="6" t="n">
        <v>2.1</v>
      </c>
      <c r="I96" s="6" t="n">
        <v>6</v>
      </c>
      <c r="J96" s="7" t="inlineStr">
        <is>
          <t>высокое давление, Ру от 100</t>
        </is>
      </c>
      <c r="K96" s="9" t="n">
        <v>3911</v>
      </c>
      <c r="L96" s="8" t="inlineStr"/>
      <c r="M96" s="9" t="n">
        <v>4500</v>
      </c>
      <c r="N96" s="9" t="n">
        <v>1564</v>
      </c>
      <c r="O96" s="10" t="inlineStr"/>
      <c r="P96" s="9">
        <f>O96*G96</f>
        <v/>
      </c>
    </row>
    <row r="97">
      <c r="A97" s="6" t="n">
        <v>91</v>
      </c>
      <c r="B97" s="7" t="inlineStr">
        <is>
          <t>Клапан штуцерный проходной Ду 20 Ру 100, без маховика , без крышки корпуса</t>
        </is>
      </c>
      <c r="C97" s="8" t="inlineStr">
        <is>
          <t>521-01.470-02</t>
        </is>
      </c>
      <c r="D97" s="6" t="n">
        <v>20</v>
      </c>
      <c r="E97" s="6" t="inlineStr">
        <is>
          <t>100</t>
        </is>
      </c>
      <c r="F97" s="6" t="inlineStr">
        <is>
          <t>б/у</t>
        </is>
      </c>
      <c r="G97" s="6" t="n">
        <v>2</v>
      </c>
      <c r="H97" s="6" t="n">
        <v>2</v>
      </c>
      <c r="I97" s="6" t="n">
        <v>4</v>
      </c>
      <c r="J97" s="7" t="inlineStr">
        <is>
          <t>высокое давление, Ру от 100</t>
        </is>
      </c>
      <c r="K97" s="9" t="n">
        <v>3725</v>
      </c>
      <c r="L97" s="8" t="inlineStr"/>
      <c r="M97" s="9" t="n">
        <v>4500</v>
      </c>
      <c r="N97" s="9" t="n">
        <v>1490</v>
      </c>
      <c r="O97" s="10" t="inlineStr"/>
      <c r="P97" s="9">
        <f>O97*G97</f>
        <v/>
      </c>
    </row>
    <row r="98">
      <c r="A98" s="6" t="n">
        <v>92</v>
      </c>
      <c r="B98" s="7" t="inlineStr">
        <is>
          <t>Клапан штуцерный проходной Ду 20 Ру 100</t>
        </is>
      </c>
      <c r="C98" s="8" t="inlineStr">
        <is>
          <t>521-01.052</t>
        </is>
      </c>
      <c r="D98" s="6" t="n">
        <v>20</v>
      </c>
      <c r="E98" s="6" t="inlineStr">
        <is>
          <t>100</t>
        </is>
      </c>
      <c r="F98" s="6" t="inlineStr">
        <is>
          <t>б/у</t>
        </is>
      </c>
      <c r="G98" s="6" t="n">
        <v>2</v>
      </c>
      <c r="H98" s="6" t="n">
        <v>2.1</v>
      </c>
      <c r="I98" s="6" t="n">
        <v>4</v>
      </c>
      <c r="J98" s="7" t="inlineStr">
        <is>
          <t>высокое давление, Ру от 100</t>
        </is>
      </c>
      <c r="K98" s="9" t="n">
        <v>3911</v>
      </c>
      <c r="L98" s="8" t="inlineStr"/>
      <c r="M98" s="9" t="n">
        <v>5500</v>
      </c>
      <c r="N98" s="9" t="n">
        <v>1564</v>
      </c>
      <c r="O98" s="10" t="inlineStr"/>
      <c r="P98" s="9">
        <f>O98*G98</f>
        <v/>
      </c>
    </row>
    <row r="99">
      <c r="A99" s="6" t="n">
        <v>93</v>
      </c>
      <c r="B99" s="7" t="inlineStr">
        <is>
          <t>Клапан штуцерный угловой Ду25 Ру 100 без маховика , без крышки корпуса</t>
        </is>
      </c>
      <c r="C99" s="8" t="inlineStr">
        <is>
          <t>522-01.500-06</t>
        </is>
      </c>
      <c r="D99" s="6" t="n">
        <v>25</v>
      </c>
      <c r="E99" s="6" t="inlineStr">
        <is>
          <t>100</t>
        </is>
      </c>
      <c r="F99" s="6" t="inlineStr">
        <is>
          <t>бу</t>
        </is>
      </c>
      <c r="G99" s="6" t="n">
        <v>1</v>
      </c>
      <c r="H99" s="6" t="n">
        <v>3.1</v>
      </c>
      <c r="I99" s="6" t="n">
        <v>3</v>
      </c>
      <c r="J99" s="7" t="inlineStr">
        <is>
          <t>высокое давление, Ру от 100</t>
        </is>
      </c>
      <c r="K99" s="9" t="n">
        <v>5774</v>
      </c>
      <c r="L99" s="8" t="inlineStr"/>
      <c r="M99" s="9" t="n">
        <v>10000</v>
      </c>
      <c r="N99" s="9" t="n">
        <v>2310</v>
      </c>
      <c r="O99" s="10" t="inlineStr"/>
      <c r="P99" s="9">
        <f>O99*G99</f>
        <v/>
      </c>
    </row>
    <row r="100">
      <c r="A100" s="4" t="inlineStr">
        <is>
          <t>ставка не применяется, цена отдельно — 5 позиций, 7 шт, 123 кг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>
      <c r="A101" s="6" t="n">
        <v>94</v>
      </c>
      <c r="B101" s="7" t="inlineStr">
        <is>
          <t>клапан электромагнитный ду 60 Ру32</t>
        </is>
      </c>
      <c r="C101" s="8" t="inlineStr">
        <is>
          <t>586-35.043</t>
        </is>
      </c>
      <c r="D101" s="6" t="n">
        <v>60</v>
      </c>
      <c r="E101" s="6" t="inlineStr">
        <is>
          <t>32</t>
        </is>
      </c>
      <c r="F101" s="6" t="inlineStr">
        <is>
          <t>новый</t>
        </is>
      </c>
      <c r="G101" s="6" t="n">
        <v>1</v>
      </c>
      <c r="H101" s="6" t="n">
        <v>43</v>
      </c>
      <c r="I101" s="6" t="n">
        <v>43</v>
      </c>
      <c r="J101" s="7" t="inlineStr">
        <is>
          <t>ставка не применяется, цена отдельно</t>
        </is>
      </c>
      <c r="K101" s="9" t="n">
        <v>80088</v>
      </c>
      <c r="L101" s="8" t="inlineStr"/>
      <c r="M101" s="9" t="inlineStr"/>
      <c r="N101" s="9" t="n">
        <v>32035</v>
      </c>
      <c r="O101" s="10" t="inlineStr"/>
      <c r="P101" s="9">
        <f>O101*G101</f>
        <v/>
      </c>
    </row>
    <row r="102">
      <c r="A102" s="6" t="n">
        <v>95</v>
      </c>
      <c r="B102" s="7" t="inlineStr">
        <is>
          <t>Клапан с электромагнитным ручным управлением</t>
        </is>
      </c>
      <c r="C102" s="8" t="inlineStr">
        <is>
          <t>587-35.8491-02</t>
        </is>
      </c>
      <c r="D102" s="6" t="inlineStr"/>
      <c r="E102" s="6" t="inlineStr"/>
      <c r="F102" s="6" t="inlineStr">
        <is>
          <t>б/у</t>
        </is>
      </c>
      <c r="G102" s="6" t="n">
        <v>2</v>
      </c>
      <c r="H102" s="6" t="n">
        <v>13.9</v>
      </c>
      <c r="I102" s="6" t="n">
        <v>28</v>
      </c>
      <c r="J102" s="7" t="inlineStr">
        <is>
          <t>ставка не применяется, цена отдельно</t>
        </is>
      </c>
      <c r="K102" s="9" t="n">
        <v>25889</v>
      </c>
      <c r="L102" s="8" t="inlineStr"/>
      <c r="M102" s="9" t="inlineStr"/>
      <c r="N102" s="9" t="n">
        <v>10356</v>
      </c>
      <c r="O102" s="10" t="inlineStr"/>
      <c r="P102" s="9">
        <f>O102*G102</f>
        <v/>
      </c>
    </row>
    <row r="103">
      <c r="A103" s="6" t="n">
        <v>96</v>
      </c>
      <c r="B103" s="7" t="inlineStr">
        <is>
          <t>Клапан с электромагнитным ручным управлением</t>
        </is>
      </c>
      <c r="C103" s="8" t="inlineStr">
        <is>
          <t>587-35.8491-07</t>
        </is>
      </c>
      <c r="D103" s="6" t="inlineStr"/>
      <c r="E103" s="6" t="inlineStr"/>
      <c r="F103" s="6" t="inlineStr">
        <is>
          <t>б/у</t>
        </is>
      </c>
      <c r="G103" s="6" t="n">
        <v>2</v>
      </c>
      <c r="H103" s="6" t="n">
        <v>13.9</v>
      </c>
      <c r="I103" s="6" t="n">
        <v>28</v>
      </c>
      <c r="J103" s="7" t="inlineStr">
        <is>
          <t>ставка не применяется, цена отдельно</t>
        </is>
      </c>
      <c r="K103" s="9" t="n">
        <v>25889</v>
      </c>
      <c r="L103" s="8" t="inlineStr"/>
      <c r="M103" s="9" t="n">
        <v>18000</v>
      </c>
      <c r="N103" s="9" t="n">
        <v>10356</v>
      </c>
      <c r="O103" s="10" t="inlineStr"/>
      <c r="P103" s="9">
        <f>O103*G103</f>
        <v/>
      </c>
    </row>
    <row r="104">
      <c r="A104" s="6" t="n">
        <v>97</v>
      </c>
      <c r="B104" s="7" t="inlineStr">
        <is>
          <t>Клапан с электромагнитным ручным управлением Ду20/10 перем. 220В</t>
        </is>
      </c>
      <c r="C104" s="8" t="inlineStr">
        <is>
          <t>587-35.8490-04</t>
        </is>
      </c>
      <c r="D104" s="6" t="n">
        <v>20</v>
      </c>
      <c r="E104" s="6" t="inlineStr"/>
      <c r="F104" s="6" t="inlineStr">
        <is>
          <t>новый</t>
        </is>
      </c>
      <c r="G104" s="6" t="n">
        <v>1</v>
      </c>
      <c r="H104" s="6" t="n">
        <v>11.6</v>
      </c>
      <c r="I104" s="6" t="n">
        <v>12</v>
      </c>
      <c r="J104" s="7" t="inlineStr">
        <is>
          <t>ставка не применяется, цена отдельно</t>
        </is>
      </c>
      <c r="K104" s="9" t="n">
        <v>21605</v>
      </c>
      <c r="L104" s="8" t="inlineStr">
        <is>
          <t>25 000</t>
        </is>
      </c>
      <c r="M104" s="9" t="n">
        <v>12000</v>
      </c>
      <c r="N104" s="9" t="n">
        <v>8642</v>
      </c>
      <c r="O104" s="10" t="inlineStr"/>
      <c r="P104" s="9">
        <f>O104*G104</f>
        <v/>
      </c>
    </row>
    <row r="105">
      <c r="A105" s="6" t="n">
        <v>98</v>
      </c>
      <c r="B105" s="7" t="inlineStr">
        <is>
          <t>Клапан с электромагнитным ручным управлением</t>
        </is>
      </c>
      <c r="C105" s="8" t="inlineStr">
        <is>
          <t>587-182.126</t>
        </is>
      </c>
      <c r="D105" s="6" t="inlineStr"/>
      <c r="E105" s="6" t="inlineStr"/>
      <c r="F105" s="6" t="inlineStr">
        <is>
          <t>новый</t>
        </is>
      </c>
      <c r="G105" s="6" t="n">
        <v>1</v>
      </c>
      <c r="H105" s="6" t="n">
        <v>12.3</v>
      </c>
      <c r="I105" s="6" t="n">
        <v>12</v>
      </c>
      <c r="J105" s="7" t="inlineStr">
        <is>
          <t>ставка не применяется, цена отдельно</t>
        </is>
      </c>
      <c r="K105" s="9" t="n">
        <v>22909</v>
      </c>
      <c r="L105" s="8" t="inlineStr"/>
      <c r="M105" s="9" t="inlineStr"/>
      <c r="N105" s="9" t="n">
        <v>9164</v>
      </c>
      <c r="O105" s="10" t="inlineStr"/>
      <c r="P105" s="9">
        <f>O105*G105</f>
        <v/>
      </c>
    </row>
    <row r="106">
      <c r="A106" s="4" t="inlineStr">
        <is>
          <t>сталь, цена не от массы металла — 3 позиции, 3 шт, 55 кг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6" t="n">
        <v>99</v>
      </c>
      <c r="B107" s="7" t="inlineStr">
        <is>
          <t>Фильтр заборной воды ДУ 80, сталь</t>
        </is>
      </c>
      <c r="C107" s="8" t="inlineStr">
        <is>
          <t>427-130.10727</t>
        </is>
      </c>
      <c r="D107" s="6" t="n">
        <v>80</v>
      </c>
      <c r="E107" s="6" t="inlineStr"/>
      <c r="F107" s="6" t="inlineStr">
        <is>
          <t>б/у</t>
        </is>
      </c>
      <c r="G107" s="6" t="n">
        <v>1</v>
      </c>
      <c r="H107" s="6" t="n">
        <v>27</v>
      </c>
      <c r="I107" s="6" t="n">
        <v>27</v>
      </c>
      <c r="J107" s="7" t="inlineStr">
        <is>
          <t>сталь, цена не от массы металла</t>
        </is>
      </c>
      <c r="K107" s="9" t="n">
        <v>50288</v>
      </c>
      <c r="L107" s="8" t="inlineStr"/>
      <c r="M107" s="9" t="n">
        <v>25000</v>
      </c>
      <c r="N107" s="9" t="n">
        <v>513</v>
      </c>
      <c r="O107" s="10" t="inlineStr"/>
      <c r="P107" s="9">
        <f>O107*G107</f>
        <v/>
      </c>
    </row>
    <row r="108">
      <c r="A108" s="6" t="n">
        <v>100</v>
      </c>
      <c r="B108" s="7" t="inlineStr">
        <is>
          <t>Клапан фланцевый угловой Ду80, сталь</t>
        </is>
      </c>
      <c r="C108" s="8" t="inlineStr">
        <is>
          <t>521-3м.530</t>
        </is>
      </c>
      <c r="D108" s="6" t="n">
        <v>80</v>
      </c>
      <c r="E108" s="6" t="inlineStr"/>
      <c r="F108" s="6" t="inlineStr">
        <is>
          <t>б/у</t>
        </is>
      </c>
      <c r="G108" s="6" t="n">
        <v>1</v>
      </c>
      <c r="H108" s="6" t="n">
        <v>20</v>
      </c>
      <c r="I108" s="6" t="n">
        <v>20</v>
      </c>
      <c r="J108" s="7" t="inlineStr">
        <is>
          <t>сталь, цена не от массы металла</t>
        </is>
      </c>
      <c r="K108" s="9" t="n">
        <v>37250</v>
      </c>
      <c r="L108" s="8" t="inlineStr"/>
      <c r="M108" s="9" t="inlineStr"/>
      <c r="N108" s="9" t="n">
        <v>380</v>
      </c>
      <c r="O108" s="10" t="inlineStr"/>
      <c r="P108" s="9">
        <f>O108*G108</f>
        <v/>
      </c>
    </row>
    <row r="109">
      <c r="A109" s="6" t="n">
        <v>101</v>
      </c>
      <c r="B109" s="7" t="inlineStr">
        <is>
          <t>Клапан фланцевый угловой Ду25, сталь</t>
        </is>
      </c>
      <c r="C109" s="8" t="inlineStr">
        <is>
          <t>—</t>
        </is>
      </c>
      <c r="D109" s="6" t="n">
        <v>25</v>
      </c>
      <c r="E109" s="6" t="inlineStr"/>
      <c r="F109" s="6" t="inlineStr">
        <is>
          <t>б/у</t>
        </is>
      </c>
      <c r="G109" s="6" t="n">
        <v>1</v>
      </c>
      <c r="H109" s="6" t="n">
        <v>8</v>
      </c>
      <c r="I109" s="6" t="n">
        <v>8</v>
      </c>
      <c r="J109" s="7" t="inlineStr">
        <is>
          <t>сталь, цена не от массы металла</t>
        </is>
      </c>
      <c r="K109" s="9" t="n">
        <v>14900</v>
      </c>
      <c r="L109" s="8" t="inlineStr"/>
      <c r="M109" s="9" t="inlineStr"/>
      <c r="N109" s="9" t="n">
        <v>152</v>
      </c>
      <c r="O109" s="10" t="inlineStr"/>
      <c r="P109" s="9">
        <f>O109*G109</f>
        <v/>
      </c>
    </row>
    <row r="110">
      <c r="A110" s="11" t="inlineStr">
        <is>
          <t>ИТОГО</t>
        </is>
      </c>
      <c r="B110" s="11" t="inlineStr">
        <is>
          <t>101 позиций</t>
        </is>
      </c>
      <c r="C110" s="11" t="inlineStr"/>
      <c r="D110" s="11" t="inlineStr"/>
      <c r="E110" s="11" t="inlineStr"/>
      <c r="F110" s="11" t="inlineStr"/>
      <c r="G110" s="12" t="n">
        <v>1356</v>
      </c>
      <c r="H110" s="11" t="inlineStr"/>
      <c r="I110" s="12" t="n">
        <v>4942</v>
      </c>
      <c r="J110" s="11" t="inlineStr"/>
      <c r="K110" s="11" t="inlineStr"/>
      <c r="L110" s="11" t="inlineStr"/>
      <c r="M110" s="11" t="inlineStr"/>
      <c r="N110" s="11" t="inlineStr"/>
      <c r="O110" s="11" t="inlineStr"/>
      <c r="P110" s="13">
        <f>SUM(P5:P109)</f>
        <v/>
      </c>
    </row>
    <row r="112">
      <c r="A112" s="14" t="inlineStr">
        <is>
          <t>Как читать подсказки</t>
        </is>
      </c>
    </row>
    <row r="113" ht="28" customHeight="1">
      <c r="A113" s="15" t="inlineStr">
        <is>
          <t>— «По ставке» — цена от веса по бронзе, 1 862,50 руб за килограмм. Для НОВОГО это нижняя граница: новое дороже бывшего в употреблении, потому оно и выведено из-под ставки.</t>
        </is>
      </c>
    </row>
    <row r="114" ht="28" customHeight="1">
      <c r="A114" s="15" t="inlineStr">
        <is>
          <t>— «Из Договора» — что стояло по этой позиции в действующих приложениях. Если пусто, в Договоре цены по ней не было.</t>
        </is>
      </c>
    </row>
    <row r="115" ht="28" customHeight="1">
      <c r="A115" s="15" t="inlineStr">
        <is>
          <t>— «У конкурента» — камчатский прайс от 03.10.2026, подобран по номеру чертежа, а где его нет — по группе с диаметром. Это ориентир рынка, а не наша цена.</t>
        </is>
      </c>
    </row>
    <row r="116" ht="28" customHeight="1">
      <c r="A116" s="15" t="inlineStr">
        <is>
          <t>— «Лом» — цена приемки за эту массу. Абсолютный минимум: ниже продавать незачем, проще сдать.</t>
        </is>
      </c>
    </row>
    <row r="117" ht="28" customHeight="1">
      <c r="A117" s="15" t="inlineStr">
        <is>
          <t>— Заполненную желтую колонку переносим в приложение № 4 и подписываем. До этого по пункту 3.5 товар проданным не считается, хотя физически он уже у Покупателя.</t>
        </is>
      </c>
    </row>
  </sheetData>
  <autoFilter ref="A4:P109"/>
  <mergeCells count="9">
    <mergeCell ref="A5:P5"/>
    <mergeCell ref="A115:P115"/>
    <mergeCell ref="A117:P117"/>
    <mergeCell ref="A89:P89"/>
    <mergeCell ref="A116:P116"/>
    <mergeCell ref="A106:P106"/>
    <mergeCell ref="A114:P114"/>
    <mergeCell ref="A100:P100"/>
    <mergeCell ref="A113:P11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2026-10-28T09:04:00Z</dcterms:created>
  <dcterms:modified xmlns:dcterms="http://purl.org/dc/terms/" xmlns:xsi="http://www.w3.org/2001/XMLSchema-instance" xsi:type="dcterms:W3CDTF">2026-10-28T09:04:00Z</dcterms:modified>
</cp:coreProperties>
</file>
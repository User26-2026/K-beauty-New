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грузка" sheetId="1" state="visible" r:id="rId1"/>
    <sheet name="Итоги" sheetId="2" state="visible" r:id="rId2"/>
    <sheet name="Как заполнять" sheetId="3" state="visible" r:id="rId3"/>
  </sheets>
  <definedNames>
    <definedName name="_xlnm._FilterDatabase" localSheetId="0" hidden="1">'Отгрузка'!$A$16:$V$316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AF3E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3" fontId="0" fillId="2" borderId="1" pivotButton="0" quotePrefix="0" xfId="0"/>
    <xf numFmtId="0" fontId="5" fillId="0" borderId="0" pivotButton="0" quotePrefix="0" xfId="0"/>
    <xf numFmtId="3" fontId="5" fillId="3" borderId="1" pivotButton="0" quotePrefix="0" xfId="0"/>
    <xf numFmtId="0" fontId="4" fillId="0" borderId="0" pivotButton="0" quotePrefix="0" xfId="0"/>
    <xf numFmtId="4" fontId="5" fillId="3" borderId="1" pivotButton="0" quotePrefix="0" xfId="0"/>
    <xf numFmtId="0" fontId="6" fillId="4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/>
    </xf>
    <xf numFmtId="0" fontId="7" fillId="2" borderId="1" applyAlignment="1" pivotButton="0" quotePrefix="0" xfId="0">
      <alignment vertical="top"/>
    </xf>
    <xf numFmtId="0" fontId="7" fillId="2" borderId="1" applyAlignment="1" pivotButton="0" quotePrefix="0" xfId="0">
      <alignment vertical="top" wrapText="1"/>
    </xf>
    <xf numFmtId="3" fontId="7" fillId="2" borderId="1" applyAlignment="1" pivotButton="0" quotePrefix="0" xfId="0">
      <alignment vertical="top"/>
    </xf>
    <xf numFmtId="164" fontId="7" fillId="3" borderId="1" applyAlignment="1" pivotButton="0" quotePrefix="0" xfId="0">
      <alignment vertical="top"/>
    </xf>
    <xf numFmtId="4" fontId="7" fillId="2" borderId="1" applyAlignment="1" pivotButton="0" quotePrefix="0" xfId="0">
      <alignment vertical="top"/>
    </xf>
    <xf numFmtId="3" fontId="7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4" fillId="2" borderId="1" applyAlignment="1" pivotButton="0" quotePrefix="0" xfId="0">
      <alignment vertical="top" wrapText="1"/>
    </xf>
    <xf numFmtId="3" fontId="4" fillId="2" borderId="1" applyAlignment="1" pivotButton="0" quotePrefix="0" xfId="0">
      <alignment vertical="top"/>
    </xf>
    <xf numFmtId="164" fontId="4" fillId="3" borderId="1" applyAlignment="1" pivotButton="0" quotePrefix="0" xfId="0">
      <alignment vertical="top"/>
    </xf>
    <xf numFmtId="4" fontId="4" fillId="2" borderId="1" applyAlignment="1" pivotButton="0" quotePrefix="0" xfId="0">
      <alignment vertical="top"/>
    </xf>
    <xf numFmtId="3" fontId="4" fillId="3" borderId="1" applyAlignment="1" pivotButton="0" quotePrefix="0" xfId="0">
      <alignment vertical="top"/>
    </xf>
    <xf numFmtId="3" fontId="5" fillId="0" borderId="1" pivotButton="0" quotePrefix="0" xfId="0"/>
    <xf numFmtId="3" fontId="4" fillId="0" borderId="1" pivotButton="0" quotePrefix="0" xfId="0"/>
    <xf numFmtId="165" fontId="5" fillId="0" borderId="1" pivotButton="0" quotePrefix="0" xfId="0"/>
    <xf numFmtId="4" fontId="5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7"/>
  <sheetViews>
    <sheetView workbookViewId="0">
      <pane xSplit="6" ySplit="16" topLeftCell="G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6" customWidth="1" min="3" max="3"/>
    <col width="24" customWidth="1" min="4" max="4"/>
    <col width="15" customWidth="1" min="5" max="5"/>
    <col width="16" customWidth="1" min="6" max="6"/>
    <col width="46" customWidth="1" min="7" max="7"/>
    <col width="9" customWidth="1" min="8" max="8"/>
    <col width="13" customWidth="1" min="9" max="9"/>
    <col width="11" customWidth="1" min="10" max="10"/>
    <col width="8" customWidth="1" min="11" max="11"/>
    <col width="12" customWidth="1" min="12" max="12"/>
    <col width="12" customWidth="1" min="13" max="13"/>
    <col width="13" customWidth="1" min="14" max="14"/>
    <col width="15" customWidth="1" min="15" max="15"/>
    <col width="15" customWidth="1" min="16" max="16"/>
    <col width="13" customWidth="1" min="17" max="17"/>
    <col width="14" customWidth="1" min="18" max="18"/>
    <col width="14" customWidth="1" min="19" max="19"/>
    <col width="15" customWidth="1" min="20" max="20"/>
    <col width="9" customWidth="1" min="21" max="21"/>
    <col width="28" customWidth="1" min="22" max="22"/>
  </cols>
  <sheetData>
    <row r="1">
      <c r="A1" s="1" t="inlineStr">
        <is>
          <t>Отгрузка: что отправили и почем это обошлось</t>
        </is>
      </c>
    </row>
    <row r="2">
      <c r="A2" s="2" t="inlineStr">
        <is>
          <t>Желтое вписываем сами, зеленое считается. Две первые строки — реальные отгрузки от 24.09.2026 как пример, сотрите их перед работой.</t>
        </is>
      </c>
    </row>
    <row r="4">
      <c r="A4" s="3" t="inlineStr">
        <is>
          <t>Расходы по расписке</t>
        </is>
      </c>
    </row>
    <row r="5">
      <c r="A5" s="4" t="inlineStr">
        <is>
          <t>Организация перевозки</t>
        </is>
      </c>
      <c r="B5" s="5" t="n"/>
    </row>
    <row r="6">
      <c r="A6" s="4" t="inlineStr">
        <is>
          <t>Перевозка</t>
        </is>
      </c>
      <c r="B6" s="5" t="n"/>
    </row>
    <row r="7">
      <c r="A7" s="4" t="inlineStr">
        <is>
          <t>Упаковка, доп. сервис отправителю</t>
        </is>
      </c>
      <c r="B7" s="5" t="n"/>
    </row>
    <row r="8">
      <c r="A8" s="4" t="inlineStr">
        <is>
          <t>Забор от отправителя</t>
        </is>
      </c>
      <c r="B8" s="5" t="n"/>
    </row>
    <row r="9">
      <c r="A9" s="4" t="inlineStr">
        <is>
          <t>Доставка до получателя</t>
        </is>
      </c>
      <c r="B9" s="5" t="n"/>
    </row>
    <row r="10">
      <c r="A10" s="4" t="inlineStr">
        <is>
          <t>Страхование</t>
        </is>
      </c>
      <c r="B10" s="5" t="n"/>
    </row>
    <row r="11">
      <c r="A11" s="4" t="inlineStr">
        <is>
          <t>Оповещения</t>
        </is>
      </c>
      <c r="B11" s="5" t="n"/>
    </row>
    <row r="12">
      <c r="A12" s="6" t="inlineStr">
        <is>
          <t>Все расходы на доставку</t>
        </is>
      </c>
      <c r="B12" s="7">
        <f>SUM(B5:B11)</f>
        <v/>
      </c>
    </row>
    <row r="13">
      <c r="A13" s="8" t="inlineStr">
        <is>
          <t>Общий вес груза, кг</t>
        </is>
      </c>
      <c r="B13" s="5" t="n"/>
    </row>
    <row r="14">
      <c r="A14" s="6" t="inlineStr">
        <is>
          <t>Доставка за килограмм, руб</t>
        </is>
      </c>
      <c r="B14" s="9">
        <f>IFERROR(B12/B13,0)</f>
        <v/>
      </c>
      <c r="C14" s="2" t="inlineStr">
        <is>
          <t>по факту 24.09.2026 вышло 81 руб за кг (Керчь 76, Санкт-Петербург 105). Умножьте на вес штуки — получится доставка за штуку</t>
        </is>
      </c>
    </row>
    <row r="16" ht="44" customHeight="1">
      <c r="A16" s="10" t="inlineStr">
        <is>
          <t>№</t>
        </is>
      </c>
      <c r="B16" s="10" t="inlineStr">
        <is>
          <t>Дата отгрузки</t>
        </is>
      </c>
      <c r="C16" s="10" t="inlineStr">
        <is>
          <t>Куда</t>
        </is>
      </c>
      <c r="D16" s="10" t="inlineStr">
        <is>
          <t>Покупатель</t>
        </is>
      </c>
      <c r="E16" s="10" t="inlineStr">
        <is>
          <t>Чем отправлено</t>
        </is>
      </c>
      <c r="F16" s="10" t="inlineStr">
        <is>
          <t>Документ, расписка</t>
        </is>
      </c>
      <c r="G16" s="10" t="inlineStr">
        <is>
          <t>Наименование товара</t>
        </is>
      </c>
      <c r="H16" s="10" t="inlineStr">
        <is>
          <t>Ед. изм.</t>
        </is>
      </c>
      <c r="I16" s="10" t="inlineStr">
        <is>
          <t>Новое или б/у</t>
        </is>
      </c>
      <c r="J16" s="10" t="inlineStr">
        <is>
          <t>Количество</t>
        </is>
      </c>
      <c r="K16" s="10" t="inlineStr">
        <is>
          <t>Мест</t>
        </is>
      </c>
      <c r="L16" s="10" t="inlineStr">
        <is>
          <t>Вес всего, кг</t>
        </is>
      </c>
      <c r="M16" s="10" t="inlineStr">
        <is>
          <t>Вес за шт, кг</t>
        </is>
      </c>
      <c r="N16" s="10" t="inlineStr">
        <is>
          <t>Цена за шт, руб</t>
        </is>
      </c>
      <c r="O16" s="10" t="inlineStr">
        <is>
          <t>Стоимость доставки за шт, руб</t>
        </is>
      </c>
      <c r="P16" s="10" t="inlineStr">
        <is>
          <t>Цена с доставкой за шт, руб</t>
        </is>
      </c>
      <c r="Q16" s="10" t="inlineStr">
        <is>
          <t>Сумма, руб</t>
        </is>
      </c>
      <c r="R16" s="10" t="inlineStr">
        <is>
          <t>Доставка всего, руб</t>
        </is>
      </c>
      <c r="S16" s="10" t="inlineStr">
        <is>
          <t>Итого по строке, руб</t>
        </is>
      </c>
      <c r="T16" s="10" t="inlineStr">
        <is>
          <t>Объявленная ценность, руб</t>
        </is>
      </c>
      <c r="U16" s="10" t="inlineStr">
        <is>
          <t>№ места</t>
        </is>
      </c>
      <c r="V16" s="10" t="inlineStr">
        <is>
          <t>Примечание</t>
        </is>
      </c>
    </row>
    <row r="17">
      <c r="A17" s="11" t="n">
        <v>1</v>
      </c>
      <c r="B17" s="12" t="inlineStr">
        <is>
          <t>24.09.2026</t>
        </is>
      </c>
      <c r="C17" s="12" t="inlineStr">
        <is>
          <t>Керчь</t>
        </is>
      </c>
      <c r="D17" s="12" t="inlineStr">
        <is>
          <t>Антон Бурыкин, ООО ПКФ «АРМА»</t>
        </is>
      </c>
      <c r="E17" s="12" t="inlineStr">
        <is>
          <t>ТК Энергия</t>
        </is>
      </c>
      <c r="F17" s="12" t="inlineStr">
        <is>
          <t>2501-5036567</t>
        </is>
      </c>
      <c r="G17" s="13" t="inlineStr">
        <is>
          <t>Клинкет Ду150, 1 фланец</t>
        </is>
      </c>
      <c r="H17" s="12" t="inlineStr">
        <is>
          <t>шт</t>
        </is>
      </c>
      <c r="I17" s="12" t="inlineStr">
        <is>
          <t>Новое</t>
        </is>
      </c>
      <c r="J17" s="12" t="n">
        <v>45</v>
      </c>
      <c r="K17" s="12" t="n">
        <v>3</v>
      </c>
      <c r="L17" s="14" t="n">
        <v>1800</v>
      </c>
      <c r="M17" s="15">
        <f>IF(J17="","",L17/J17)</f>
        <v/>
      </c>
      <c r="N17" s="14" t="n"/>
      <c r="O17" s="16" t="n">
        <v>3020.27</v>
      </c>
      <c r="P17" s="17">
        <f>IF(N17="","",N17+O17)</f>
        <v/>
      </c>
      <c r="Q17" s="17">
        <f>IF(N17="","",J17*N17)</f>
        <v/>
      </c>
      <c r="R17" s="17">
        <f>IF(O17="","",J17*O17)</f>
        <v/>
      </c>
      <c r="S17" s="17">
        <f>IF(N17="","",Q17+R17)</f>
        <v/>
      </c>
      <c r="T17" s="14" t="n">
        <v>299000</v>
      </c>
      <c r="U17" s="12" t="n"/>
      <c r="V17" s="13" t="inlineStr">
        <is>
          <t>доставка вышла 76 руб за кг</t>
        </is>
      </c>
    </row>
    <row r="18">
      <c r="A18" s="11" t="n">
        <v>2</v>
      </c>
      <c r="B18" s="12" t="inlineStr">
        <is>
          <t>24.09.2026</t>
        </is>
      </c>
      <c r="C18" s="12" t="inlineStr">
        <is>
          <t>Санкт-Петербург</t>
        </is>
      </c>
      <c r="D18" s="12" t="inlineStr">
        <is>
          <t>Антон Бурыкин, ООО ПКФ «АРМА»</t>
        </is>
      </c>
      <c r="E18" s="12" t="inlineStr">
        <is>
          <t>ТК Энергия</t>
        </is>
      </c>
      <c r="F18" s="12" t="inlineStr">
        <is>
          <t>2501-5036592</t>
        </is>
      </c>
      <c r="G18" s="13" t="inlineStr">
        <is>
          <t>Фильтр забортной воды Ду300</t>
        </is>
      </c>
      <c r="H18" s="12" t="inlineStr">
        <is>
          <t>шт</t>
        </is>
      </c>
      <c r="I18" s="12" t="inlineStr">
        <is>
          <t>Б/у</t>
        </is>
      </c>
      <c r="J18" s="12" t="n">
        <v>2</v>
      </c>
      <c r="K18" s="12" t="n">
        <v>2</v>
      </c>
      <c r="L18" s="14" t="n">
        <v>450</v>
      </c>
      <c r="M18" s="15">
        <f>IF(J18="","",L18/J18)</f>
        <v/>
      </c>
      <c r="N18" s="14" t="n"/>
      <c r="O18" s="16" t="n">
        <v>23612.5</v>
      </c>
      <c r="P18" s="17">
        <f>IF(N18="","",N18+O18)</f>
        <v/>
      </c>
      <c r="Q18" s="17">
        <f>IF(N18="","",J18*N18)</f>
        <v/>
      </c>
      <c r="R18" s="17">
        <f>IF(O18="","",J18*O18)</f>
        <v/>
      </c>
      <c r="S18" s="17">
        <f>IF(N18="","",Q18+R18)</f>
        <v/>
      </c>
      <c r="T18" s="14" t="n">
        <v>600000</v>
      </c>
      <c r="U18" s="12" t="n"/>
      <c r="V18" s="13" t="inlineStr">
        <is>
          <t>доставка вышла 105 руб за кг</t>
        </is>
      </c>
    </row>
    <row r="19">
      <c r="A19" s="18" t="n">
        <v>3</v>
      </c>
      <c r="B19" s="19" t="n"/>
      <c r="C19" s="19" t="n"/>
      <c r="D19" s="19" t="n"/>
      <c r="E19" s="19" t="n"/>
      <c r="F19" s="19" t="n"/>
      <c r="G19" s="20" t="n"/>
      <c r="H19" s="19" t="n"/>
      <c r="I19" s="19" t="n"/>
      <c r="J19" s="19" t="n"/>
      <c r="K19" s="19" t="n"/>
      <c r="L19" s="21" t="n"/>
      <c r="M19" s="22">
        <f>IF(J19="","",L19/J19)</f>
        <v/>
      </c>
      <c r="N19" s="21" t="n"/>
      <c r="O19" s="23" t="n"/>
      <c r="P19" s="24">
        <f>IF(N19="","",N19+O19)</f>
        <v/>
      </c>
      <c r="Q19" s="24">
        <f>IF(N19="","",J19*N19)</f>
        <v/>
      </c>
      <c r="R19" s="24">
        <f>IF(O19="","",J19*O19)</f>
        <v/>
      </c>
      <c r="S19" s="24">
        <f>IF(N19="","",Q19+R19)</f>
        <v/>
      </c>
      <c r="T19" s="21" t="n"/>
      <c r="U19" s="19" t="n"/>
      <c r="V19" s="20" t="n"/>
    </row>
    <row r="20">
      <c r="A20" s="18" t="n">
        <v>4</v>
      </c>
      <c r="B20" s="19" t="n"/>
      <c r="C20" s="19" t="n"/>
      <c r="D20" s="19" t="n"/>
      <c r="E20" s="19" t="n"/>
      <c r="F20" s="19" t="n"/>
      <c r="G20" s="20" t="n"/>
      <c r="H20" s="19" t="n"/>
      <c r="I20" s="19" t="n"/>
      <c r="J20" s="19" t="n"/>
      <c r="K20" s="19" t="n"/>
      <c r="L20" s="21" t="n"/>
      <c r="M20" s="22">
        <f>IF(J20="","",L20/J20)</f>
        <v/>
      </c>
      <c r="N20" s="21" t="n"/>
      <c r="O20" s="23" t="n"/>
      <c r="P20" s="24">
        <f>IF(N20="","",N20+O20)</f>
        <v/>
      </c>
      <c r="Q20" s="24">
        <f>IF(N20="","",J20*N20)</f>
        <v/>
      </c>
      <c r="R20" s="24">
        <f>IF(O20="","",J20*O20)</f>
        <v/>
      </c>
      <c r="S20" s="24">
        <f>IF(N20="","",Q20+R20)</f>
        <v/>
      </c>
      <c r="T20" s="21" t="n"/>
      <c r="U20" s="19" t="n"/>
      <c r="V20" s="20" t="n"/>
    </row>
    <row r="21">
      <c r="A21" s="18" t="n">
        <v>5</v>
      </c>
      <c r="B21" s="19" t="n"/>
      <c r="C21" s="19" t="n"/>
      <c r="D21" s="19" t="n"/>
      <c r="E21" s="19" t="n"/>
      <c r="F21" s="19" t="n"/>
      <c r="G21" s="20" t="n"/>
      <c r="H21" s="19" t="n"/>
      <c r="I21" s="19" t="n"/>
      <c r="J21" s="19" t="n"/>
      <c r="K21" s="19" t="n"/>
      <c r="L21" s="21" t="n"/>
      <c r="M21" s="22">
        <f>IF(J21="","",L21/J21)</f>
        <v/>
      </c>
      <c r="N21" s="21" t="n"/>
      <c r="O21" s="23" t="n"/>
      <c r="P21" s="24">
        <f>IF(N21="","",N21+O21)</f>
        <v/>
      </c>
      <c r="Q21" s="24">
        <f>IF(N21="","",J21*N21)</f>
        <v/>
      </c>
      <c r="R21" s="24">
        <f>IF(O21="","",J21*O21)</f>
        <v/>
      </c>
      <c r="S21" s="24">
        <f>IF(N21="","",Q21+R21)</f>
        <v/>
      </c>
      <c r="T21" s="21" t="n"/>
      <c r="U21" s="19" t="n"/>
      <c r="V21" s="20" t="n"/>
    </row>
    <row r="22">
      <c r="A22" s="18" t="n">
        <v>6</v>
      </c>
      <c r="B22" s="19" t="n"/>
      <c r="C22" s="19" t="n"/>
      <c r="D22" s="19" t="n"/>
      <c r="E22" s="19" t="n"/>
      <c r="F22" s="19" t="n"/>
      <c r="G22" s="20" t="n"/>
      <c r="H22" s="19" t="n"/>
      <c r="I22" s="19" t="n"/>
      <c r="J22" s="19" t="n"/>
      <c r="K22" s="19" t="n"/>
      <c r="L22" s="21" t="n"/>
      <c r="M22" s="22">
        <f>IF(J22="","",L22/J22)</f>
        <v/>
      </c>
      <c r="N22" s="21" t="n"/>
      <c r="O22" s="23" t="n"/>
      <c r="P22" s="24">
        <f>IF(N22="","",N22+O22)</f>
        <v/>
      </c>
      <c r="Q22" s="24">
        <f>IF(N22="","",J22*N22)</f>
        <v/>
      </c>
      <c r="R22" s="24">
        <f>IF(O22="","",J22*O22)</f>
        <v/>
      </c>
      <c r="S22" s="24">
        <f>IF(N22="","",Q22+R22)</f>
        <v/>
      </c>
      <c r="T22" s="21" t="n"/>
      <c r="U22" s="19" t="n"/>
      <c r="V22" s="20" t="n"/>
    </row>
    <row r="23">
      <c r="A23" s="18" t="n">
        <v>7</v>
      </c>
      <c r="B23" s="19" t="n"/>
      <c r="C23" s="19" t="n"/>
      <c r="D23" s="19" t="n"/>
      <c r="E23" s="19" t="n"/>
      <c r="F23" s="19" t="n"/>
      <c r="G23" s="20" t="n"/>
      <c r="H23" s="19" t="n"/>
      <c r="I23" s="19" t="n"/>
      <c r="J23" s="19" t="n"/>
      <c r="K23" s="19" t="n"/>
      <c r="L23" s="21" t="n"/>
      <c r="M23" s="22">
        <f>IF(J23="","",L23/J23)</f>
        <v/>
      </c>
      <c r="N23" s="21" t="n"/>
      <c r="O23" s="23" t="n"/>
      <c r="P23" s="24">
        <f>IF(N23="","",N23+O23)</f>
        <v/>
      </c>
      <c r="Q23" s="24">
        <f>IF(N23="","",J23*N23)</f>
        <v/>
      </c>
      <c r="R23" s="24">
        <f>IF(O23="","",J23*O23)</f>
        <v/>
      </c>
      <c r="S23" s="24">
        <f>IF(N23="","",Q23+R23)</f>
        <v/>
      </c>
      <c r="T23" s="21" t="n"/>
      <c r="U23" s="19" t="n"/>
      <c r="V23" s="20" t="n"/>
    </row>
    <row r="24">
      <c r="A24" s="18" t="n">
        <v>8</v>
      </c>
      <c r="B24" s="19" t="n"/>
      <c r="C24" s="19" t="n"/>
      <c r="D24" s="19" t="n"/>
      <c r="E24" s="19" t="n"/>
      <c r="F24" s="19" t="n"/>
      <c r="G24" s="20" t="n"/>
      <c r="H24" s="19" t="n"/>
      <c r="I24" s="19" t="n"/>
      <c r="J24" s="19" t="n"/>
      <c r="K24" s="19" t="n"/>
      <c r="L24" s="21" t="n"/>
      <c r="M24" s="22">
        <f>IF(J24="","",L24/J24)</f>
        <v/>
      </c>
      <c r="N24" s="21" t="n"/>
      <c r="O24" s="23" t="n"/>
      <c r="P24" s="24">
        <f>IF(N24="","",N24+O24)</f>
        <v/>
      </c>
      <c r="Q24" s="24">
        <f>IF(N24="","",J24*N24)</f>
        <v/>
      </c>
      <c r="R24" s="24">
        <f>IF(O24="","",J24*O24)</f>
        <v/>
      </c>
      <c r="S24" s="24">
        <f>IF(N24="","",Q24+R24)</f>
        <v/>
      </c>
      <c r="T24" s="21" t="n"/>
      <c r="U24" s="19" t="n"/>
      <c r="V24" s="20" t="n"/>
    </row>
    <row r="25">
      <c r="A25" s="18" t="n">
        <v>9</v>
      </c>
      <c r="B25" s="19" t="n"/>
      <c r="C25" s="19" t="n"/>
      <c r="D25" s="19" t="n"/>
      <c r="E25" s="19" t="n"/>
      <c r="F25" s="19" t="n"/>
      <c r="G25" s="20" t="n"/>
      <c r="H25" s="19" t="n"/>
      <c r="I25" s="19" t="n"/>
      <c r="J25" s="19" t="n"/>
      <c r="K25" s="19" t="n"/>
      <c r="L25" s="21" t="n"/>
      <c r="M25" s="22">
        <f>IF(J25="","",L25/J25)</f>
        <v/>
      </c>
      <c r="N25" s="21" t="n"/>
      <c r="O25" s="23" t="n"/>
      <c r="P25" s="24">
        <f>IF(N25="","",N25+O25)</f>
        <v/>
      </c>
      <c r="Q25" s="24">
        <f>IF(N25="","",J25*N25)</f>
        <v/>
      </c>
      <c r="R25" s="24">
        <f>IF(O25="","",J25*O25)</f>
        <v/>
      </c>
      <c r="S25" s="24">
        <f>IF(N25="","",Q25+R25)</f>
        <v/>
      </c>
      <c r="T25" s="21" t="n"/>
      <c r="U25" s="19" t="n"/>
      <c r="V25" s="20" t="n"/>
    </row>
    <row r="26">
      <c r="A26" s="18" t="n">
        <v>10</v>
      </c>
      <c r="B26" s="19" t="n"/>
      <c r="C26" s="19" t="n"/>
      <c r="D26" s="19" t="n"/>
      <c r="E26" s="19" t="n"/>
      <c r="F26" s="19" t="n"/>
      <c r="G26" s="20" t="n"/>
      <c r="H26" s="19" t="n"/>
      <c r="I26" s="19" t="n"/>
      <c r="J26" s="19" t="n"/>
      <c r="K26" s="19" t="n"/>
      <c r="L26" s="21" t="n"/>
      <c r="M26" s="22">
        <f>IF(J26="","",L26/J26)</f>
        <v/>
      </c>
      <c r="N26" s="21" t="n"/>
      <c r="O26" s="23" t="n"/>
      <c r="P26" s="24">
        <f>IF(N26="","",N26+O26)</f>
        <v/>
      </c>
      <c r="Q26" s="24">
        <f>IF(N26="","",J26*N26)</f>
        <v/>
      </c>
      <c r="R26" s="24">
        <f>IF(O26="","",J26*O26)</f>
        <v/>
      </c>
      <c r="S26" s="24">
        <f>IF(N26="","",Q26+R26)</f>
        <v/>
      </c>
      <c r="T26" s="21" t="n"/>
      <c r="U26" s="19" t="n"/>
      <c r="V26" s="20" t="n"/>
    </row>
    <row r="27">
      <c r="A27" s="18" t="n">
        <v>11</v>
      </c>
      <c r="B27" s="19" t="n"/>
      <c r="C27" s="19" t="n"/>
      <c r="D27" s="19" t="n"/>
      <c r="E27" s="19" t="n"/>
      <c r="F27" s="19" t="n"/>
      <c r="G27" s="20" t="n"/>
      <c r="H27" s="19" t="n"/>
      <c r="I27" s="19" t="n"/>
      <c r="J27" s="19" t="n"/>
      <c r="K27" s="19" t="n"/>
      <c r="L27" s="21" t="n"/>
      <c r="M27" s="22">
        <f>IF(J27="","",L27/J27)</f>
        <v/>
      </c>
      <c r="N27" s="21" t="n"/>
      <c r="O27" s="23" t="n"/>
      <c r="P27" s="24">
        <f>IF(N27="","",N27+O27)</f>
        <v/>
      </c>
      <c r="Q27" s="24">
        <f>IF(N27="","",J27*N27)</f>
        <v/>
      </c>
      <c r="R27" s="24">
        <f>IF(O27="","",J27*O27)</f>
        <v/>
      </c>
      <c r="S27" s="24">
        <f>IF(N27="","",Q27+R27)</f>
        <v/>
      </c>
      <c r="T27" s="21" t="n"/>
      <c r="U27" s="19" t="n"/>
      <c r="V27" s="20" t="n"/>
    </row>
    <row r="28">
      <c r="A28" s="18" t="n">
        <v>12</v>
      </c>
      <c r="B28" s="19" t="n"/>
      <c r="C28" s="19" t="n"/>
      <c r="D28" s="19" t="n"/>
      <c r="E28" s="19" t="n"/>
      <c r="F28" s="19" t="n"/>
      <c r="G28" s="20" t="n"/>
      <c r="H28" s="19" t="n"/>
      <c r="I28" s="19" t="n"/>
      <c r="J28" s="19" t="n"/>
      <c r="K28" s="19" t="n"/>
      <c r="L28" s="21" t="n"/>
      <c r="M28" s="22">
        <f>IF(J28="","",L28/J28)</f>
        <v/>
      </c>
      <c r="N28" s="21" t="n"/>
      <c r="O28" s="23" t="n"/>
      <c r="P28" s="24">
        <f>IF(N28="","",N28+O28)</f>
        <v/>
      </c>
      <c r="Q28" s="24">
        <f>IF(N28="","",J28*N28)</f>
        <v/>
      </c>
      <c r="R28" s="24">
        <f>IF(O28="","",J28*O28)</f>
        <v/>
      </c>
      <c r="S28" s="24">
        <f>IF(N28="","",Q28+R28)</f>
        <v/>
      </c>
      <c r="T28" s="21" t="n"/>
      <c r="U28" s="19" t="n"/>
      <c r="V28" s="20" t="n"/>
    </row>
    <row r="29">
      <c r="A29" s="18" t="n">
        <v>13</v>
      </c>
      <c r="B29" s="19" t="n"/>
      <c r="C29" s="19" t="n"/>
      <c r="D29" s="19" t="n"/>
      <c r="E29" s="19" t="n"/>
      <c r="F29" s="19" t="n"/>
      <c r="G29" s="20" t="n"/>
      <c r="H29" s="19" t="n"/>
      <c r="I29" s="19" t="n"/>
      <c r="J29" s="19" t="n"/>
      <c r="K29" s="19" t="n"/>
      <c r="L29" s="21" t="n"/>
      <c r="M29" s="22">
        <f>IF(J29="","",L29/J29)</f>
        <v/>
      </c>
      <c r="N29" s="21" t="n"/>
      <c r="O29" s="23" t="n"/>
      <c r="P29" s="24">
        <f>IF(N29="","",N29+O29)</f>
        <v/>
      </c>
      <c r="Q29" s="24">
        <f>IF(N29="","",J29*N29)</f>
        <v/>
      </c>
      <c r="R29" s="24">
        <f>IF(O29="","",J29*O29)</f>
        <v/>
      </c>
      <c r="S29" s="24">
        <f>IF(N29="","",Q29+R29)</f>
        <v/>
      </c>
      <c r="T29" s="21" t="n"/>
      <c r="U29" s="19" t="n"/>
      <c r="V29" s="20" t="n"/>
    </row>
    <row r="30">
      <c r="A30" s="18" t="n">
        <v>14</v>
      </c>
      <c r="B30" s="19" t="n"/>
      <c r="C30" s="19" t="n"/>
      <c r="D30" s="19" t="n"/>
      <c r="E30" s="19" t="n"/>
      <c r="F30" s="19" t="n"/>
      <c r="G30" s="20" t="n"/>
      <c r="H30" s="19" t="n"/>
      <c r="I30" s="19" t="n"/>
      <c r="J30" s="19" t="n"/>
      <c r="K30" s="19" t="n"/>
      <c r="L30" s="21" t="n"/>
      <c r="M30" s="22">
        <f>IF(J30="","",L30/J30)</f>
        <v/>
      </c>
      <c r="N30" s="21" t="n"/>
      <c r="O30" s="23" t="n"/>
      <c r="P30" s="24">
        <f>IF(N30="","",N30+O30)</f>
        <v/>
      </c>
      <c r="Q30" s="24">
        <f>IF(N30="","",J30*N30)</f>
        <v/>
      </c>
      <c r="R30" s="24">
        <f>IF(O30="","",J30*O30)</f>
        <v/>
      </c>
      <c r="S30" s="24">
        <f>IF(N30="","",Q30+R30)</f>
        <v/>
      </c>
      <c r="T30" s="21" t="n"/>
      <c r="U30" s="19" t="n"/>
      <c r="V30" s="20" t="n"/>
    </row>
    <row r="31">
      <c r="A31" s="18" t="n">
        <v>15</v>
      </c>
      <c r="B31" s="19" t="n"/>
      <c r="C31" s="19" t="n"/>
      <c r="D31" s="19" t="n"/>
      <c r="E31" s="19" t="n"/>
      <c r="F31" s="19" t="n"/>
      <c r="G31" s="20" t="n"/>
      <c r="H31" s="19" t="n"/>
      <c r="I31" s="19" t="n"/>
      <c r="J31" s="19" t="n"/>
      <c r="K31" s="19" t="n"/>
      <c r="L31" s="21" t="n"/>
      <c r="M31" s="22">
        <f>IF(J31="","",L31/J31)</f>
        <v/>
      </c>
      <c r="N31" s="21" t="n"/>
      <c r="O31" s="23" t="n"/>
      <c r="P31" s="24">
        <f>IF(N31="","",N31+O31)</f>
        <v/>
      </c>
      <c r="Q31" s="24">
        <f>IF(N31="","",J31*N31)</f>
        <v/>
      </c>
      <c r="R31" s="24">
        <f>IF(O31="","",J31*O31)</f>
        <v/>
      </c>
      <c r="S31" s="24">
        <f>IF(N31="","",Q31+R31)</f>
        <v/>
      </c>
      <c r="T31" s="21" t="n"/>
      <c r="U31" s="19" t="n"/>
      <c r="V31" s="20" t="n"/>
    </row>
    <row r="32">
      <c r="A32" s="18" t="n">
        <v>16</v>
      </c>
      <c r="B32" s="19" t="n"/>
      <c r="C32" s="19" t="n"/>
      <c r="D32" s="19" t="n"/>
      <c r="E32" s="19" t="n"/>
      <c r="F32" s="19" t="n"/>
      <c r="G32" s="20" t="n"/>
      <c r="H32" s="19" t="n"/>
      <c r="I32" s="19" t="n"/>
      <c r="J32" s="19" t="n"/>
      <c r="K32" s="19" t="n"/>
      <c r="L32" s="21" t="n"/>
      <c r="M32" s="22">
        <f>IF(J32="","",L32/J32)</f>
        <v/>
      </c>
      <c r="N32" s="21" t="n"/>
      <c r="O32" s="23" t="n"/>
      <c r="P32" s="24">
        <f>IF(N32="","",N32+O32)</f>
        <v/>
      </c>
      <c r="Q32" s="24">
        <f>IF(N32="","",J32*N32)</f>
        <v/>
      </c>
      <c r="R32" s="24">
        <f>IF(O32="","",J32*O32)</f>
        <v/>
      </c>
      <c r="S32" s="24">
        <f>IF(N32="","",Q32+R32)</f>
        <v/>
      </c>
      <c r="T32" s="21" t="n"/>
      <c r="U32" s="19" t="n"/>
      <c r="V32" s="20" t="n"/>
    </row>
    <row r="33">
      <c r="A33" s="18" t="n">
        <v>17</v>
      </c>
      <c r="B33" s="19" t="n"/>
      <c r="C33" s="19" t="n"/>
      <c r="D33" s="19" t="n"/>
      <c r="E33" s="19" t="n"/>
      <c r="F33" s="19" t="n"/>
      <c r="G33" s="20" t="n"/>
      <c r="H33" s="19" t="n"/>
      <c r="I33" s="19" t="n"/>
      <c r="J33" s="19" t="n"/>
      <c r="K33" s="19" t="n"/>
      <c r="L33" s="21" t="n"/>
      <c r="M33" s="22">
        <f>IF(J33="","",L33/J33)</f>
        <v/>
      </c>
      <c r="N33" s="21" t="n"/>
      <c r="O33" s="23" t="n"/>
      <c r="P33" s="24">
        <f>IF(N33="","",N33+O33)</f>
        <v/>
      </c>
      <c r="Q33" s="24">
        <f>IF(N33="","",J33*N33)</f>
        <v/>
      </c>
      <c r="R33" s="24">
        <f>IF(O33="","",J33*O33)</f>
        <v/>
      </c>
      <c r="S33" s="24">
        <f>IF(N33="","",Q33+R33)</f>
        <v/>
      </c>
      <c r="T33" s="21" t="n"/>
      <c r="U33" s="19" t="n"/>
      <c r="V33" s="20" t="n"/>
    </row>
    <row r="34">
      <c r="A34" s="18" t="n">
        <v>18</v>
      </c>
      <c r="B34" s="19" t="n"/>
      <c r="C34" s="19" t="n"/>
      <c r="D34" s="19" t="n"/>
      <c r="E34" s="19" t="n"/>
      <c r="F34" s="19" t="n"/>
      <c r="G34" s="20" t="n"/>
      <c r="H34" s="19" t="n"/>
      <c r="I34" s="19" t="n"/>
      <c r="J34" s="19" t="n"/>
      <c r="K34" s="19" t="n"/>
      <c r="L34" s="21" t="n"/>
      <c r="M34" s="22">
        <f>IF(J34="","",L34/J34)</f>
        <v/>
      </c>
      <c r="N34" s="21" t="n"/>
      <c r="O34" s="23" t="n"/>
      <c r="P34" s="24">
        <f>IF(N34="","",N34+O34)</f>
        <v/>
      </c>
      <c r="Q34" s="24">
        <f>IF(N34="","",J34*N34)</f>
        <v/>
      </c>
      <c r="R34" s="24">
        <f>IF(O34="","",J34*O34)</f>
        <v/>
      </c>
      <c r="S34" s="24">
        <f>IF(N34="","",Q34+R34)</f>
        <v/>
      </c>
      <c r="T34" s="21" t="n"/>
      <c r="U34" s="19" t="n"/>
      <c r="V34" s="20" t="n"/>
    </row>
    <row r="35">
      <c r="A35" s="18" t="n">
        <v>19</v>
      </c>
      <c r="B35" s="19" t="n"/>
      <c r="C35" s="19" t="n"/>
      <c r="D35" s="19" t="n"/>
      <c r="E35" s="19" t="n"/>
      <c r="F35" s="19" t="n"/>
      <c r="G35" s="20" t="n"/>
      <c r="H35" s="19" t="n"/>
      <c r="I35" s="19" t="n"/>
      <c r="J35" s="19" t="n"/>
      <c r="K35" s="19" t="n"/>
      <c r="L35" s="21" t="n"/>
      <c r="M35" s="22">
        <f>IF(J35="","",L35/J35)</f>
        <v/>
      </c>
      <c r="N35" s="21" t="n"/>
      <c r="O35" s="23" t="n"/>
      <c r="P35" s="24">
        <f>IF(N35="","",N35+O35)</f>
        <v/>
      </c>
      <c r="Q35" s="24">
        <f>IF(N35="","",J35*N35)</f>
        <v/>
      </c>
      <c r="R35" s="24">
        <f>IF(O35="","",J35*O35)</f>
        <v/>
      </c>
      <c r="S35" s="24">
        <f>IF(N35="","",Q35+R35)</f>
        <v/>
      </c>
      <c r="T35" s="21" t="n"/>
      <c r="U35" s="19" t="n"/>
      <c r="V35" s="20" t="n"/>
    </row>
    <row r="36">
      <c r="A36" s="18" t="n">
        <v>20</v>
      </c>
      <c r="B36" s="19" t="n"/>
      <c r="C36" s="19" t="n"/>
      <c r="D36" s="19" t="n"/>
      <c r="E36" s="19" t="n"/>
      <c r="F36" s="19" t="n"/>
      <c r="G36" s="20" t="n"/>
      <c r="H36" s="19" t="n"/>
      <c r="I36" s="19" t="n"/>
      <c r="J36" s="19" t="n"/>
      <c r="K36" s="19" t="n"/>
      <c r="L36" s="21" t="n"/>
      <c r="M36" s="22">
        <f>IF(J36="","",L36/J36)</f>
        <v/>
      </c>
      <c r="N36" s="21" t="n"/>
      <c r="O36" s="23" t="n"/>
      <c r="P36" s="24">
        <f>IF(N36="","",N36+O36)</f>
        <v/>
      </c>
      <c r="Q36" s="24">
        <f>IF(N36="","",J36*N36)</f>
        <v/>
      </c>
      <c r="R36" s="24">
        <f>IF(O36="","",J36*O36)</f>
        <v/>
      </c>
      <c r="S36" s="24">
        <f>IF(N36="","",Q36+R36)</f>
        <v/>
      </c>
      <c r="T36" s="21" t="n"/>
      <c r="U36" s="19" t="n"/>
      <c r="V36" s="20" t="n"/>
    </row>
    <row r="37">
      <c r="A37" s="18" t="n">
        <v>21</v>
      </c>
      <c r="B37" s="19" t="n"/>
      <c r="C37" s="19" t="n"/>
      <c r="D37" s="19" t="n"/>
      <c r="E37" s="19" t="n"/>
      <c r="F37" s="19" t="n"/>
      <c r="G37" s="20" t="n"/>
      <c r="H37" s="19" t="n"/>
      <c r="I37" s="19" t="n"/>
      <c r="J37" s="19" t="n"/>
      <c r="K37" s="19" t="n"/>
      <c r="L37" s="21" t="n"/>
      <c r="M37" s="22">
        <f>IF(J37="","",L37/J37)</f>
        <v/>
      </c>
      <c r="N37" s="21" t="n"/>
      <c r="O37" s="23" t="n"/>
      <c r="P37" s="24">
        <f>IF(N37="","",N37+O37)</f>
        <v/>
      </c>
      <c r="Q37" s="24">
        <f>IF(N37="","",J37*N37)</f>
        <v/>
      </c>
      <c r="R37" s="24">
        <f>IF(O37="","",J37*O37)</f>
        <v/>
      </c>
      <c r="S37" s="24">
        <f>IF(N37="","",Q37+R37)</f>
        <v/>
      </c>
      <c r="T37" s="21" t="n"/>
      <c r="U37" s="19" t="n"/>
      <c r="V37" s="20" t="n"/>
    </row>
    <row r="38">
      <c r="A38" s="18" t="n">
        <v>22</v>
      </c>
      <c r="B38" s="19" t="n"/>
      <c r="C38" s="19" t="n"/>
      <c r="D38" s="19" t="n"/>
      <c r="E38" s="19" t="n"/>
      <c r="F38" s="19" t="n"/>
      <c r="G38" s="20" t="n"/>
      <c r="H38" s="19" t="n"/>
      <c r="I38" s="19" t="n"/>
      <c r="J38" s="19" t="n"/>
      <c r="K38" s="19" t="n"/>
      <c r="L38" s="21" t="n"/>
      <c r="M38" s="22">
        <f>IF(J38="","",L38/J38)</f>
        <v/>
      </c>
      <c r="N38" s="21" t="n"/>
      <c r="O38" s="23" t="n"/>
      <c r="P38" s="24">
        <f>IF(N38="","",N38+O38)</f>
        <v/>
      </c>
      <c r="Q38" s="24">
        <f>IF(N38="","",J38*N38)</f>
        <v/>
      </c>
      <c r="R38" s="24">
        <f>IF(O38="","",J38*O38)</f>
        <v/>
      </c>
      <c r="S38" s="24">
        <f>IF(N38="","",Q38+R38)</f>
        <v/>
      </c>
      <c r="T38" s="21" t="n"/>
      <c r="U38" s="19" t="n"/>
      <c r="V38" s="20" t="n"/>
    </row>
    <row r="39">
      <c r="A39" s="18" t="n">
        <v>23</v>
      </c>
      <c r="B39" s="19" t="n"/>
      <c r="C39" s="19" t="n"/>
      <c r="D39" s="19" t="n"/>
      <c r="E39" s="19" t="n"/>
      <c r="F39" s="19" t="n"/>
      <c r="G39" s="20" t="n"/>
      <c r="H39" s="19" t="n"/>
      <c r="I39" s="19" t="n"/>
      <c r="J39" s="19" t="n"/>
      <c r="K39" s="19" t="n"/>
      <c r="L39" s="21" t="n"/>
      <c r="M39" s="22">
        <f>IF(J39="","",L39/J39)</f>
        <v/>
      </c>
      <c r="N39" s="21" t="n"/>
      <c r="O39" s="23" t="n"/>
      <c r="P39" s="24">
        <f>IF(N39="","",N39+O39)</f>
        <v/>
      </c>
      <c r="Q39" s="24">
        <f>IF(N39="","",J39*N39)</f>
        <v/>
      </c>
      <c r="R39" s="24">
        <f>IF(O39="","",J39*O39)</f>
        <v/>
      </c>
      <c r="S39" s="24">
        <f>IF(N39="","",Q39+R39)</f>
        <v/>
      </c>
      <c r="T39" s="21" t="n"/>
      <c r="U39" s="19" t="n"/>
      <c r="V39" s="20" t="n"/>
    </row>
    <row r="40">
      <c r="A40" s="18" t="n">
        <v>24</v>
      </c>
      <c r="B40" s="19" t="n"/>
      <c r="C40" s="19" t="n"/>
      <c r="D40" s="19" t="n"/>
      <c r="E40" s="19" t="n"/>
      <c r="F40" s="19" t="n"/>
      <c r="G40" s="20" t="n"/>
      <c r="H40" s="19" t="n"/>
      <c r="I40" s="19" t="n"/>
      <c r="J40" s="19" t="n"/>
      <c r="K40" s="19" t="n"/>
      <c r="L40" s="21" t="n"/>
      <c r="M40" s="22">
        <f>IF(J40="","",L40/J40)</f>
        <v/>
      </c>
      <c r="N40" s="21" t="n"/>
      <c r="O40" s="23" t="n"/>
      <c r="P40" s="24">
        <f>IF(N40="","",N40+O40)</f>
        <v/>
      </c>
      <c r="Q40" s="24">
        <f>IF(N40="","",J40*N40)</f>
        <v/>
      </c>
      <c r="R40" s="24">
        <f>IF(O40="","",J40*O40)</f>
        <v/>
      </c>
      <c r="S40" s="24">
        <f>IF(N40="","",Q40+R40)</f>
        <v/>
      </c>
      <c r="T40" s="21" t="n"/>
      <c r="U40" s="19" t="n"/>
      <c r="V40" s="20" t="n"/>
    </row>
    <row r="41">
      <c r="A41" s="18" t="n">
        <v>25</v>
      </c>
      <c r="B41" s="19" t="n"/>
      <c r="C41" s="19" t="n"/>
      <c r="D41" s="19" t="n"/>
      <c r="E41" s="19" t="n"/>
      <c r="F41" s="19" t="n"/>
      <c r="G41" s="20" t="n"/>
      <c r="H41" s="19" t="n"/>
      <c r="I41" s="19" t="n"/>
      <c r="J41" s="19" t="n"/>
      <c r="K41" s="19" t="n"/>
      <c r="L41" s="21" t="n"/>
      <c r="M41" s="22">
        <f>IF(J41="","",L41/J41)</f>
        <v/>
      </c>
      <c r="N41" s="21" t="n"/>
      <c r="O41" s="23" t="n"/>
      <c r="P41" s="24">
        <f>IF(N41="","",N41+O41)</f>
        <v/>
      </c>
      <c r="Q41" s="24">
        <f>IF(N41="","",J41*N41)</f>
        <v/>
      </c>
      <c r="R41" s="24">
        <f>IF(O41="","",J41*O41)</f>
        <v/>
      </c>
      <c r="S41" s="24">
        <f>IF(N41="","",Q41+R41)</f>
        <v/>
      </c>
      <c r="T41" s="21" t="n"/>
      <c r="U41" s="19" t="n"/>
      <c r="V41" s="20" t="n"/>
    </row>
    <row r="42">
      <c r="A42" s="18" t="n">
        <v>26</v>
      </c>
      <c r="B42" s="19" t="n"/>
      <c r="C42" s="19" t="n"/>
      <c r="D42" s="19" t="n"/>
      <c r="E42" s="19" t="n"/>
      <c r="F42" s="19" t="n"/>
      <c r="G42" s="20" t="n"/>
      <c r="H42" s="19" t="n"/>
      <c r="I42" s="19" t="n"/>
      <c r="J42" s="19" t="n"/>
      <c r="K42" s="19" t="n"/>
      <c r="L42" s="21" t="n"/>
      <c r="M42" s="22">
        <f>IF(J42="","",L42/J42)</f>
        <v/>
      </c>
      <c r="N42" s="21" t="n"/>
      <c r="O42" s="23" t="n"/>
      <c r="P42" s="24">
        <f>IF(N42="","",N42+O42)</f>
        <v/>
      </c>
      <c r="Q42" s="24">
        <f>IF(N42="","",J42*N42)</f>
        <v/>
      </c>
      <c r="R42" s="24">
        <f>IF(O42="","",J42*O42)</f>
        <v/>
      </c>
      <c r="S42" s="24">
        <f>IF(N42="","",Q42+R42)</f>
        <v/>
      </c>
      <c r="T42" s="21" t="n"/>
      <c r="U42" s="19" t="n"/>
      <c r="V42" s="20" t="n"/>
    </row>
    <row r="43">
      <c r="A43" s="18" t="n">
        <v>27</v>
      </c>
      <c r="B43" s="19" t="n"/>
      <c r="C43" s="19" t="n"/>
      <c r="D43" s="19" t="n"/>
      <c r="E43" s="19" t="n"/>
      <c r="F43" s="19" t="n"/>
      <c r="G43" s="20" t="n"/>
      <c r="H43" s="19" t="n"/>
      <c r="I43" s="19" t="n"/>
      <c r="J43" s="19" t="n"/>
      <c r="K43" s="19" t="n"/>
      <c r="L43" s="21" t="n"/>
      <c r="M43" s="22">
        <f>IF(J43="","",L43/J43)</f>
        <v/>
      </c>
      <c r="N43" s="21" t="n"/>
      <c r="O43" s="23" t="n"/>
      <c r="P43" s="24">
        <f>IF(N43="","",N43+O43)</f>
        <v/>
      </c>
      <c r="Q43" s="24">
        <f>IF(N43="","",J43*N43)</f>
        <v/>
      </c>
      <c r="R43" s="24">
        <f>IF(O43="","",J43*O43)</f>
        <v/>
      </c>
      <c r="S43" s="24">
        <f>IF(N43="","",Q43+R43)</f>
        <v/>
      </c>
      <c r="T43" s="21" t="n"/>
      <c r="U43" s="19" t="n"/>
      <c r="V43" s="20" t="n"/>
    </row>
    <row r="44">
      <c r="A44" s="18" t="n">
        <v>28</v>
      </c>
      <c r="B44" s="19" t="n"/>
      <c r="C44" s="19" t="n"/>
      <c r="D44" s="19" t="n"/>
      <c r="E44" s="19" t="n"/>
      <c r="F44" s="19" t="n"/>
      <c r="G44" s="20" t="n"/>
      <c r="H44" s="19" t="n"/>
      <c r="I44" s="19" t="n"/>
      <c r="J44" s="19" t="n"/>
      <c r="K44" s="19" t="n"/>
      <c r="L44" s="21" t="n"/>
      <c r="M44" s="22">
        <f>IF(J44="","",L44/J44)</f>
        <v/>
      </c>
      <c r="N44" s="21" t="n"/>
      <c r="O44" s="23" t="n"/>
      <c r="P44" s="24">
        <f>IF(N44="","",N44+O44)</f>
        <v/>
      </c>
      <c r="Q44" s="24">
        <f>IF(N44="","",J44*N44)</f>
        <v/>
      </c>
      <c r="R44" s="24">
        <f>IF(O44="","",J44*O44)</f>
        <v/>
      </c>
      <c r="S44" s="24">
        <f>IF(N44="","",Q44+R44)</f>
        <v/>
      </c>
      <c r="T44" s="21" t="n"/>
      <c r="U44" s="19" t="n"/>
      <c r="V44" s="20" t="n"/>
    </row>
    <row r="45">
      <c r="A45" s="18" t="n">
        <v>29</v>
      </c>
      <c r="B45" s="19" t="n"/>
      <c r="C45" s="19" t="n"/>
      <c r="D45" s="19" t="n"/>
      <c r="E45" s="19" t="n"/>
      <c r="F45" s="19" t="n"/>
      <c r="G45" s="20" t="n"/>
      <c r="H45" s="19" t="n"/>
      <c r="I45" s="19" t="n"/>
      <c r="J45" s="19" t="n"/>
      <c r="K45" s="19" t="n"/>
      <c r="L45" s="21" t="n"/>
      <c r="M45" s="22">
        <f>IF(J45="","",L45/J45)</f>
        <v/>
      </c>
      <c r="N45" s="21" t="n"/>
      <c r="O45" s="23" t="n"/>
      <c r="P45" s="24">
        <f>IF(N45="","",N45+O45)</f>
        <v/>
      </c>
      <c r="Q45" s="24">
        <f>IF(N45="","",J45*N45)</f>
        <v/>
      </c>
      <c r="R45" s="24">
        <f>IF(O45="","",J45*O45)</f>
        <v/>
      </c>
      <c r="S45" s="24">
        <f>IF(N45="","",Q45+R45)</f>
        <v/>
      </c>
      <c r="T45" s="21" t="n"/>
      <c r="U45" s="19" t="n"/>
      <c r="V45" s="20" t="n"/>
    </row>
    <row r="46">
      <c r="A46" s="18" t="n">
        <v>30</v>
      </c>
      <c r="B46" s="19" t="n"/>
      <c r="C46" s="19" t="n"/>
      <c r="D46" s="19" t="n"/>
      <c r="E46" s="19" t="n"/>
      <c r="F46" s="19" t="n"/>
      <c r="G46" s="20" t="n"/>
      <c r="H46" s="19" t="n"/>
      <c r="I46" s="19" t="n"/>
      <c r="J46" s="19" t="n"/>
      <c r="K46" s="19" t="n"/>
      <c r="L46" s="21" t="n"/>
      <c r="M46" s="22">
        <f>IF(J46="","",L46/J46)</f>
        <v/>
      </c>
      <c r="N46" s="21" t="n"/>
      <c r="O46" s="23" t="n"/>
      <c r="P46" s="24">
        <f>IF(N46="","",N46+O46)</f>
        <v/>
      </c>
      <c r="Q46" s="24">
        <f>IF(N46="","",J46*N46)</f>
        <v/>
      </c>
      <c r="R46" s="24">
        <f>IF(O46="","",J46*O46)</f>
        <v/>
      </c>
      <c r="S46" s="24">
        <f>IF(N46="","",Q46+R46)</f>
        <v/>
      </c>
      <c r="T46" s="21" t="n"/>
      <c r="U46" s="19" t="n"/>
      <c r="V46" s="20" t="n"/>
    </row>
    <row r="47">
      <c r="A47" s="18" t="n">
        <v>31</v>
      </c>
      <c r="B47" s="19" t="n"/>
      <c r="C47" s="19" t="n"/>
      <c r="D47" s="19" t="n"/>
      <c r="E47" s="19" t="n"/>
      <c r="F47" s="19" t="n"/>
      <c r="G47" s="20" t="n"/>
      <c r="H47" s="19" t="n"/>
      <c r="I47" s="19" t="n"/>
      <c r="J47" s="19" t="n"/>
      <c r="K47" s="19" t="n"/>
      <c r="L47" s="21" t="n"/>
      <c r="M47" s="22">
        <f>IF(J47="","",L47/J47)</f>
        <v/>
      </c>
      <c r="N47" s="21" t="n"/>
      <c r="O47" s="23" t="n"/>
      <c r="P47" s="24">
        <f>IF(N47="","",N47+O47)</f>
        <v/>
      </c>
      <c r="Q47" s="24">
        <f>IF(N47="","",J47*N47)</f>
        <v/>
      </c>
      <c r="R47" s="24">
        <f>IF(O47="","",J47*O47)</f>
        <v/>
      </c>
      <c r="S47" s="24">
        <f>IF(N47="","",Q47+R47)</f>
        <v/>
      </c>
      <c r="T47" s="21" t="n"/>
      <c r="U47" s="19" t="n"/>
      <c r="V47" s="20" t="n"/>
    </row>
    <row r="48">
      <c r="A48" s="18" t="n">
        <v>32</v>
      </c>
      <c r="B48" s="19" t="n"/>
      <c r="C48" s="19" t="n"/>
      <c r="D48" s="19" t="n"/>
      <c r="E48" s="19" t="n"/>
      <c r="F48" s="19" t="n"/>
      <c r="G48" s="20" t="n"/>
      <c r="H48" s="19" t="n"/>
      <c r="I48" s="19" t="n"/>
      <c r="J48" s="19" t="n"/>
      <c r="K48" s="19" t="n"/>
      <c r="L48" s="21" t="n"/>
      <c r="M48" s="22">
        <f>IF(J48="","",L48/J48)</f>
        <v/>
      </c>
      <c r="N48" s="21" t="n"/>
      <c r="O48" s="23" t="n"/>
      <c r="P48" s="24">
        <f>IF(N48="","",N48+O48)</f>
        <v/>
      </c>
      <c r="Q48" s="24">
        <f>IF(N48="","",J48*N48)</f>
        <v/>
      </c>
      <c r="R48" s="24">
        <f>IF(O48="","",J48*O48)</f>
        <v/>
      </c>
      <c r="S48" s="24">
        <f>IF(N48="","",Q48+R48)</f>
        <v/>
      </c>
      <c r="T48" s="21" t="n"/>
      <c r="U48" s="19" t="n"/>
      <c r="V48" s="20" t="n"/>
    </row>
    <row r="49">
      <c r="A49" s="18" t="n">
        <v>33</v>
      </c>
      <c r="B49" s="19" t="n"/>
      <c r="C49" s="19" t="n"/>
      <c r="D49" s="19" t="n"/>
      <c r="E49" s="19" t="n"/>
      <c r="F49" s="19" t="n"/>
      <c r="G49" s="20" t="n"/>
      <c r="H49" s="19" t="n"/>
      <c r="I49" s="19" t="n"/>
      <c r="J49" s="19" t="n"/>
      <c r="K49" s="19" t="n"/>
      <c r="L49" s="21" t="n"/>
      <c r="M49" s="22">
        <f>IF(J49="","",L49/J49)</f>
        <v/>
      </c>
      <c r="N49" s="21" t="n"/>
      <c r="O49" s="23" t="n"/>
      <c r="P49" s="24">
        <f>IF(N49="","",N49+O49)</f>
        <v/>
      </c>
      <c r="Q49" s="24">
        <f>IF(N49="","",J49*N49)</f>
        <v/>
      </c>
      <c r="R49" s="24">
        <f>IF(O49="","",J49*O49)</f>
        <v/>
      </c>
      <c r="S49" s="24">
        <f>IF(N49="","",Q49+R49)</f>
        <v/>
      </c>
      <c r="T49" s="21" t="n"/>
      <c r="U49" s="19" t="n"/>
      <c r="V49" s="20" t="n"/>
    </row>
    <row r="50">
      <c r="A50" s="18" t="n">
        <v>34</v>
      </c>
      <c r="B50" s="19" t="n"/>
      <c r="C50" s="19" t="n"/>
      <c r="D50" s="19" t="n"/>
      <c r="E50" s="19" t="n"/>
      <c r="F50" s="19" t="n"/>
      <c r="G50" s="20" t="n"/>
      <c r="H50" s="19" t="n"/>
      <c r="I50" s="19" t="n"/>
      <c r="J50" s="19" t="n"/>
      <c r="K50" s="19" t="n"/>
      <c r="L50" s="21" t="n"/>
      <c r="M50" s="22">
        <f>IF(J50="","",L50/J50)</f>
        <v/>
      </c>
      <c r="N50" s="21" t="n"/>
      <c r="O50" s="23" t="n"/>
      <c r="P50" s="24">
        <f>IF(N50="","",N50+O50)</f>
        <v/>
      </c>
      <c r="Q50" s="24">
        <f>IF(N50="","",J50*N50)</f>
        <v/>
      </c>
      <c r="R50" s="24">
        <f>IF(O50="","",J50*O50)</f>
        <v/>
      </c>
      <c r="S50" s="24">
        <f>IF(N50="","",Q50+R50)</f>
        <v/>
      </c>
      <c r="T50" s="21" t="n"/>
      <c r="U50" s="19" t="n"/>
      <c r="V50" s="20" t="n"/>
    </row>
    <row r="51">
      <c r="A51" s="18" t="n">
        <v>35</v>
      </c>
      <c r="B51" s="19" t="n"/>
      <c r="C51" s="19" t="n"/>
      <c r="D51" s="19" t="n"/>
      <c r="E51" s="19" t="n"/>
      <c r="F51" s="19" t="n"/>
      <c r="G51" s="20" t="n"/>
      <c r="H51" s="19" t="n"/>
      <c r="I51" s="19" t="n"/>
      <c r="J51" s="19" t="n"/>
      <c r="K51" s="19" t="n"/>
      <c r="L51" s="21" t="n"/>
      <c r="M51" s="22">
        <f>IF(J51="","",L51/J51)</f>
        <v/>
      </c>
      <c r="N51" s="21" t="n"/>
      <c r="O51" s="23" t="n"/>
      <c r="P51" s="24">
        <f>IF(N51="","",N51+O51)</f>
        <v/>
      </c>
      <c r="Q51" s="24">
        <f>IF(N51="","",J51*N51)</f>
        <v/>
      </c>
      <c r="R51" s="24">
        <f>IF(O51="","",J51*O51)</f>
        <v/>
      </c>
      <c r="S51" s="24">
        <f>IF(N51="","",Q51+R51)</f>
        <v/>
      </c>
      <c r="T51" s="21" t="n"/>
      <c r="U51" s="19" t="n"/>
      <c r="V51" s="20" t="n"/>
    </row>
    <row r="52">
      <c r="A52" s="18" t="n">
        <v>36</v>
      </c>
      <c r="B52" s="19" t="n"/>
      <c r="C52" s="19" t="n"/>
      <c r="D52" s="19" t="n"/>
      <c r="E52" s="19" t="n"/>
      <c r="F52" s="19" t="n"/>
      <c r="G52" s="20" t="n"/>
      <c r="H52" s="19" t="n"/>
      <c r="I52" s="19" t="n"/>
      <c r="J52" s="19" t="n"/>
      <c r="K52" s="19" t="n"/>
      <c r="L52" s="21" t="n"/>
      <c r="M52" s="22">
        <f>IF(J52="","",L52/J52)</f>
        <v/>
      </c>
      <c r="N52" s="21" t="n"/>
      <c r="O52" s="23" t="n"/>
      <c r="P52" s="24">
        <f>IF(N52="","",N52+O52)</f>
        <v/>
      </c>
      <c r="Q52" s="24">
        <f>IF(N52="","",J52*N52)</f>
        <v/>
      </c>
      <c r="R52" s="24">
        <f>IF(O52="","",J52*O52)</f>
        <v/>
      </c>
      <c r="S52" s="24">
        <f>IF(N52="","",Q52+R52)</f>
        <v/>
      </c>
      <c r="T52" s="21" t="n"/>
      <c r="U52" s="19" t="n"/>
      <c r="V52" s="20" t="n"/>
    </row>
    <row r="53">
      <c r="A53" s="18" t="n">
        <v>37</v>
      </c>
      <c r="B53" s="19" t="n"/>
      <c r="C53" s="19" t="n"/>
      <c r="D53" s="19" t="n"/>
      <c r="E53" s="19" t="n"/>
      <c r="F53" s="19" t="n"/>
      <c r="G53" s="20" t="n"/>
      <c r="H53" s="19" t="n"/>
      <c r="I53" s="19" t="n"/>
      <c r="J53" s="19" t="n"/>
      <c r="K53" s="19" t="n"/>
      <c r="L53" s="21" t="n"/>
      <c r="M53" s="22">
        <f>IF(J53="","",L53/J53)</f>
        <v/>
      </c>
      <c r="N53" s="21" t="n"/>
      <c r="O53" s="23" t="n"/>
      <c r="P53" s="24">
        <f>IF(N53="","",N53+O53)</f>
        <v/>
      </c>
      <c r="Q53" s="24">
        <f>IF(N53="","",J53*N53)</f>
        <v/>
      </c>
      <c r="R53" s="24">
        <f>IF(O53="","",J53*O53)</f>
        <v/>
      </c>
      <c r="S53" s="24">
        <f>IF(N53="","",Q53+R53)</f>
        <v/>
      </c>
      <c r="T53" s="21" t="n"/>
      <c r="U53" s="19" t="n"/>
      <c r="V53" s="20" t="n"/>
    </row>
    <row r="54">
      <c r="A54" s="18" t="n">
        <v>38</v>
      </c>
      <c r="B54" s="19" t="n"/>
      <c r="C54" s="19" t="n"/>
      <c r="D54" s="19" t="n"/>
      <c r="E54" s="19" t="n"/>
      <c r="F54" s="19" t="n"/>
      <c r="G54" s="20" t="n"/>
      <c r="H54" s="19" t="n"/>
      <c r="I54" s="19" t="n"/>
      <c r="J54" s="19" t="n"/>
      <c r="K54" s="19" t="n"/>
      <c r="L54" s="21" t="n"/>
      <c r="M54" s="22">
        <f>IF(J54="","",L54/J54)</f>
        <v/>
      </c>
      <c r="N54" s="21" t="n"/>
      <c r="O54" s="23" t="n"/>
      <c r="P54" s="24">
        <f>IF(N54="","",N54+O54)</f>
        <v/>
      </c>
      <c r="Q54" s="24">
        <f>IF(N54="","",J54*N54)</f>
        <v/>
      </c>
      <c r="R54" s="24">
        <f>IF(O54="","",J54*O54)</f>
        <v/>
      </c>
      <c r="S54" s="24">
        <f>IF(N54="","",Q54+R54)</f>
        <v/>
      </c>
      <c r="T54" s="21" t="n"/>
      <c r="U54" s="19" t="n"/>
      <c r="V54" s="20" t="n"/>
    </row>
    <row r="55">
      <c r="A55" s="18" t="n">
        <v>39</v>
      </c>
      <c r="B55" s="19" t="n"/>
      <c r="C55" s="19" t="n"/>
      <c r="D55" s="19" t="n"/>
      <c r="E55" s="19" t="n"/>
      <c r="F55" s="19" t="n"/>
      <c r="G55" s="20" t="n"/>
      <c r="H55" s="19" t="n"/>
      <c r="I55" s="19" t="n"/>
      <c r="J55" s="19" t="n"/>
      <c r="K55" s="19" t="n"/>
      <c r="L55" s="21" t="n"/>
      <c r="M55" s="22">
        <f>IF(J55="","",L55/J55)</f>
        <v/>
      </c>
      <c r="N55" s="21" t="n"/>
      <c r="O55" s="23" t="n"/>
      <c r="P55" s="24">
        <f>IF(N55="","",N55+O55)</f>
        <v/>
      </c>
      <c r="Q55" s="24">
        <f>IF(N55="","",J55*N55)</f>
        <v/>
      </c>
      <c r="R55" s="24">
        <f>IF(O55="","",J55*O55)</f>
        <v/>
      </c>
      <c r="S55" s="24">
        <f>IF(N55="","",Q55+R55)</f>
        <v/>
      </c>
      <c r="T55" s="21" t="n"/>
      <c r="U55" s="19" t="n"/>
      <c r="V55" s="20" t="n"/>
    </row>
    <row r="56">
      <c r="A56" s="18" t="n">
        <v>40</v>
      </c>
      <c r="B56" s="19" t="n"/>
      <c r="C56" s="19" t="n"/>
      <c r="D56" s="19" t="n"/>
      <c r="E56" s="19" t="n"/>
      <c r="F56" s="19" t="n"/>
      <c r="G56" s="20" t="n"/>
      <c r="H56" s="19" t="n"/>
      <c r="I56" s="19" t="n"/>
      <c r="J56" s="19" t="n"/>
      <c r="K56" s="19" t="n"/>
      <c r="L56" s="21" t="n"/>
      <c r="M56" s="22">
        <f>IF(J56="","",L56/J56)</f>
        <v/>
      </c>
      <c r="N56" s="21" t="n"/>
      <c r="O56" s="23" t="n"/>
      <c r="P56" s="24">
        <f>IF(N56="","",N56+O56)</f>
        <v/>
      </c>
      <c r="Q56" s="24">
        <f>IF(N56="","",J56*N56)</f>
        <v/>
      </c>
      <c r="R56" s="24">
        <f>IF(O56="","",J56*O56)</f>
        <v/>
      </c>
      <c r="S56" s="24">
        <f>IF(N56="","",Q56+R56)</f>
        <v/>
      </c>
      <c r="T56" s="21" t="n"/>
      <c r="U56" s="19" t="n"/>
      <c r="V56" s="20" t="n"/>
    </row>
    <row r="57">
      <c r="A57" s="18" t="n">
        <v>41</v>
      </c>
      <c r="B57" s="19" t="n"/>
      <c r="C57" s="19" t="n"/>
      <c r="D57" s="19" t="n"/>
      <c r="E57" s="19" t="n"/>
      <c r="F57" s="19" t="n"/>
      <c r="G57" s="20" t="n"/>
      <c r="H57" s="19" t="n"/>
      <c r="I57" s="19" t="n"/>
      <c r="J57" s="19" t="n"/>
      <c r="K57" s="19" t="n"/>
      <c r="L57" s="21" t="n"/>
      <c r="M57" s="22">
        <f>IF(J57="","",L57/J57)</f>
        <v/>
      </c>
      <c r="N57" s="21" t="n"/>
      <c r="O57" s="23" t="n"/>
      <c r="P57" s="24">
        <f>IF(N57="","",N57+O57)</f>
        <v/>
      </c>
      <c r="Q57" s="24">
        <f>IF(N57="","",J57*N57)</f>
        <v/>
      </c>
      <c r="R57" s="24">
        <f>IF(O57="","",J57*O57)</f>
        <v/>
      </c>
      <c r="S57" s="24">
        <f>IF(N57="","",Q57+R57)</f>
        <v/>
      </c>
      <c r="T57" s="21" t="n"/>
      <c r="U57" s="19" t="n"/>
      <c r="V57" s="20" t="n"/>
    </row>
    <row r="58">
      <c r="A58" s="18" t="n">
        <v>42</v>
      </c>
      <c r="B58" s="19" t="n"/>
      <c r="C58" s="19" t="n"/>
      <c r="D58" s="19" t="n"/>
      <c r="E58" s="19" t="n"/>
      <c r="F58" s="19" t="n"/>
      <c r="G58" s="20" t="n"/>
      <c r="H58" s="19" t="n"/>
      <c r="I58" s="19" t="n"/>
      <c r="J58" s="19" t="n"/>
      <c r="K58" s="19" t="n"/>
      <c r="L58" s="21" t="n"/>
      <c r="M58" s="22">
        <f>IF(J58="","",L58/J58)</f>
        <v/>
      </c>
      <c r="N58" s="21" t="n"/>
      <c r="O58" s="23" t="n"/>
      <c r="P58" s="24">
        <f>IF(N58="","",N58+O58)</f>
        <v/>
      </c>
      <c r="Q58" s="24">
        <f>IF(N58="","",J58*N58)</f>
        <v/>
      </c>
      <c r="R58" s="24">
        <f>IF(O58="","",J58*O58)</f>
        <v/>
      </c>
      <c r="S58" s="24">
        <f>IF(N58="","",Q58+R58)</f>
        <v/>
      </c>
      <c r="T58" s="21" t="n"/>
      <c r="U58" s="19" t="n"/>
      <c r="V58" s="20" t="n"/>
    </row>
    <row r="59">
      <c r="A59" s="18" t="n">
        <v>43</v>
      </c>
      <c r="B59" s="19" t="n"/>
      <c r="C59" s="19" t="n"/>
      <c r="D59" s="19" t="n"/>
      <c r="E59" s="19" t="n"/>
      <c r="F59" s="19" t="n"/>
      <c r="G59" s="20" t="n"/>
      <c r="H59" s="19" t="n"/>
      <c r="I59" s="19" t="n"/>
      <c r="J59" s="19" t="n"/>
      <c r="K59" s="19" t="n"/>
      <c r="L59" s="21" t="n"/>
      <c r="M59" s="22">
        <f>IF(J59="","",L59/J59)</f>
        <v/>
      </c>
      <c r="N59" s="21" t="n"/>
      <c r="O59" s="23" t="n"/>
      <c r="P59" s="24">
        <f>IF(N59="","",N59+O59)</f>
        <v/>
      </c>
      <c r="Q59" s="24">
        <f>IF(N59="","",J59*N59)</f>
        <v/>
      </c>
      <c r="R59" s="24">
        <f>IF(O59="","",J59*O59)</f>
        <v/>
      </c>
      <c r="S59" s="24">
        <f>IF(N59="","",Q59+R59)</f>
        <v/>
      </c>
      <c r="T59" s="21" t="n"/>
      <c r="U59" s="19" t="n"/>
      <c r="V59" s="20" t="n"/>
    </row>
    <row r="60">
      <c r="A60" s="18" t="n">
        <v>44</v>
      </c>
      <c r="B60" s="19" t="n"/>
      <c r="C60" s="19" t="n"/>
      <c r="D60" s="19" t="n"/>
      <c r="E60" s="19" t="n"/>
      <c r="F60" s="19" t="n"/>
      <c r="G60" s="20" t="n"/>
      <c r="H60" s="19" t="n"/>
      <c r="I60" s="19" t="n"/>
      <c r="J60" s="19" t="n"/>
      <c r="K60" s="19" t="n"/>
      <c r="L60" s="21" t="n"/>
      <c r="M60" s="22">
        <f>IF(J60="","",L60/J60)</f>
        <v/>
      </c>
      <c r="N60" s="21" t="n"/>
      <c r="O60" s="23" t="n"/>
      <c r="P60" s="24">
        <f>IF(N60="","",N60+O60)</f>
        <v/>
      </c>
      <c r="Q60" s="24">
        <f>IF(N60="","",J60*N60)</f>
        <v/>
      </c>
      <c r="R60" s="24">
        <f>IF(O60="","",J60*O60)</f>
        <v/>
      </c>
      <c r="S60" s="24">
        <f>IF(N60="","",Q60+R60)</f>
        <v/>
      </c>
      <c r="T60" s="21" t="n"/>
      <c r="U60" s="19" t="n"/>
      <c r="V60" s="20" t="n"/>
    </row>
    <row r="61">
      <c r="A61" s="18" t="n">
        <v>45</v>
      </c>
      <c r="B61" s="19" t="n"/>
      <c r="C61" s="19" t="n"/>
      <c r="D61" s="19" t="n"/>
      <c r="E61" s="19" t="n"/>
      <c r="F61" s="19" t="n"/>
      <c r="G61" s="20" t="n"/>
      <c r="H61" s="19" t="n"/>
      <c r="I61" s="19" t="n"/>
      <c r="J61" s="19" t="n"/>
      <c r="K61" s="19" t="n"/>
      <c r="L61" s="21" t="n"/>
      <c r="M61" s="22">
        <f>IF(J61="","",L61/J61)</f>
        <v/>
      </c>
      <c r="N61" s="21" t="n"/>
      <c r="O61" s="23" t="n"/>
      <c r="P61" s="24">
        <f>IF(N61="","",N61+O61)</f>
        <v/>
      </c>
      <c r="Q61" s="24">
        <f>IF(N61="","",J61*N61)</f>
        <v/>
      </c>
      <c r="R61" s="24">
        <f>IF(O61="","",J61*O61)</f>
        <v/>
      </c>
      <c r="S61" s="24">
        <f>IF(N61="","",Q61+R61)</f>
        <v/>
      </c>
      <c r="T61" s="21" t="n"/>
      <c r="U61" s="19" t="n"/>
      <c r="V61" s="20" t="n"/>
    </row>
    <row r="62">
      <c r="A62" s="18" t="n">
        <v>46</v>
      </c>
      <c r="B62" s="19" t="n"/>
      <c r="C62" s="19" t="n"/>
      <c r="D62" s="19" t="n"/>
      <c r="E62" s="19" t="n"/>
      <c r="F62" s="19" t="n"/>
      <c r="G62" s="20" t="n"/>
      <c r="H62" s="19" t="n"/>
      <c r="I62" s="19" t="n"/>
      <c r="J62" s="19" t="n"/>
      <c r="K62" s="19" t="n"/>
      <c r="L62" s="21" t="n"/>
      <c r="M62" s="22">
        <f>IF(J62="","",L62/J62)</f>
        <v/>
      </c>
      <c r="N62" s="21" t="n"/>
      <c r="O62" s="23" t="n"/>
      <c r="P62" s="24">
        <f>IF(N62="","",N62+O62)</f>
        <v/>
      </c>
      <c r="Q62" s="24">
        <f>IF(N62="","",J62*N62)</f>
        <v/>
      </c>
      <c r="R62" s="24">
        <f>IF(O62="","",J62*O62)</f>
        <v/>
      </c>
      <c r="S62" s="24">
        <f>IF(N62="","",Q62+R62)</f>
        <v/>
      </c>
      <c r="T62" s="21" t="n"/>
      <c r="U62" s="19" t="n"/>
      <c r="V62" s="20" t="n"/>
    </row>
    <row r="63">
      <c r="A63" s="18" t="n">
        <v>47</v>
      </c>
      <c r="B63" s="19" t="n"/>
      <c r="C63" s="19" t="n"/>
      <c r="D63" s="19" t="n"/>
      <c r="E63" s="19" t="n"/>
      <c r="F63" s="19" t="n"/>
      <c r="G63" s="20" t="n"/>
      <c r="H63" s="19" t="n"/>
      <c r="I63" s="19" t="n"/>
      <c r="J63" s="19" t="n"/>
      <c r="K63" s="19" t="n"/>
      <c r="L63" s="21" t="n"/>
      <c r="M63" s="22">
        <f>IF(J63="","",L63/J63)</f>
        <v/>
      </c>
      <c r="N63" s="21" t="n"/>
      <c r="O63" s="23" t="n"/>
      <c r="P63" s="24">
        <f>IF(N63="","",N63+O63)</f>
        <v/>
      </c>
      <c r="Q63" s="24">
        <f>IF(N63="","",J63*N63)</f>
        <v/>
      </c>
      <c r="R63" s="24">
        <f>IF(O63="","",J63*O63)</f>
        <v/>
      </c>
      <c r="S63" s="24">
        <f>IF(N63="","",Q63+R63)</f>
        <v/>
      </c>
      <c r="T63" s="21" t="n"/>
      <c r="U63" s="19" t="n"/>
      <c r="V63" s="20" t="n"/>
    </row>
    <row r="64">
      <c r="A64" s="18" t="n">
        <v>48</v>
      </c>
      <c r="B64" s="19" t="n"/>
      <c r="C64" s="19" t="n"/>
      <c r="D64" s="19" t="n"/>
      <c r="E64" s="19" t="n"/>
      <c r="F64" s="19" t="n"/>
      <c r="G64" s="20" t="n"/>
      <c r="H64" s="19" t="n"/>
      <c r="I64" s="19" t="n"/>
      <c r="J64" s="19" t="n"/>
      <c r="K64" s="19" t="n"/>
      <c r="L64" s="21" t="n"/>
      <c r="M64" s="22">
        <f>IF(J64="","",L64/J64)</f>
        <v/>
      </c>
      <c r="N64" s="21" t="n"/>
      <c r="O64" s="23" t="n"/>
      <c r="P64" s="24">
        <f>IF(N64="","",N64+O64)</f>
        <v/>
      </c>
      <c r="Q64" s="24">
        <f>IF(N64="","",J64*N64)</f>
        <v/>
      </c>
      <c r="R64" s="24">
        <f>IF(O64="","",J64*O64)</f>
        <v/>
      </c>
      <c r="S64" s="24">
        <f>IF(N64="","",Q64+R64)</f>
        <v/>
      </c>
      <c r="T64" s="21" t="n"/>
      <c r="U64" s="19" t="n"/>
      <c r="V64" s="20" t="n"/>
    </row>
    <row r="65">
      <c r="A65" s="18" t="n">
        <v>49</v>
      </c>
      <c r="B65" s="19" t="n"/>
      <c r="C65" s="19" t="n"/>
      <c r="D65" s="19" t="n"/>
      <c r="E65" s="19" t="n"/>
      <c r="F65" s="19" t="n"/>
      <c r="G65" s="20" t="n"/>
      <c r="H65" s="19" t="n"/>
      <c r="I65" s="19" t="n"/>
      <c r="J65" s="19" t="n"/>
      <c r="K65" s="19" t="n"/>
      <c r="L65" s="21" t="n"/>
      <c r="M65" s="22">
        <f>IF(J65="","",L65/J65)</f>
        <v/>
      </c>
      <c r="N65" s="21" t="n"/>
      <c r="O65" s="23" t="n"/>
      <c r="P65" s="24">
        <f>IF(N65="","",N65+O65)</f>
        <v/>
      </c>
      <c r="Q65" s="24">
        <f>IF(N65="","",J65*N65)</f>
        <v/>
      </c>
      <c r="R65" s="24">
        <f>IF(O65="","",J65*O65)</f>
        <v/>
      </c>
      <c r="S65" s="24">
        <f>IF(N65="","",Q65+R65)</f>
        <v/>
      </c>
      <c r="T65" s="21" t="n"/>
      <c r="U65" s="19" t="n"/>
      <c r="V65" s="20" t="n"/>
    </row>
    <row r="66">
      <c r="A66" s="18" t="n">
        <v>50</v>
      </c>
      <c r="B66" s="19" t="n"/>
      <c r="C66" s="19" t="n"/>
      <c r="D66" s="19" t="n"/>
      <c r="E66" s="19" t="n"/>
      <c r="F66" s="19" t="n"/>
      <c r="G66" s="20" t="n"/>
      <c r="H66" s="19" t="n"/>
      <c r="I66" s="19" t="n"/>
      <c r="J66" s="19" t="n"/>
      <c r="K66" s="19" t="n"/>
      <c r="L66" s="21" t="n"/>
      <c r="M66" s="22">
        <f>IF(J66="","",L66/J66)</f>
        <v/>
      </c>
      <c r="N66" s="21" t="n"/>
      <c r="O66" s="23" t="n"/>
      <c r="P66" s="24">
        <f>IF(N66="","",N66+O66)</f>
        <v/>
      </c>
      <c r="Q66" s="24">
        <f>IF(N66="","",J66*N66)</f>
        <v/>
      </c>
      <c r="R66" s="24">
        <f>IF(O66="","",J66*O66)</f>
        <v/>
      </c>
      <c r="S66" s="24">
        <f>IF(N66="","",Q66+R66)</f>
        <v/>
      </c>
      <c r="T66" s="21" t="n"/>
      <c r="U66" s="19" t="n"/>
      <c r="V66" s="20" t="n"/>
    </row>
    <row r="67">
      <c r="A67" s="18" t="n">
        <v>51</v>
      </c>
      <c r="B67" s="19" t="n"/>
      <c r="C67" s="19" t="n"/>
      <c r="D67" s="19" t="n"/>
      <c r="E67" s="19" t="n"/>
      <c r="F67" s="19" t="n"/>
      <c r="G67" s="20" t="n"/>
      <c r="H67" s="19" t="n"/>
      <c r="I67" s="19" t="n"/>
      <c r="J67" s="19" t="n"/>
      <c r="K67" s="19" t="n"/>
      <c r="L67" s="21" t="n"/>
      <c r="M67" s="22">
        <f>IF(J67="","",L67/J67)</f>
        <v/>
      </c>
      <c r="N67" s="21" t="n"/>
      <c r="O67" s="23" t="n"/>
      <c r="P67" s="24">
        <f>IF(N67="","",N67+O67)</f>
        <v/>
      </c>
      <c r="Q67" s="24">
        <f>IF(N67="","",J67*N67)</f>
        <v/>
      </c>
      <c r="R67" s="24">
        <f>IF(O67="","",J67*O67)</f>
        <v/>
      </c>
      <c r="S67" s="24">
        <f>IF(N67="","",Q67+R67)</f>
        <v/>
      </c>
      <c r="T67" s="21" t="n"/>
      <c r="U67" s="19" t="n"/>
      <c r="V67" s="20" t="n"/>
    </row>
    <row r="68">
      <c r="A68" s="18" t="n">
        <v>52</v>
      </c>
      <c r="B68" s="19" t="n"/>
      <c r="C68" s="19" t="n"/>
      <c r="D68" s="19" t="n"/>
      <c r="E68" s="19" t="n"/>
      <c r="F68" s="19" t="n"/>
      <c r="G68" s="20" t="n"/>
      <c r="H68" s="19" t="n"/>
      <c r="I68" s="19" t="n"/>
      <c r="J68" s="19" t="n"/>
      <c r="K68" s="19" t="n"/>
      <c r="L68" s="21" t="n"/>
      <c r="M68" s="22">
        <f>IF(J68="","",L68/J68)</f>
        <v/>
      </c>
      <c r="N68" s="21" t="n"/>
      <c r="O68" s="23" t="n"/>
      <c r="P68" s="24">
        <f>IF(N68="","",N68+O68)</f>
        <v/>
      </c>
      <c r="Q68" s="24">
        <f>IF(N68="","",J68*N68)</f>
        <v/>
      </c>
      <c r="R68" s="24">
        <f>IF(O68="","",J68*O68)</f>
        <v/>
      </c>
      <c r="S68" s="24">
        <f>IF(N68="","",Q68+R68)</f>
        <v/>
      </c>
      <c r="T68" s="21" t="n"/>
      <c r="U68" s="19" t="n"/>
      <c r="V68" s="20" t="n"/>
    </row>
    <row r="69">
      <c r="A69" s="18" t="n">
        <v>53</v>
      </c>
      <c r="B69" s="19" t="n"/>
      <c r="C69" s="19" t="n"/>
      <c r="D69" s="19" t="n"/>
      <c r="E69" s="19" t="n"/>
      <c r="F69" s="19" t="n"/>
      <c r="G69" s="20" t="n"/>
      <c r="H69" s="19" t="n"/>
      <c r="I69" s="19" t="n"/>
      <c r="J69" s="19" t="n"/>
      <c r="K69" s="19" t="n"/>
      <c r="L69" s="21" t="n"/>
      <c r="M69" s="22">
        <f>IF(J69="","",L69/J69)</f>
        <v/>
      </c>
      <c r="N69" s="21" t="n"/>
      <c r="O69" s="23" t="n"/>
      <c r="P69" s="24">
        <f>IF(N69="","",N69+O69)</f>
        <v/>
      </c>
      <c r="Q69" s="24">
        <f>IF(N69="","",J69*N69)</f>
        <v/>
      </c>
      <c r="R69" s="24">
        <f>IF(O69="","",J69*O69)</f>
        <v/>
      </c>
      <c r="S69" s="24">
        <f>IF(N69="","",Q69+R69)</f>
        <v/>
      </c>
      <c r="T69" s="21" t="n"/>
      <c r="U69" s="19" t="n"/>
      <c r="V69" s="20" t="n"/>
    </row>
    <row r="70">
      <c r="A70" s="18" t="n">
        <v>54</v>
      </c>
      <c r="B70" s="19" t="n"/>
      <c r="C70" s="19" t="n"/>
      <c r="D70" s="19" t="n"/>
      <c r="E70" s="19" t="n"/>
      <c r="F70" s="19" t="n"/>
      <c r="G70" s="20" t="n"/>
      <c r="H70" s="19" t="n"/>
      <c r="I70" s="19" t="n"/>
      <c r="J70" s="19" t="n"/>
      <c r="K70" s="19" t="n"/>
      <c r="L70" s="21" t="n"/>
      <c r="M70" s="22">
        <f>IF(J70="","",L70/J70)</f>
        <v/>
      </c>
      <c r="N70" s="21" t="n"/>
      <c r="O70" s="23" t="n"/>
      <c r="P70" s="24">
        <f>IF(N70="","",N70+O70)</f>
        <v/>
      </c>
      <c r="Q70" s="24">
        <f>IF(N70="","",J70*N70)</f>
        <v/>
      </c>
      <c r="R70" s="24">
        <f>IF(O70="","",J70*O70)</f>
        <v/>
      </c>
      <c r="S70" s="24">
        <f>IF(N70="","",Q70+R70)</f>
        <v/>
      </c>
      <c r="T70" s="21" t="n"/>
      <c r="U70" s="19" t="n"/>
      <c r="V70" s="20" t="n"/>
    </row>
    <row r="71">
      <c r="A71" s="18" t="n">
        <v>55</v>
      </c>
      <c r="B71" s="19" t="n"/>
      <c r="C71" s="19" t="n"/>
      <c r="D71" s="19" t="n"/>
      <c r="E71" s="19" t="n"/>
      <c r="F71" s="19" t="n"/>
      <c r="G71" s="20" t="n"/>
      <c r="H71" s="19" t="n"/>
      <c r="I71" s="19" t="n"/>
      <c r="J71" s="19" t="n"/>
      <c r="K71" s="19" t="n"/>
      <c r="L71" s="21" t="n"/>
      <c r="M71" s="22">
        <f>IF(J71="","",L71/J71)</f>
        <v/>
      </c>
      <c r="N71" s="21" t="n"/>
      <c r="O71" s="23" t="n"/>
      <c r="P71" s="24">
        <f>IF(N71="","",N71+O71)</f>
        <v/>
      </c>
      <c r="Q71" s="24">
        <f>IF(N71="","",J71*N71)</f>
        <v/>
      </c>
      <c r="R71" s="24">
        <f>IF(O71="","",J71*O71)</f>
        <v/>
      </c>
      <c r="S71" s="24">
        <f>IF(N71="","",Q71+R71)</f>
        <v/>
      </c>
      <c r="T71" s="21" t="n"/>
      <c r="U71" s="19" t="n"/>
      <c r="V71" s="20" t="n"/>
    </row>
    <row r="72">
      <c r="A72" s="18" t="n">
        <v>56</v>
      </c>
      <c r="B72" s="19" t="n"/>
      <c r="C72" s="19" t="n"/>
      <c r="D72" s="19" t="n"/>
      <c r="E72" s="19" t="n"/>
      <c r="F72" s="19" t="n"/>
      <c r="G72" s="20" t="n"/>
      <c r="H72" s="19" t="n"/>
      <c r="I72" s="19" t="n"/>
      <c r="J72" s="19" t="n"/>
      <c r="K72" s="19" t="n"/>
      <c r="L72" s="21" t="n"/>
      <c r="M72" s="22">
        <f>IF(J72="","",L72/J72)</f>
        <v/>
      </c>
      <c r="N72" s="21" t="n"/>
      <c r="O72" s="23" t="n"/>
      <c r="P72" s="24">
        <f>IF(N72="","",N72+O72)</f>
        <v/>
      </c>
      <c r="Q72" s="24">
        <f>IF(N72="","",J72*N72)</f>
        <v/>
      </c>
      <c r="R72" s="24">
        <f>IF(O72="","",J72*O72)</f>
        <v/>
      </c>
      <c r="S72" s="24">
        <f>IF(N72="","",Q72+R72)</f>
        <v/>
      </c>
      <c r="T72" s="21" t="n"/>
      <c r="U72" s="19" t="n"/>
      <c r="V72" s="20" t="n"/>
    </row>
    <row r="73">
      <c r="A73" s="18" t="n">
        <v>57</v>
      </c>
      <c r="B73" s="19" t="n"/>
      <c r="C73" s="19" t="n"/>
      <c r="D73" s="19" t="n"/>
      <c r="E73" s="19" t="n"/>
      <c r="F73" s="19" t="n"/>
      <c r="G73" s="20" t="n"/>
      <c r="H73" s="19" t="n"/>
      <c r="I73" s="19" t="n"/>
      <c r="J73" s="19" t="n"/>
      <c r="K73" s="19" t="n"/>
      <c r="L73" s="21" t="n"/>
      <c r="M73" s="22">
        <f>IF(J73="","",L73/J73)</f>
        <v/>
      </c>
      <c r="N73" s="21" t="n"/>
      <c r="O73" s="23" t="n"/>
      <c r="P73" s="24">
        <f>IF(N73="","",N73+O73)</f>
        <v/>
      </c>
      <c r="Q73" s="24">
        <f>IF(N73="","",J73*N73)</f>
        <v/>
      </c>
      <c r="R73" s="24">
        <f>IF(O73="","",J73*O73)</f>
        <v/>
      </c>
      <c r="S73" s="24">
        <f>IF(N73="","",Q73+R73)</f>
        <v/>
      </c>
      <c r="T73" s="21" t="n"/>
      <c r="U73" s="19" t="n"/>
      <c r="V73" s="20" t="n"/>
    </row>
    <row r="74">
      <c r="A74" s="18" t="n">
        <v>58</v>
      </c>
      <c r="B74" s="19" t="n"/>
      <c r="C74" s="19" t="n"/>
      <c r="D74" s="19" t="n"/>
      <c r="E74" s="19" t="n"/>
      <c r="F74" s="19" t="n"/>
      <c r="G74" s="20" t="n"/>
      <c r="H74" s="19" t="n"/>
      <c r="I74" s="19" t="n"/>
      <c r="J74" s="19" t="n"/>
      <c r="K74" s="19" t="n"/>
      <c r="L74" s="21" t="n"/>
      <c r="M74" s="22">
        <f>IF(J74="","",L74/J74)</f>
        <v/>
      </c>
      <c r="N74" s="21" t="n"/>
      <c r="O74" s="23" t="n"/>
      <c r="P74" s="24">
        <f>IF(N74="","",N74+O74)</f>
        <v/>
      </c>
      <c r="Q74" s="24">
        <f>IF(N74="","",J74*N74)</f>
        <v/>
      </c>
      <c r="R74" s="24">
        <f>IF(O74="","",J74*O74)</f>
        <v/>
      </c>
      <c r="S74" s="24">
        <f>IF(N74="","",Q74+R74)</f>
        <v/>
      </c>
      <c r="T74" s="21" t="n"/>
      <c r="U74" s="19" t="n"/>
      <c r="V74" s="20" t="n"/>
    </row>
    <row r="75">
      <c r="A75" s="18" t="n">
        <v>59</v>
      </c>
      <c r="B75" s="19" t="n"/>
      <c r="C75" s="19" t="n"/>
      <c r="D75" s="19" t="n"/>
      <c r="E75" s="19" t="n"/>
      <c r="F75" s="19" t="n"/>
      <c r="G75" s="20" t="n"/>
      <c r="H75" s="19" t="n"/>
      <c r="I75" s="19" t="n"/>
      <c r="J75" s="19" t="n"/>
      <c r="K75" s="19" t="n"/>
      <c r="L75" s="21" t="n"/>
      <c r="M75" s="22">
        <f>IF(J75="","",L75/J75)</f>
        <v/>
      </c>
      <c r="N75" s="21" t="n"/>
      <c r="O75" s="23" t="n"/>
      <c r="P75" s="24">
        <f>IF(N75="","",N75+O75)</f>
        <v/>
      </c>
      <c r="Q75" s="24">
        <f>IF(N75="","",J75*N75)</f>
        <v/>
      </c>
      <c r="R75" s="24">
        <f>IF(O75="","",J75*O75)</f>
        <v/>
      </c>
      <c r="S75" s="24">
        <f>IF(N75="","",Q75+R75)</f>
        <v/>
      </c>
      <c r="T75" s="21" t="n"/>
      <c r="U75" s="19" t="n"/>
      <c r="V75" s="20" t="n"/>
    </row>
    <row r="76">
      <c r="A76" s="18" t="n">
        <v>60</v>
      </c>
      <c r="B76" s="19" t="n"/>
      <c r="C76" s="19" t="n"/>
      <c r="D76" s="19" t="n"/>
      <c r="E76" s="19" t="n"/>
      <c r="F76" s="19" t="n"/>
      <c r="G76" s="20" t="n"/>
      <c r="H76" s="19" t="n"/>
      <c r="I76" s="19" t="n"/>
      <c r="J76" s="19" t="n"/>
      <c r="K76" s="19" t="n"/>
      <c r="L76" s="21" t="n"/>
      <c r="M76" s="22">
        <f>IF(J76="","",L76/J76)</f>
        <v/>
      </c>
      <c r="N76" s="21" t="n"/>
      <c r="O76" s="23" t="n"/>
      <c r="P76" s="24">
        <f>IF(N76="","",N76+O76)</f>
        <v/>
      </c>
      <c r="Q76" s="24">
        <f>IF(N76="","",J76*N76)</f>
        <v/>
      </c>
      <c r="R76" s="24">
        <f>IF(O76="","",J76*O76)</f>
        <v/>
      </c>
      <c r="S76" s="24">
        <f>IF(N76="","",Q76+R76)</f>
        <v/>
      </c>
      <c r="T76" s="21" t="n"/>
      <c r="U76" s="19" t="n"/>
      <c r="V76" s="20" t="n"/>
    </row>
    <row r="77">
      <c r="A77" s="18" t="n">
        <v>61</v>
      </c>
      <c r="B77" s="19" t="n"/>
      <c r="C77" s="19" t="n"/>
      <c r="D77" s="19" t="n"/>
      <c r="E77" s="19" t="n"/>
      <c r="F77" s="19" t="n"/>
      <c r="G77" s="20" t="n"/>
      <c r="H77" s="19" t="n"/>
      <c r="I77" s="19" t="n"/>
      <c r="J77" s="19" t="n"/>
      <c r="K77" s="19" t="n"/>
      <c r="L77" s="21" t="n"/>
      <c r="M77" s="22">
        <f>IF(J77="","",L77/J77)</f>
        <v/>
      </c>
      <c r="N77" s="21" t="n"/>
      <c r="O77" s="23" t="n"/>
      <c r="P77" s="24">
        <f>IF(N77="","",N77+O77)</f>
        <v/>
      </c>
      <c r="Q77" s="24">
        <f>IF(N77="","",J77*N77)</f>
        <v/>
      </c>
      <c r="R77" s="24">
        <f>IF(O77="","",J77*O77)</f>
        <v/>
      </c>
      <c r="S77" s="24">
        <f>IF(N77="","",Q77+R77)</f>
        <v/>
      </c>
      <c r="T77" s="21" t="n"/>
      <c r="U77" s="19" t="n"/>
      <c r="V77" s="20" t="n"/>
    </row>
    <row r="78">
      <c r="A78" s="18" t="n">
        <v>62</v>
      </c>
      <c r="B78" s="19" t="n"/>
      <c r="C78" s="19" t="n"/>
      <c r="D78" s="19" t="n"/>
      <c r="E78" s="19" t="n"/>
      <c r="F78" s="19" t="n"/>
      <c r="G78" s="20" t="n"/>
      <c r="H78" s="19" t="n"/>
      <c r="I78" s="19" t="n"/>
      <c r="J78" s="19" t="n"/>
      <c r="K78" s="19" t="n"/>
      <c r="L78" s="21" t="n"/>
      <c r="M78" s="22">
        <f>IF(J78="","",L78/J78)</f>
        <v/>
      </c>
      <c r="N78" s="21" t="n"/>
      <c r="O78" s="23" t="n"/>
      <c r="P78" s="24">
        <f>IF(N78="","",N78+O78)</f>
        <v/>
      </c>
      <c r="Q78" s="24">
        <f>IF(N78="","",J78*N78)</f>
        <v/>
      </c>
      <c r="R78" s="24">
        <f>IF(O78="","",J78*O78)</f>
        <v/>
      </c>
      <c r="S78" s="24">
        <f>IF(N78="","",Q78+R78)</f>
        <v/>
      </c>
      <c r="T78" s="21" t="n"/>
      <c r="U78" s="19" t="n"/>
      <c r="V78" s="20" t="n"/>
    </row>
    <row r="79">
      <c r="A79" s="18" t="n">
        <v>63</v>
      </c>
      <c r="B79" s="19" t="n"/>
      <c r="C79" s="19" t="n"/>
      <c r="D79" s="19" t="n"/>
      <c r="E79" s="19" t="n"/>
      <c r="F79" s="19" t="n"/>
      <c r="G79" s="20" t="n"/>
      <c r="H79" s="19" t="n"/>
      <c r="I79" s="19" t="n"/>
      <c r="J79" s="19" t="n"/>
      <c r="K79" s="19" t="n"/>
      <c r="L79" s="21" t="n"/>
      <c r="M79" s="22">
        <f>IF(J79="","",L79/J79)</f>
        <v/>
      </c>
      <c r="N79" s="21" t="n"/>
      <c r="O79" s="23" t="n"/>
      <c r="P79" s="24">
        <f>IF(N79="","",N79+O79)</f>
        <v/>
      </c>
      <c r="Q79" s="24">
        <f>IF(N79="","",J79*N79)</f>
        <v/>
      </c>
      <c r="R79" s="24">
        <f>IF(O79="","",J79*O79)</f>
        <v/>
      </c>
      <c r="S79" s="24">
        <f>IF(N79="","",Q79+R79)</f>
        <v/>
      </c>
      <c r="T79" s="21" t="n"/>
      <c r="U79" s="19" t="n"/>
      <c r="V79" s="20" t="n"/>
    </row>
    <row r="80">
      <c r="A80" s="18" t="n">
        <v>64</v>
      </c>
      <c r="B80" s="19" t="n"/>
      <c r="C80" s="19" t="n"/>
      <c r="D80" s="19" t="n"/>
      <c r="E80" s="19" t="n"/>
      <c r="F80" s="19" t="n"/>
      <c r="G80" s="20" t="n"/>
      <c r="H80" s="19" t="n"/>
      <c r="I80" s="19" t="n"/>
      <c r="J80" s="19" t="n"/>
      <c r="K80" s="19" t="n"/>
      <c r="L80" s="21" t="n"/>
      <c r="M80" s="22">
        <f>IF(J80="","",L80/J80)</f>
        <v/>
      </c>
      <c r="N80" s="21" t="n"/>
      <c r="O80" s="23" t="n"/>
      <c r="P80" s="24">
        <f>IF(N80="","",N80+O80)</f>
        <v/>
      </c>
      <c r="Q80" s="24">
        <f>IF(N80="","",J80*N80)</f>
        <v/>
      </c>
      <c r="R80" s="24">
        <f>IF(O80="","",J80*O80)</f>
        <v/>
      </c>
      <c r="S80" s="24">
        <f>IF(N80="","",Q80+R80)</f>
        <v/>
      </c>
      <c r="T80" s="21" t="n"/>
      <c r="U80" s="19" t="n"/>
      <c r="V80" s="20" t="n"/>
    </row>
    <row r="81">
      <c r="A81" s="18" t="n">
        <v>65</v>
      </c>
      <c r="B81" s="19" t="n"/>
      <c r="C81" s="19" t="n"/>
      <c r="D81" s="19" t="n"/>
      <c r="E81" s="19" t="n"/>
      <c r="F81" s="19" t="n"/>
      <c r="G81" s="20" t="n"/>
      <c r="H81" s="19" t="n"/>
      <c r="I81" s="19" t="n"/>
      <c r="J81" s="19" t="n"/>
      <c r="K81" s="19" t="n"/>
      <c r="L81" s="21" t="n"/>
      <c r="M81" s="22">
        <f>IF(J81="","",L81/J81)</f>
        <v/>
      </c>
      <c r="N81" s="21" t="n"/>
      <c r="O81" s="23" t="n"/>
      <c r="P81" s="24">
        <f>IF(N81="","",N81+O81)</f>
        <v/>
      </c>
      <c r="Q81" s="24">
        <f>IF(N81="","",J81*N81)</f>
        <v/>
      </c>
      <c r="R81" s="24">
        <f>IF(O81="","",J81*O81)</f>
        <v/>
      </c>
      <c r="S81" s="24">
        <f>IF(N81="","",Q81+R81)</f>
        <v/>
      </c>
      <c r="T81" s="21" t="n"/>
      <c r="U81" s="19" t="n"/>
      <c r="V81" s="20" t="n"/>
    </row>
    <row r="82">
      <c r="A82" s="18" t="n">
        <v>66</v>
      </c>
      <c r="B82" s="19" t="n"/>
      <c r="C82" s="19" t="n"/>
      <c r="D82" s="19" t="n"/>
      <c r="E82" s="19" t="n"/>
      <c r="F82" s="19" t="n"/>
      <c r="G82" s="20" t="n"/>
      <c r="H82" s="19" t="n"/>
      <c r="I82" s="19" t="n"/>
      <c r="J82" s="19" t="n"/>
      <c r="K82" s="19" t="n"/>
      <c r="L82" s="21" t="n"/>
      <c r="M82" s="22">
        <f>IF(J82="","",L82/J82)</f>
        <v/>
      </c>
      <c r="N82" s="21" t="n"/>
      <c r="O82" s="23" t="n"/>
      <c r="P82" s="24">
        <f>IF(N82="","",N82+O82)</f>
        <v/>
      </c>
      <c r="Q82" s="24">
        <f>IF(N82="","",J82*N82)</f>
        <v/>
      </c>
      <c r="R82" s="24">
        <f>IF(O82="","",J82*O82)</f>
        <v/>
      </c>
      <c r="S82" s="24">
        <f>IF(N82="","",Q82+R82)</f>
        <v/>
      </c>
      <c r="T82" s="21" t="n"/>
      <c r="U82" s="19" t="n"/>
      <c r="V82" s="20" t="n"/>
    </row>
    <row r="83">
      <c r="A83" s="18" t="n">
        <v>67</v>
      </c>
      <c r="B83" s="19" t="n"/>
      <c r="C83" s="19" t="n"/>
      <c r="D83" s="19" t="n"/>
      <c r="E83" s="19" t="n"/>
      <c r="F83" s="19" t="n"/>
      <c r="G83" s="20" t="n"/>
      <c r="H83" s="19" t="n"/>
      <c r="I83" s="19" t="n"/>
      <c r="J83" s="19" t="n"/>
      <c r="K83" s="19" t="n"/>
      <c r="L83" s="21" t="n"/>
      <c r="M83" s="22">
        <f>IF(J83="","",L83/J83)</f>
        <v/>
      </c>
      <c r="N83" s="21" t="n"/>
      <c r="O83" s="23" t="n"/>
      <c r="P83" s="24">
        <f>IF(N83="","",N83+O83)</f>
        <v/>
      </c>
      <c r="Q83" s="24">
        <f>IF(N83="","",J83*N83)</f>
        <v/>
      </c>
      <c r="R83" s="24">
        <f>IF(O83="","",J83*O83)</f>
        <v/>
      </c>
      <c r="S83" s="24">
        <f>IF(N83="","",Q83+R83)</f>
        <v/>
      </c>
      <c r="T83" s="21" t="n"/>
      <c r="U83" s="19" t="n"/>
      <c r="V83" s="20" t="n"/>
    </row>
    <row r="84">
      <c r="A84" s="18" t="n">
        <v>68</v>
      </c>
      <c r="B84" s="19" t="n"/>
      <c r="C84" s="19" t="n"/>
      <c r="D84" s="19" t="n"/>
      <c r="E84" s="19" t="n"/>
      <c r="F84" s="19" t="n"/>
      <c r="G84" s="20" t="n"/>
      <c r="H84" s="19" t="n"/>
      <c r="I84" s="19" t="n"/>
      <c r="J84" s="19" t="n"/>
      <c r="K84" s="19" t="n"/>
      <c r="L84" s="21" t="n"/>
      <c r="M84" s="22">
        <f>IF(J84="","",L84/J84)</f>
        <v/>
      </c>
      <c r="N84" s="21" t="n"/>
      <c r="O84" s="23" t="n"/>
      <c r="P84" s="24">
        <f>IF(N84="","",N84+O84)</f>
        <v/>
      </c>
      <c r="Q84" s="24">
        <f>IF(N84="","",J84*N84)</f>
        <v/>
      </c>
      <c r="R84" s="24">
        <f>IF(O84="","",J84*O84)</f>
        <v/>
      </c>
      <c r="S84" s="24">
        <f>IF(N84="","",Q84+R84)</f>
        <v/>
      </c>
      <c r="T84" s="21" t="n"/>
      <c r="U84" s="19" t="n"/>
      <c r="V84" s="20" t="n"/>
    </row>
    <row r="85">
      <c r="A85" s="18" t="n">
        <v>69</v>
      </c>
      <c r="B85" s="19" t="n"/>
      <c r="C85" s="19" t="n"/>
      <c r="D85" s="19" t="n"/>
      <c r="E85" s="19" t="n"/>
      <c r="F85" s="19" t="n"/>
      <c r="G85" s="20" t="n"/>
      <c r="H85" s="19" t="n"/>
      <c r="I85" s="19" t="n"/>
      <c r="J85" s="19" t="n"/>
      <c r="K85" s="19" t="n"/>
      <c r="L85" s="21" t="n"/>
      <c r="M85" s="22">
        <f>IF(J85="","",L85/J85)</f>
        <v/>
      </c>
      <c r="N85" s="21" t="n"/>
      <c r="O85" s="23" t="n"/>
      <c r="P85" s="24">
        <f>IF(N85="","",N85+O85)</f>
        <v/>
      </c>
      <c r="Q85" s="24">
        <f>IF(N85="","",J85*N85)</f>
        <v/>
      </c>
      <c r="R85" s="24">
        <f>IF(O85="","",J85*O85)</f>
        <v/>
      </c>
      <c r="S85" s="24">
        <f>IF(N85="","",Q85+R85)</f>
        <v/>
      </c>
      <c r="T85" s="21" t="n"/>
      <c r="U85" s="19" t="n"/>
      <c r="V85" s="20" t="n"/>
    </row>
    <row r="86">
      <c r="A86" s="18" t="n">
        <v>70</v>
      </c>
      <c r="B86" s="19" t="n"/>
      <c r="C86" s="19" t="n"/>
      <c r="D86" s="19" t="n"/>
      <c r="E86" s="19" t="n"/>
      <c r="F86" s="19" t="n"/>
      <c r="G86" s="20" t="n"/>
      <c r="H86" s="19" t="n"/>
      <c r="I86" s="19" t="n"/>
      <c r="J86" s="19" t="n"/>
      <c r="K86" s="19" t="n"/>
      <c r="L86" s="21" t="n"/>
      <c r="M86" s="22">
        <f>IF(J86="","",L86/J86)</f>
        <v/>
      </c>
      <c r="N86" s="21" t="n"/>
      <c r="O86" s="23" t="n"/>
      <c r="P86" s="24">
        <f>IF(N86="","",N86+O86)</f>
        <v/>
      </c>
      <c r="Q86" s="24">
        <f>IF(N86="","",J86*N86)</f>
        <v/>
      </c>
      <c r="R86" s="24">
        <f>IF(O86="","",J86*O86)</f>
        <v/>
      </c>
      <c r="S86" s="24">
        <f>IF(N86="","",Q86+R86)</f>
        <v/>
      </c>
      <c r="T86" s="21" t="n"/>
      <c r="U86" s="19" t="n"/>
      <c r="V86" s="20" t="n"/>
    </row>
    <row r="87">
      <c r="A87" s="18" t="n">
        <v>71</v>
      </c>
      <c r="B87" s="19" t="n"/>
      <c r="C87" s="19" t="n"/>
      <c r="D87" s="19" t="n"/>
      <c r="E87" s="19" t="n"/>
      <c r="F87" s="19" t="n"/>
      <c r="G87" s="20" t="n"/>
      <c r="H87" s="19" t="n"/>
      <c r="I87" s="19" t="n"/>
      <c r="J87" s="19" t="n"/>
      <c r="K87" s="19" t="n"/>
      <c r="L87" s="21" t="n"/>
      <c r="M87" s="22">
        <f>IF(J87="","",L87/J87)</f>
        <v/>
      </c>
      <c r="N87" s="21" t="n"/>
      <c r="O87" s="23" t="n"/>
      <c r="P87" s="24">
        <f>IF(N87="","",N87+O87)</f>
        <v/>
      </c>
      <c r="Q87" s="24">
        <f>IF(N87="","",J87*N87)</f>
        <v/>
      </c>
      <c r="R87" s="24">
        <f>IF(O87="","",J87*O87)</f>
        <v/>
      </c>
      <c r="S87" s="24">
        <f>IF(N87="","",Q87+R87)</f>
        <v/>
      </c>
      <c r="T87" s="21" t="n"/>
      <c r="U87" s="19" t="n"/>
      <c r="V87" s="20" t="n"/>
    </row>
    <row r="88">
      <c r="A88" s="18" t="n">
        <v>72</v>
      </c>
      <c r="B88" s="19" t="n"/>
      <c r="C88" s="19" t="n"/>
      <c r="D88" s="19" t="n"/>
      <c r="E88" s="19" t="n"/>
      <c r="F88" s="19" t="n"/>
      <c r="G88" s="20" t="n"/>
      <c r="H88" s="19" t="n"/>
      <c r="I88" s="19" t="n"/>
      <c r="J88" s="19" t="n"/>
      <c r="K88" s="19" t="n"/>
      <c r="L88" s="21" t="n"/>
      <c r="M88" s="22">
        <f>IF(J88="","",L88/J88)</f>
        <v/>
      </c>
      <c r="N88" s="21" t="n"/>
      <c r="O88" s="23" t="n"/>
      <c r="P88" s="24">
        <f>IF(N88="","",N88+O88)</f>
        <v/>
      </c>
      <c r="Q88" s="24">
        <f>IF(N88="","",J88*N88)</f>
        <v/>
      </c>
      <c r="R88" s="24">
        <f>IF(O88="","",J88*O88)</f>
        <v/>
      </c>
      <c r="S88" s="24">
        <f>IF(N88="","",Q88+R88)</f>
        <v/>
      </c>
      <c r="T88" s="21" t="n"/>
      <c r="U88" s="19" t="n"/>
      <c r="V88" s="20" t="n"/>
    </row>
    <row r="89">
      <c r="A89" s="18" t="n">
        <v>73</v>
      </c>
      <c r="B89" s="19" t="n"/>
      <c r="C89" s="19" t="n"/>
      <c r="D89" s="19" t="n"/>
      <c r="E89" s="19" t="n"/>
      <c r="F89" s="19" t="n"/>
      <c r="G89" s="20" t="n"/>
      <c r="H89" s="19" t="n"/>
      <c r="I89" s="19" t="n"/>
      <c r="J89" s="19" t="n"/>
      <c r="K89" s="19" t="n"/>
      <c r="L89" s="21" t="n"/>
      <c r="M89" s="22">
        <f>IF(J89="","",L89/J89)</f>
        <v/>
      </c>
      <c r="N89" s="21" t="n"/>
      <c r="O89" s="23" t="n"/>
      <c r="P89" s="24">
        <f>IF(N89="","",N89+O89)</f>
        <v/>
      </c>
      <c r="Q89" s="24">
        <f>IF(N89="","",J89*N89)</f>
        <v/>
      </c>
      <c r="R89" s="24">
        <f>IF(O89="","",J89*O89)</f>
        <v/>
      </c>
      <c r="S89" s="24">
        <f>IF(N89="","",Q89+R89)</f>
        <v/>
      </c>
      <c r="T89" s="21" t="n"/>
      <c r="U89" s="19" t="n"/>
      <c r="V89" s="20" t="n"/>
    </row>
    <row r="90">
      <c r="A90" s="18" t="n">
        <v>74</v>
      </c>
      <c r="B90" s="19" t="n"/>
      <c r="C90" s="19" t="n"/>
      <c r="D90" s="19" t="n"/>
      <c r="E90" s="19" t="n"/>
      <c r="F90" s="19" t="n"/>
      <c r="G90" s="20" t="n"/>
      <c r="H90" s="19" t="n"/>
      <c r="I90" s="19" t="n"/>
      <c r="J90" s="19" t="n"/>
      <c r="K90" s="19" t="n"/>
      <c r="L90" s="21" t="n"/>
      <c r="M90" s="22">
        <f>IF(J90="","",L90/J90)</f>
        <v/>
      </c>
      <c r="N90" s="21" t="n"/>
      <c r="O90" s="23" t="n"/>
      <c r="P90" s="24">
        <f>IF(N90="","",N90+O90)</f>
        <v/>
      </c>
      <c r="Q90" s="24">
        <f>IF(N90="","",J90*N90)</f>
        <v/>
      </c>
      <c r="R90" s="24">
        <f>IF(O90="","",J90*O90)</f>
        <v/>
      </c>
      <c r="S90" s="24">
        <f>IF(N90="","",Q90+R90)</f>
        <v/>
      </c>
      <c r="T90" s="21" t="n"/>
      <c r="U90" s="19" t="n"/>
      <c r="V90" s="20" t="n"/>
    </row>
    <row r="91">
      <c r="A91" s="18" t="n">
        <v>75</v>
      </c>
      <c r="B91" s="19" t="n"/>
      <c r="C91" s="19" t="n"/>
      <c r="D91" s="19" t="n"/>
      <c r="E91" s="19" t="n"/>
      <c r="F91" s="19" t="n"/>
      <c r="G91" s="20" t="n"/>
      <c r="H91" s="19" t="n"/>
      <c r="I91" s="19" t="n"/>
      <c r="J91" s="19" t="n"/>
      <c r="K91" s="19" t="n"/>
      <c r="L91" s="21" t="n"/>
      <c r="M91" s="22">
        <f>IF(J91="","",L91/J91)</f>
        <v/>
      </c>
      <c r="N91" s="21" t="n"/>
      <c r="O91" s="23" t="n"/>
      <c r="P91" s="24">
        <f>IF(N91="","",N91+O91)</f>
        <v/>
      </c>
      <c r="Q91" s="24">
        <f>IF(N91="","",J91*N91)</f>
        <v/>
      </c>
      <c r="R91" s="24">
        <f>IF(O91="","",J91*O91)</f>
        <v/>
      </c>
      <c r="S91" s="24">
        <f>IF(N91="","",Q91+R91)</f>
        <v/>
      </c>
      <c r="T91" s="21" t="n"/>
      <c r="U91" s="19" t="n"/>
      <c r="V91" s="20" t="n"/>
    </row>
    <row r="92">
      <c r="A92" s="18" t="n">
        <v>76</v>
      </c>
      <c r="B92" s="19" t="n"/>
      <c r="C92" s="19" t="n"/>
      <c r="D92" s="19" t="n"/>
      <c r="E92" s="19" t="n"/>
      <c r="F92" s="19" t="n"/>
      <c r="G92" s="20" t="n"/>
      <c r="H92" s="19" t="n"/>
      <c r="I92" s="19" t="n"/>
      <c r="J92" s="19" t="n"/>
      <c r="K92" s="19" t="n"/>
      <c r="L92" s="21" t="n"/>
      <c r="M92" s="22">
        <f>IF(J92="","",L92/J92)</f>
        <v/>
      </c>
      <c r="N92" s="21" t="n"/>
      <c r="O92" s="23" t="n"/>
      <c r="P92" s="24">
        <f>IF(N92="","",N92+O92)</f>
        <v/>
      </c>
      <c r="Q92" s="24">
        <f>IF(N92="","",J92*N92)</f>
        <v/>
      </c>
      <c r="R92" s="24">
        <f>IF(O92="","",J92*O92)</f>
        <v/>
      </c>
      <c r="S92" s="24">
        <f>IF(N92="","",Q92+R92)</f>
        <v/>
      </c>
      <c r="T92" s="21" t="n"/>
      <c r="U92" s="19" t="n"/>
      <c r="V92" s="20" t="n"/>
    </row>
    <row r="93">
      <c r="A93" s="18" t="n">
        <v>77</v>
      </c>
      <c r="B93" s="19" t="n"/>
      <c r="C93" s="19" t="n"/>
      <c r="D93" s="19" t="n"/>
      <c r="E93" s="19" t="n"/>
      <c r="F93" s="19" t="n"/>
      <c r="G93" s="20" t="n"/>
      <c r="H93" s="19" t="n"/>
      <c r="I93" s="19" t="n"/>
      <c r="J93" s="19" t="n"/>
      <c r="K93" s="19" t="n"/>
      <c r="L93" s="21" t="n"/>
      <c r="M93" s="22">
        <f>IF(J93="","",L93/J93)</f>
        <v/>
      </c>
      <c r="N93" s="21" t="n"/>
      <c r="O93" s="23" t="n"/>
      <c r="P93" s="24">
        <f>IF(N93="","",N93+O93)</f>
        <v/>
      </c>
      <c r="Q93" s="24">
        <f>IF(N93="","",J93*N93)</f>
        <v/>
      </c>
      <c r="R93" s="24">
        <f>IF(O93="","",J93*O93)</f>
        <v/>
      </c>
      <c r="S93" s="24">
        <f>IF(N93="","",Q93+R93)</f>
        <v/>
      </c>
      <c r="T93" s="21" t="n"/>
      <c r="U93" s="19" t="n"/>
      <c r="V93" s="20" t="n"/>
    </row>
    <row r="94">
      <c r="A94" s="18" t="n">
        <v>78</v>
      </c>
      <c r="B94" s="19" t="n"/>
      <c r="C94" s="19" t="n"/>
      <c r="D94" s="19" t="n"/>
      <c r="E94" s="19" t="n"/>
      <c r="F94" s="19" t="n"/>
      <c r="G94" s="20" t="n"/>
      <c r="H94" s="19" t="n"/>
      <c r="I94" s="19" t="n"/>
      <c r="J94" s="19" t="n"/>
      <c r="K94" s="19" t="n"/>
      <c r="L94" s="21" t="n"/>
      <c r="M94" s="22">
        <f>IF(J94="","",L94/J94)</f>
        <v/>
      </c>
      <c r="N94" s="21" t="n"/>
      <c r="O94" s="23" t="n"/>
      <c r="P94" s="24">
        <f>IF(N94="","",N94+O94)</f>
        <v/>
      </c>
      <c r="Q94" s="24">
        <f>IF(N94="","",J94*N94)</f>
        <v/>
      </c>
      <c r="R94" s="24">
        <f>IF(O94="","",J94*O94)</f>
        <v/>
      </c>
      <c r="S94" s="24">
        <f>IF(N94="","",Q94+R94)</f>
        <v/>
      </c>
      <c r="T94" s="21" t="n"/>
      <c r="U94" s="19" t="n"/>
      <c r="V94" s="20" t="n"/>
    </row>
    <row r="95">
      <c r="A95" s="18" t="n">
        <v>79</v>
      </c>
      <c r="B95" s="19" t="n"/>
      <c r="C95" s="19" t="n"/>
      <c r="D95" s="19" t="n"/>
      <c r="E95" s="19" t="n"/>
      <c r="F95" s="19" t="n"/>
      <c r="G95" s="20" t="n"/>
      <c r="H95" s="19" t="n"/>
      <c r="I95" s="19" t="n"/>
      <c r="J95" s="19" t="n"/>
      <c r="K95" s="19" t="n"/>
      <c r="L95" s="21" t="n"/>
      <c r="M95" s="22">
        <f>IF(J95="","",L95/J95)</f>
        <v/>
      </c>
      <c r="N95" s="21" t="n"/>
      <c r="O95" s="23" t="n"/>
      <c r="P95" s="24">
        <f>IF(N95="","",N95+O95)</f>
        <v/>
      </c>
      <c r="Q95" s="24">
        <f>IF(N95="","",J95*N95)</f>
        <v/>
      </c>
      <c r="R95" s="24">
        <f>IF(O95="","",J95*O95)</f>
        <v/>
      </c>
      <c r="S95" s="24">
        <f>IF(N95="","",Q95+R95)</f>
        <v/>
      </c>
      <c r="T95" s="21" t="n"/>
      <c r="U95" s="19" t="n"/>
      <c r="V95" s="20" t="n"/>
    </row>
    <row r="96">
      <c r="A96" s="18" t="n">
        <v>80</v>
      </c>
      <c r="B96" s="19" t="n"/>
      <c r="C96" s="19" t="n"/>
      <c r="D96" s="19" t="n"/>
      <c r="E96" s="19" t="n"/>
      <c r="F96" s="19" t="n"/>
      <c r="G96" s="20" t="n"/>
      <c r="H96" s="19" t="n"/>
      <c r="I96" s="19" t="n"/>
      <c r="J96" s="19" t="n"/>
      <c r="K96" s="19" t="n"/>
      <c r="L96" s="21" t="n"/>
      <c r="M96" s="22">
        <f>IF(J96="","",L96/J96)</f>
        <v/>
      </c>
      <c r="N96" s="21" t="n"/>
      <c r="O96" s="23" t="n"/>
      <c r="P96" s="24">
        <f>IF(N96="","",N96+O96)</f>
        <v/>
      </c>
      <c r="Q96" s="24">
        <f>IF(N96="","",J96*N96)</f>
        <v/>
      </c>
      <c r="R96" s="24">
        <f>IF(O96="","",J96*O96)</f>
        <v/>
      </c>
      <c r="S96" s="24">
        <f>IF(N96="","",Q96+R96)</f>
        <v/>
      </c>
      <c r="T96" s="21" t="n"/>
      <c r="U96" s="19" t="n"/>
      <c r="V96" s="20" t="n"/>
    </row>
    <row r="97">
      <c r="A97" s="18" t="n">
        <v>81</v>
      </c>
      <c r="B97" s="19" t="n"/>
      <c r="C97" s="19" t="n"/>
      <c r="D97" s="19" t="n"/>
      <c r="E97" s="19" t="n"/>
      <c r="F97" s="19" t="n"/>
      <c r="G97" s="20" t="n"/>
      <c r="H97" s="19" t="n"/>
      <c r="I97" s="19" t="n"/>
      <c r="J97" s="19" t="n"/>
      <c r="K97" s="19" t="n"/>
      <c r="L97" s="21" t="n"/>
      <c r="M97" s="22">
        <f>IF(J97="","",L97/J97)</f>
        <v/>
      </c>
      <c r="N97" s="21" t="n"/>
      <c r="O97" s="23" t="n"/>
      <c r="P97" s="24">
        <f>IF(N97="","",N97+O97)</f>
        <v/>
      </c>
      <c r="Q97" s="24">
        <f>IF(N97="","",J97*N97)</f>
        <v/>
      </c>
      <c r="R97" s="24">
        <f>IF(O97="","",J97*O97)</f>
        <v/>
      </c>
      <c r="S97" s="24">
        <f>IF(N97="","",Q97+R97)</f>
        <v/>
      </c>
      <c r="T97" s="21" t="n"/>
      <c r="U97" s="19" t="n"/>
      <c r="V97" s="20" t="n"/>
    </row>
    <row r="98">
      <c r="A98" s="18" t="n">
        <v>82</v>
      </c>
      <c r="B98" s="19" t="n"/>
      <c r="C98" s="19" t="n"/>
      <c r="D98" s="19" t="n"/>
      <c r="E98" s="19" t="n"/>
      <c r="F98" s="19" t="n"/>
      <c r="G98" s="20" t="n"/>
      <c r="H98" s="19" t="n"/>
      <c r="I98" s="19" t="n"/>
      <c r="J98" s="19" t="n"/>
      <c r="K98" s="19" t="n"/>
      <c r="L98" s="21" t="n"/>
      <c r="M98" s="22">
        <f>IF(J98="","",L98/J98)</f>
        <v/>
      </c>
      <c r="N98" s="21" t="n"/>
      <c r="O98" s="23" t="n"/>
      <c r="P98" s="24">
        <f>IF(N98="","",N98+O98)</f>
        <v/>
      </c>
      <c r="Q98" s="24">
        <f>IF(N98="","",J98*N98)</f>
        <v/>
      </c>
      <c r="R98" s="24">
        <f>IF(O98="","",J98*O98)</f>
        <v/>
      </c>
      <c r="S98" s="24">
        <f>IF(N98="","",Q98+R98)</f>
        <v/>
      </c>
      <c r="T98" s="21" t="n"/>
      <c r="U98" s="19" t="n"/>
      <c r="V98" s="20" t="n"/>
    </row>
    <row r="99">
      <c r="A99" s="18" t="n">
        <v>83</v>
      </c>
      <c r="B99" s="19" t="n"/>
      <c r="C99" s="19" t="n"/>
      <c r="D99" s="19" t="n"/>
      <c r="E99" s="19" t="n"/>
      <c r="F99" s="19" t="n"/>
      <c r="G99" s="20" t="n"/>
      <c r="H99" s="19" t="n"/>
      <c r="I99" s="19" t="n"/>
      <c r="J99" s="19" t="n"/>
      <c r="K99" s="19" t="n"/>
      <c r="L99" s="21" t="n"/>
      <c r="M99" s="22">
        <f>IF(J99="","",L99/J99)</f>
        <v/>
      </c>
      <c r="N99" s="21" t="n"/>
      <c r="O99" s="23" t="n"/>
      <c r="P99" s="24">
        <f>IF(N99="","",N99+O99)</f>
        <v/>
      </c>
      <c r="Q99" s="24">
        <f>IF(N99="","",J99*N99)</f>
        <v/>
      </c>
      <c r="R99" s="24">
        <f>IF(O99="","",J99*O99)</f>
        <v/>
      </c>
      <c r="S99" s="24">
        <f>IF(N99="","",Q99+R99)</f>
        <v/>
      </c>
      <c r="T99" s="21" t="n"/>
      <c r="U99" s="19" t="n"/>
      <c r="V99" s="20" t="n"/>
    </row>
    <row r="100">
      <c r="A100" s="18" t="n">
        <v>84</v>
      </c>
      <c r="B100" s="19" t="n"/>
      <c r="C100" s="19" t="n"/>
      <c r="D100" s="19" t="n"/>
      <c r="E100" s="19" t="n"/>
      <c r="F100" s="19" t="n"/>
      <c r="G100" s="20" t="n"/>
      <c r="H100" s="19" t="n"/>
      <c r="I100" s="19" t="n"/>
      <c r="J100" s="19" t="n"/>
      <c r="K100" s="19" t="n"/>
      <c r="L100" s="21" t="n"/>
      <c r="M100" s="22">
        <f>IF(J100="","",L100/J100)</f>
        <v/>
      </c>
      <c r="N100" s="21" t="n"/>
      <c r="O100" s="23" t="n"/>
      <c r="P100" s="24">
        <f>IF(N100="","",N100+O100)</f>
        <v/>
      </c>
      <c r="Q100" s="24">
        <f>IF(N100="","",J100*N100)</f>
        <v/>
      </c>
      <c r="R100" s="24">
        <f>IF(O100="","",J100*O100)</f>
        <v/>
      </c>
      <c r="S100" s="24">
        <f>IF(N100="","",Q100+R100)</f>
        <v/>
      </c>
      <c r="T100" s="21" t="n"/>
      <c r="U100" s="19" t="n"/>
      <c r="V100" s="20" t="n"/>
    </row>
    <row r="101">
      <c r="A101" s="18" t="n">
        <v>85</v>
      </c>
      <c r="B101" s="19" t="n"/>
      <c r="C101" s="19" t="n"/>
      <c r="D101" s="19" t="n"/>
      <c r="E101" s="19" t="n"/>
      <c r="F101" s="19" t="n"/>
      <c r="G101" s="20" t="n"/>
      <c r="H101" s="19" t="n"/>
      <c r="I101" s="19" t="n"/>
      <c r="J101" s="19" t="n"/>
      <c r="K101" s="19" t="n"/>
      <c r="L101" s="21" t="n"/>
      <c r="M101" s="22">
        <f>IF(J101="","",L101/J101)</f>
        <v/>
      </c>
      <c r="N101" s="21" t="n"/>
      <c r="O101" s="23" t="n"/>
      <c r="P101" s="24">
        <f>IF(N101="","",N101+O101)</f>
        <v/>
      </c>
      <c r="Q101" s="24">
        <f>IF(N101="","",J101*N101)</f>
        <v/>
      </c>
      <c r="R101" s="24">
        <f>IF(O101="","",J101*O101)</f>
        <v/>
      </c>
      <c r="S101" s="24">
        <f>IF(N101="","",Q101+R101)</f>
        <v/>
      </c>
      <c r="T101" s="21" t="n"/>
      <c r="U101" s="19" t="n"/>
      <c r="V101" s="20" t="n"/>
    </row>
    <row r="102">
      <c r="A102" s="18" t="n">
        <v>86</v>
      </c>
      <c r="B102" s="19" t="n"/>
      <c r="C102" s="19" t="n"/>
      <c r="D102" s="19" t="n"/>
      <c r="E102" s="19" t="n"/>
      <c r="F102" s="19" t="n"/>
      <c r="G102" s="20" t="n"/>
      <c r="H102" s="19" t="n"/>
      <c r="I102" s="19" t="n"/>
      <c r="J102" s="19" t="n"/>
      <c r="K102" s="19" t="n"/>
      <c r="L102" s="21" t="n"/>
      <c r="M102" s="22">
        <f>IF(J102="","",L102/J102)</f>
        <v/>
      </c>
      <c r="N102" s="21" t="n"/>
      <c r="O102" s="23" t="n"/>
      <c r="P102" s="24">
        <f>IF(N102="","",N102+O102)</f>
        <v/>
      </c>
      <c r="Q102" s="24">
        <f>IF(N102="","",J102*N102)</f>
        <v/>
      </c>
      <c r="R102" s="24">
        <f>IF(O102="","",J102*O102)</f>
        <v/>
      </c>
      <c r="S102" s="24">
        <f>IF(N102="","",Q102+R102)</f>
        <v/>
      </c>
      <c r="T102" s="21" t="n"/>
      <c r="U102" s="19" t="n"/>
      <c r="V102" s="20" t="n"/>
    </row>
    <row r="103">
      <c r="A103" s="18" t="n">
        <v>87</v>
      </c>
      <c r="B103" s="19" t="n"/>
      <c r="C103" s="19" t="n"/>
      <c r="D103" s="19" t="n"/>
      <c r="E103" s="19" t="n"/>
      <c r="F103" s="19" t="n"/>
      <c r="G103" s="20" t="n"/>
      <c r="H103" s="19" t="n"/>
      <c r="I103" s="19" t="n"/>
      <c r="J103" s="19" t="n"/>
      <c r="K103" s="19" t="n"/>
      <c r="L103" s="21" t="n"/>
      <c r="M103" s="22">
        <f>IF(J103="","",L103/J103)</f>
        <v/>
      </c>
      <c r="N103" s="21" t="n"/>
      <c r="O103" s="23" t="n"/>
      <c r="P103" s="24">
        <f>IF(N103="","",N103+O103)</f>
        <v/>
      </c>
      <c r="Q103" s="24">
        <f>IF(N103="","",J103*N103)</f>
        <v/>
      </c>
      <c r="R103" s="24">
        <f>IF(O103="","",J103*O103)</f>
        <v/>
      </c>
      <c r="S103" s="24">
        <f>IF(N103="","",Q103+R103)</f>
        <v/>
      </c>
      <c r="T103" s="21" t="n"/>
      <c r="U103" s="19" t="n"/>
      <c r="V103" s="20" t="n"/>
    </row>
    <row r="104">
      <c r="A104" s="18" t="n">
        <v>88</v>
      </c>
      <c r="B104" s="19" t="n"/>
      <c r="C104" s="19" t="n"/>
      <c r="D104" s="19" t="n"/>
      <c r="E104" s="19" t="n"/>
      <c r="F104" s="19" t="n"/>
      <c r="G104" s="20" t="n"/>
      <c r="H104" s="19" t="n"/>
      <c r="I104" s="19" t="n"/>
      <c r="J104" s="19" t="n"/>
      <c r="K104" s="19" t="n"/>
      <c r="L104" s="21" t="n"/>
      <c r="M104" s="22">
        <f>IF(J104="","",L104/J104)</f>
        <v/>
      </c>
      <c r="N104" s="21" t="n"/>
      <c r="O104" s="23" t="n"/>
      <c r="P104" s="24">
        <f>IF(N104="","",N104+O104)</f>
        <v/>
      </c>
      <c r="Q104" s="24">
        <f>IF(N104="","",J104*N104)</f>
        <v/>
      </c>
      <c r="R104" s="24">
        <f>IF(O104="","",J104*O104)</f>
        <v/>
      </c>
      <c r="S104" s="24">
        <f>IF(N104="","",Q104+R104)</f>
        <v/>
      </c>
      <c r="T104" s="21" t="n"/>
      <c r="U104" s="19" t="n"/>
      <c r="V104" s="20" t="n"/>
    </row>
    <row r="105">
      <c r="A105" s="18" t="n">
        <v>89</v>
      </c>
      <c r="B105" s="19" t="n"/>
      <c r="C105" s="19" t="n"/>
      <c r="D105" s="19" t="n"/>
      <c r="E105" s="19" t="n"/>
      <c r="F105" s="19" t="n"/>
      <c r="G105" s="20" t="n"/>
      <c r="H105" s="19" t="n"/>
      <c r="I105" s="19" t="n"/>
      <c r="J105" s="19" t="n"/>
      <c r="K105" s="19" t="n"/>
      <c r="L105" s="21" t="n"/>
      <c r="M105" s="22">
        <f>IF(J105="","",L105/J105)</f>
        <v/>
      </c>
      <c r="N105" s="21" t="n"/>
      <c r="O105" s="23" t="n"/>
      <c r="P105" s="24">
        <f>IF(N105="","",N105+O105)</f>
        <v/>
      </c>
      <c r="Q105" s="24">
        <f>IF(N105="","",J105*N105)</f>
        <v/>
      </c>
      <c r="R105" s="24">
        <f>IF(O105="","",J105*O105)</f>
        <v/>
      </c>
      <c r="S105" s="24">
        <f>IF(N105="","",Q105+R105)</f>
        <v/>
      </c>
      <c r="T105" s="21" t="n"/>
      <c r="U105" s="19" t="n"/>
      <c r="V105" s="20" t="n"/>
    </row>
    <row r="106">
      <c r="A106" s="18" t="n">
        <v>90</v>
      </c>
      <c r="B106" s="19" t="n"/>
      <c r="C106" s="19" t="n"/>
      <c r="D106" s="19" t="n"/>
      <c r="E106" s="19" t="n"/>
      <c r="F106" s="19" t="n"/>
      <c r="G106" s="20" t="n"/>
      <c r="H106" s="19" t="n"/>
      <c r="I106" s="19" t="n"/>
      <c r="J106" s="19" t="n"/>
      <c r="K106" s="19" t="n"/>
      <c r="L106" s="21" t="n"/>
      <c r="M106" s="22">
        <f>IF(J106="","",L106/J106)</f>
        <v/>
      </c>
      <c r="N106" s="21" t="n"/>
      <c r="O106" s="23" t="n"/>
      <c r="P106" s="24">
        <f>IF(N106="","",N106+O106)</f>
        <v/>
      </c>
      <c r="Q106" s="24">
        <f>IF(N106="","",J106*N106)</f>
        <v/>
      </c>
      <c r="R106" s="24">
        <f>IF(O106="","",J106*O106)</f>
        <v/>
      </c>
      <c r="S106" s="24">
        <f>IF(N106="","",Q106+R106)</f>
        <v/>
      </c>
      <c r="T106" s="21" t="n"/>
      <c r="U106" s="19" t="n"/>
      <c r="V106" s="20" t="n"/>
    </row>
    <row r="107">
      <c r="A107" s="18" t="n">
        <v>91</v>
      </c>
      <c r="B107" s="19" t="n"/>
      <c r="C107" s="19" t="n"/>
      <c r="D107" s="19" t="n"/>
      <c r="E107" s="19" t="n"/>
      <c r="F107" s="19" t="n"/>
      <c r="G107" s="20" t="n"/>
      <c r="H107" s="19" t="n"/>
      <c r="I107" s="19" t="n"/>
      <c r="J107" s="19" t="n"/>
      <c r="K107" s="19" t="n"/>
      <c r="L107" s="21" t="n"/>
      <c r="M107" s="22">
        <f>IF(J107="","",L107/J107)</f>
        <v/>
      </c>
      <c r="N107" s="21" t="n"/>
      <c r="O107" s="23" t="n"/>
      <c r="P107" s="24">
        <f>IF(N107="","",N107+O107)</f>
        <v/>
      </c>
      <c r="Q107" s="24">
        <f>IF(N107="","",J107*N107)</f>
        <v/>
      </c>
      <c r="R107" s="24">
        <f>IF(O107="","",J107*O107)</f>
        <v/>
      </c>
      <c r="S107" s="24">
        <f>IF(N107="","",Q107+R107)</f>
        <v/>
      </c>
      <c r="T107" s="21" t="n"/>
      <c r="U107" s="19" t="n"/>
      <c r="V107" s="20" t="n"/>
    </row>
    <row r="108">
      <c r="A108" s="18" t="n">
        <v>92</v>
      </c>
      <c r="B108" s="19" t="n"/>
      <c r="C108" s="19" t="n"/>
      <c r="D108" s="19" t="n"/>
      <c r="E108" s="19" t="n"/>
      <c r="F108" s="19" t="n"/>
      <c r="G108" s="20" t="n"/>
      <c r="H108" s="19" t="n"/>
      <c r="I108" s="19" t="n"/>
      <c r="J108" s="19" t="n"/>
      <c r="K108" s="19" t="n"/>
      <c r="L108" s="21" t="n"/>
      <c r="M108" s="22">
        <f>IF(J108="","",L108/J108)</f>
        <v/>
      </c>
      <c r="N108" s="21" t="n"/>
      <c r="O108" s="23" t="n"/>
      <c r="P108" s="24">
        <f>IF(N108="","",N108+O108)</f>
        <v/>
      </c>
      <c r="Q108" s="24">
        <f>IF(N108="","",J108*N108)</f>
        <v/>
      </c>
      <c r="R108" s="24">
        <f>IF(O108="","",J108*O108)</f>
        <v/>
      </c>
      <c r="S108" s="24">
        <f>IF(N108="","",Q108+R108)</f>
        <v/>
      </c>
      <c r="T108" s="21" t="n"/>
      <c r="U108" s="19" t="n"/>
      <c r="V108" s="20" t="n"/>
    </row>
    <row r="109">
      <c r="A109" s="18" t="n">
        <v>93</v>
      </c>
      <c r="B109" s="19" t="n"/>
      <c r="C109" s="19" t="n"/>
      <c r="D109" s="19" t="n"/>
      <c r="E109" s="19" t="n"/>
      <c r="F109" s="19" t="n"/>
      <c r="G109" s="20" t="n"/>
      <c r="H109" s="19" t="n"/>
      <c r="I109" s="19" t="n"/>
      <c r="J109" s="19" t="n"/>
      <c r="K109" s="19" t="n"/>
      <c r="L109" s="21" t="n"/>
      <c r="M109" s="22">
        <f>IF(J109="","",L109/J109)</f>
        <v/>
      </c>
      <c r="N109" s="21" t="n"/>
      <c r="O109" s="23" t="n"/>
      <c r="P109" s="24">
        <f>IF(N109="","",N109+O109)</f>
        <v/>
      </c>
      <c r="Q109" s="24">
        <f>IF(N109="","",J109*N109)</f>
        <v/>
      </c>
      <c r="R109" s="24">
        <f>IF(O109="","",J109*O109)</f>
        <v/>
      </c>
      <c r="S109" s="24">
        <f>IF(N109="","",Q109+R109)</f>
        <v/>
      </c>
      <c r="T109" s="21" t="n"/>
      <c r="U109" s="19" t="n"/>
      <c r="V109" s="20" t="n"/>
    </row>
    <row r="110">
      <c r="A110" s="18" t="n">
        <v>94</v>
      </c>
      <c r="B110" s="19" t="n"/>
      <c r="C110" s="19" t="n"/>
      <c r="D110" s="19" t="n"/>
      <c r="E110" s="19" t="n"/>
      <c r="F110" s="19" t="n"/>
      <c r="G110" s="20" t="n"/>
      <c r="H110" s="19" t="n"/>
      <c r="I110" s="19" t="n"/>
      <c r="J110" s="19" t="n"/>
      <c r="K110" s="19" t="n"/>
      <c r="L110" s="21" t="n"/>
      <c r="M110" s="22">
        <f>IF(J110="","",L110/J110)</f>
        <v/>
      </c>
      <c r="N110" s="21" t="n"/>
      <c r="O110" s="23" t="n"/>
      <c r="P110" s="24">
        <f>IF(N110="","",N110+O110)</f>
        <v/>
      </c>
      <c r="Q110" s="24">
        <f>IF(N110="","",J110*N110)</f>
        <v/>
      </c>
      <c r="R110" s="24">
        <f>IF(O110="","",J110*O110)</f>
        <v/>
      </c>
      <c r="S110" s="24">
        <f>IF(N110="","",Q110+R110)</f>
        <v/>
      </c>
      <c r="T110" s="21" t="n"/>
      <c r="U110" s="19" t="n"/>
      <c r="V110" s="20" t="n"/>
    </row>
    <row r="111">
      <c r="A111" s="18" t="n">
        <v>95</v>
      </c>
      <c r="B111" s="19" t="n"/>
      <c r="C111" s="19" t="n"/>
      <c r="D111" s="19" t="n"/>
      <c r="E111" s="19" t="n"/>
      <c r="F111" s="19" t="n"/>
      <c r="G111" s="20" t="n"/>
      <c r="H111" s="19" t="n"/>
      <c r="I111" s="19" t="n"/>
      <c r="J111" s="19" t="n"/>
      <c r="K111" s="19" t="n"/>
      <c r="L111" s="21" t="n"/>
      <c r="M111" s="22">
        <f>IF(J111="","",L111/J111)</f>
        <v/>
      </c>
      <c r="N111" s="21" t="n"/>
      <c r="O111" s="23" t="n"/>
      <c r="P111" s="24">
        <f>IF(N111="","",N111+O111)</f>
        <v/>
      </c>
      <c r="Q111" s="24">
        <f>IF(N111="","",J111*N111)</f>
        <v/>
      </c>
      <c r="R111" s="24">
        <f>IF(O111="","",J111*O111)</f>
        <v/>
      </c>
      <c r="S111" s="24">
        <f>IF(N111="","",Q111+R111)</f>
        <v/>
      </c>
      <c r="T111" s="21" t="n"/>
      <c r="U111" s="19" t="n"/>
      <c r="V111" s="20" t="n"/>
    </row>
    <row r="112">
      <c r="A112" s="18" t="n">
        <v>96</v>
      </c>
      <c r="B112" s="19" t="n"/>
      <c r="C112" s="19" t="n"/>
      <c r="D112" s="19" t="n"/>
      <c r="E112" s="19" t="n"/>
      <c r="F112" s="19" t="n"/>
      <c r="G112" s="20" t="n"/>
      <c r="H112" s="19" t="n"/>
      <c r="I112" s="19" t="n"/>
      <c r="J112" s="19" t="n"/>
      <c r="K112" s="19" t="n"/>
      <c r="L112" s="21" t="n"/>
      <c r="M112" s="22">
        <f>IF(J112="","",L112/J112)</f>
        <v/>
      </c>
      <c r="N112" s="21" t="n"/>
      <c r="O112" s="23" t="n"/>
      <c r="P112" s="24">
        <f>IF(N112="","",N112+O112)</f>
        <v/>
      </c>
      <c r="Q112" s="24">
        <f>IF(N112="","",J112*N112)</f>
        <v/>
      </c>
      <c r="R112" s="24">
        <f>IF(O112="","",J112*O112)</f>
        <v/>
      </c>
      <c r="S112" s="24">
        <f>IF(N112="","",Q112+R112)</f>
        <v/>
      </c>
      <c r="T112" s="21" t="n"/>
      <c r="U112" s="19" t="n"/>
      <c r="V112" s="20" t="n"/>
    </row>
    <row r="113">
      <c r="A113" s="18" t="n">
        <v>97</v>
      </c>
      <c r="B113" s="19" t="n"/>
      <c r="C113" s="19" t="n"/>
      <c r="D113" s="19" t="n"/>
      <c r="E113" s="19" t="n"/>
      <c r="F113" s="19" t="n"/>
      <c r="G113" s="20" t="n"/>
      <c r="H113" s="19" t="n"/>
      <c r="I113" s="19" t="n"/>
      <c r="J113" s="19" t="n"/>
      <c r="K113" s="19" t="n"/>
      <c r="L113" s="21" t="n"/>
      <c r="M113" s="22">
        <f>IF(J113="","",L113/J113)</f>
        <v/>
      </c>
      <c r="N113" s="21" t="n"/>
      <c r="O113" s="23" t="n"/>
      <c r="P113" s="24">
        <f>IF(N113="","",N113+O113)</f>
        <v/>
      </c>
      <c r="Q113" s="24">
        <f>IF(N113="","",J113*N113)</f>
        <v/>
      </c>
      <c r="R113" s="24">
        <f>IF(O113="","",J113*O113)</f>
        <v/>
      </c>
      <c r="S113" s="24">
        <f>IF(N113="","",Q113+R113)</f>
        <v/>
      </c>
      <c r="T113" s="21" t="n"/>
      <c r="U113" s="19" t="n"/>
      <c r="V113" s="20" t="n"/>
    </row>
    <row r="114">
      <c r="A114" s="18" t="n">
        <v>98</v>
      </c>
      <c r="B114" s="19" t="n"/>
      <c r="C114" s="19" t="n"/>
      <c r="D114" s="19" t="n"/>
      <c r="E114" s="19" t="n"/>
      <c r="F114" s="19" t="n"/>
      <c r="G114" s="20" t="n"/>
      <c r="H114" s="19" t="n"/>
      <c r="I114" s="19" t="n"/>
      <c r="J114" s="19" t="n"/>
      <c r="K114" s="19" t="n"/>
      <c r="L114" s="21" t="n"/>
      <c r="M114" s="22">
        <f>IF(J114="","",L114/J114)</f>
        <v/>
      </c>
      <c r="N114" s="21" t="n"/>
      <c r="O114" s="23" t="n"/>
      <c r="P114" s="24">
        <f>IF(N114="","",N114+O114)</f>
        <v/>
      </c>
      <c r="Q114" s="24">
        <f>IF(N114="","",J114*N114)</f>
        <v/>
      </c>
      <c r="R114" s="24">
        <f>IF(O114="","",J114*O114)</f>
        <v/>
      </c>
      <c r="S114" s="24">
        <f>IF(N114="","",Q114+R114)</f>
        <v/>
      </c>
      <c r="T114" s="21" t="n"/>
      <c r="U114" s="19" t="n"/>
      <c r="V114" s="20" t="n"/>
    </row>
    <row r="115">
      <c r="A115" s="18" t="n">
        <v>99</v>
      </c>
      <c r="B115" s="19" t="n"/>
      <c r="C115" s="19" t="n"/>
      <c r="D115" s="19" t="n"/>
      <c r="E115" s="19" t="n"/>
      <c r="F115" s="19" t="n"/>
      <c r="G115" s="20" t="n"/>
      <c r="H115" s="19" t="n"/>
      <c r="I115" s="19" t="n"/>
      <c r="J115" s="19" t="n"/>
      <c r="K115" s="19" t="n"/>
      <c r="L115" s="21" t="n"/>
      <c r="M115" s="22">
        <f>IF(J115="","",L115/J115)</f>
        <v/>
      </c>
      <c r="N115" s="21" t="n"/>
      <c r="O115" s="23" t="n"/>
      <c r="P115" s="24">
        <f>IF(N115="","",N115+O115)</f>
        <v/>
      </c>
      <c r="Q115" s="24">
        <f>IF(N115="","",J115*N115)</f>
        <v/>
      </c>
      <c r="R115" s="24">
        <f>IF(O115="","",J115*O115)</f>
        <v/>
      </c>
      <c r="S115" s="24">
        <f>IF(N115="","",Q115+R115)</f>
        <v/>
      </c>
      <c r="T115" s="21" t="n"/>
      <c r="U115" s="19" t="n"/>
      <c r="V115" s="20" t="n"/>
    </row>
    <row r="116">
      <c r="A116" s="18" t="n">
        <v>100</v>
      </c>
      <c r="B116" s="19" t="n"/>
      <c r="C116" s="19" t="n"/>
      <c r="D116" s="19" t="n"/>
      <c r="E116" s="19" t="n"/>
      <c r="F116" s="19" t="n"/>
      <c r="G116" s="20" t="n"/>
      <c r="H116" s="19" t="n"/>
      <c r="I116" s="19" t="n"/>
      <c r="J116" s="19" t="n"/>
      <c r="K116" s="19" t="n"/>
      <c r="L116" s="21" t="n"/>
      <c r="M116" s="22">
        <f>IF(J116="","",L116/J116)</f>
        <v/>
      </c>
      <c r="N116" s="21" t="n"/>
      <c r="O116" s="23" t="n"/>
      <c r="P116" s="24">
        <f>IF(N116="","",N116+O116)</f>
        <v/>
      </c>
      <c r="Q116" s="24">
        <f>IF(N116="","",J116*N116)</f>
        <v/>
      </c>
      <c r="R116" s="24">
        <f>IF(O116="","",J116*O116)</f>
        <v/>
      </c>
      <c r="S116" s="24">
        <f>IF(N116="","",Q116+R116)</f>
        <v/>
      </c>
      <c r="T116" s="21" t="n"/>
      <c r="U116" s="19" t="n"/>
      <c r="V116" s="20" t="n"/>
    </row>
    <row r="117">
      <c r="A117" s="18" t="n">
        <v>101</v>
      </c>
      <c r="B117" s="19" t="n"/>
      <c r="C117" s="19" t="n"/>
      <c r="D117" s="19" t="n"/>
      <c r="E117" s="19" t="n"/>
      <c r="F117" s="19" t="n"/>
      <c r="G117" s="20" t="n"/>
      <c r="H117" s="19" t="n"/>
      <c r="I117" s="19" t="n"/>
      <c r="J117" s="19" t="n"/>
      <c r="K117" s="19" t="n"/>
      <c r="L117" s="21" t="n"/>
      <c r="M117" s="22">
        <f>IF(J117="","",L117/J117)</f>
        <v/>
      </c>
      <c r="N117" s="21" t="n"/>
      <c r="O117" s="23" t="n"/>
      <c r="P117" s="24">
        <f>IF(N117="","",N117+O117)</f>
        <v/>
      </c>
      <c r="Q117" s="24">
        <f>IF(N117="","",J117*N117)</f>
        <v/>
      </c>
      <c r="R117" s="24">
        <f>IF(O117="","",J117*O117)</f>
        <v/>
      </c>
      <c r="S117" s="24">
        <f>IF(N117="","",Q117+R117)</f>
        <v/>
      </c>
      <c r="T117" s="21" t="n"/>
      <c r="U117" s="19" t="n"/>
      <c r="V117" s="20" t="n"/>
    </row>
    <row r="118">
      <c r="A118" s="18" t="n">
        <v>102</v>
      </c>
      <c r="B118" s="19" t="n"/>
      <c r="C118" s="19" t="n"/>
      <c r="D118" s="19" t="n"/>
      <c r="E118" s="19" t="n"/>
      <c r="F118" s="19" t="n"/>
      <c r="G118" s="20" t="n"/>
      <c r="H118" s="19" t="n"/>
      <c r="I118" s="19" t="n"/>
      <c r="J118" s="19" t="n"/>
      <c r="K118" s="19" t="n"/>
      <c r="L118" s="21" t="n"/>
      <c r="M118" s="22">
        <f>IF(J118="","",L118/J118)</f>
        <v/>
      </c>
      <c r="N118" s="21" t="n"/>
      <c r="O118" s="23" t="n"/>
      <c r="P118" s="24">
        <f>IF(N118="","",N118+O118)</f>
        <v/>
      </c>
      <c r="Q118" s="24">
        <f>IF(N118="","",J118*N118)</f>
        <v/>
      </c>
      <c r="R118" s="24">
        <f>IF(O118="","",J118*O118)</f>
        <v/>
      </c>
      <c r="S118" s="24">
        <f>IF(N118="","",Q118+R118)</f>
        <v/>
      </c>
      <c r="T118" s="21" t="n"/>
      <c r="U118" s="19" t="n"/>
      <c r="V118" s="20" t="n"/>
    </row>
    <row r="119">
      <c r="A119" s="18" t="n">
        <v>103</v>
      </c>
      <c r="B119" s="19" t="n"/>
      <c r="C119" s="19" t="n"/>
      <c r="D119" s="19" t="n"/>
      <c r="E119" s="19" t="n"/>
      <c r="F119" s="19" t="n"/>
      <c r="G119" s="20" t="n"/>
      <c r="H119" s="19" t="n"/>
      <c r="I119" s="19" t="n"/>
      <c r="J119" s="19" t="n"/>
      <c r="K119" s="19" t="n"/>
      <c r="L119" s="21" t="n"/>
      <c r="M119" s="22">
        <f>IF(J119="","",L119/J119)</f>
        <v/>
      </c>
      <c r="N119" s="21" t="n"/>
      <c r="O119" s="23" t="n"/>
      <c r="P119" s="24">
        <f>IF(N119="","",N119+O119)</f>
        <v/>
      </c>
      <c r="Q119" s="24">
        <f>IF(N119="","",J119*N119)</f>
        <v/>
      </c>
      <c r="R119" s="24">
        <f>IF(O119="","",J119*O119)</f>
        <v/>
      </c>
      <c r="S119" s="24">
        <f>IF(N119="","",Q119+R119)</f>
        <v/>
      </c>
      <c r="T119" s="21" t="n"/>
      <c r="U119" s="19" t="n"/>
      <c r="V119" s="20" t="n"/>
    </row>
    <row r="120">
      <c r="A120" s="18" t="n">
        <v>104</v>
      </c>
      <c r="B120" s="19" t="n"/>
      <c r="C120" s="19" t="n"/>
      <c r="D120" s="19" t="n"/>
      <c r="E120" s="19" t="n"/>
      <c r="F120" s="19" t="n"/>
      <c r="G120" s="20" t="n"/>
      <c r="H120" s="19" t="n"/>
      <c r="I120" s="19" t="n"/>
      <c r="J120" s="19" t="n"/>
      <c r="K120" s="19" t="n"/>
      <c r="L120" s="21" t="n"/>
      <c r="M120" s="22">
        <f>IF(J120="","",L120/J120)</f>
        <v/>
      </c>
      <c r="N120" s="21" t="n"/>
      <c r="O120" s="23" t="n"/>
      <c r="P120" s="24">
        <f>IF(N120="","",N120+O120)</f>
        <v/>
      </c>
      <c r="Q120" s="24">
        <f>IF(N120="","",J120*N120)</f>
        <v/>
      </c>
      <c r="R120" s="24">
        <f>IF(O120="","",J120*O120)</f>
        <v/>
      </c>
      <c r="S120" s="24">
        <f>IF(N120="","",Q120+R120)</f>
        <v/>
      </c>
      <c r="T120" s="21" t="n"/>
      <c r="U120" s="19" t="n"/>
      <c r="V120" s="20" t="n"/>
    </row>
    <row r="121">
      <c r="A121" s="18" t="n">
        <v>105</v>
      </c>
      <c r="B121" s="19" t="n"/>
      <c r="C121" s="19" t="n"/>
      <c r="D121" s="19" t="n"/>
      <c r="E121" s="19" t="n"/>
      <c r="F121" s="19" t="n"/>
      <c r="G121" s="20" t="n"/>
      <c r="H121" s="19" t="n"/>
      <c r="I121" s="19" t="n"/>
      <c r="J121" s="19" t="n"/>
      <c r="K121" s="19" t="n"/>
      <c r="L121" s="21" t="n"/>
      <c r="M121" s="22">
        <f>IF(J121="","",L121/J121)</f>
        <v/>
      </c>
      <c r="N121" s="21" t="n"/>
      <c r="O121" s="23" t="n"/>
      <c r="P121" s="24">
        <f>IF(N121="","",N121+O121)</f>
        <v/>
      </c>
      <c r="Q121" s="24">
        <f>IF(N121="","",J121*N121)</f>
        <v/>
      </c>
      <c r="R121" s="24">
        <f>IF(O121="","",J121*O121)</f>
        <v/>
      </c>
      <c r="S121" s="24">
        <f>IF(N121="","",Q121+R121)</f>
        <v/>
      </c>
      <c r="T121" s="21" t="n"/>
      <c r="U121" s="19" t="n"/>
      <c r="V121" s="20" t="n"/>
    </row>
    <row r="122">
      <c r="A122" s="18" t="n">
        <v>106</v>
      </c>
      <c r="B122" s="19" t="n"/>
      <c r="C122" s="19" t="n"/>
      <c r="D122" s="19" t="n"/>
      <c r="E122" s="19" t="n"/>
      <c r="F122" s="19" t="n"/>
      <c r="G122" s="20" t="n"/>
      <c r="H122" s="19" t="n"/>
      <c r="I122" s="19" t="n"/>
      <c r="J122" s="19" t="n"/>
      <c r="K122" s="19" t="n"/>
      <c r="L122" s="21" t="n"/>
      <c r="M122" s="22">
        <f>IF(J122="","",L122/J122)</f>
        <v/>
      </c>
      <c r="N122" s="21" t="n"/>
      <c r="O122" s="23" t="n"/>
      <c r="P122" s="24">
        <f>IF(N122="","",N122+O122)</f>
        <v/>
      </c>
      <c r="Q122" s="24">
        <f>IF(N122="","",J122*N122)</f>
        <v/>
      </c>
      <c r="R122" s="24">
        <f>IF(O122="","",J122*O122)</f>
        <v/>
      </c>
      <c r="S122" s="24">
        <f>IF(N122="","",Q122+R122)</f>
        <v/>
      </c>
      <c r="T122" s="21" t="n"/>
      <c r="U122" s="19" t="n"/>
      <c r="V122" s="20" t="n"/>
    </row>
    <row r="123">
      <c r="A123" s="18" t="n">
        <v>107</v>
      </c>
      <c r="B123" s="19" t="n"/>
      <c r="C123" s="19" t="n"/>
      <c r="D123" s="19" t="n"/>
      <c r="E123" s="19" t="n"/>
      <c r="F123" s="19" t="n"/>
      <c r="G123" s="20" t="n"/>
      <c r="H123" s="19" t="n"/>
      <c r="I123" s="19" t="n"/>
      <c r="J123" s="19" t="n"/>
      <c r="K123" s="19" t="n"/>
      <c r="L123" s="21" t="n"/>
      <c r="M123" s="22">
        <f>IF(J123="","",L123/J123)</f>
        <v/>
      </c>
      <c r="N123" s="21" t="n"/>
      <c r="O123" s="23" t="n"/>
      <c r="P123" s="24">
        <f>IF(N123="","",N123+O123)</f>
        <v/>
      </c>
      <c r="Q123" s="24">
        <f>IF(N123="","",J123*N123)</f>
        <v/>
      </c>
      <c r="R123" s="24">
        <f>IF(O123="","",J123*O123)</f>
        <v/>
      </c>
      <c r="S123" s="24">
        <f>IF(N123="","",Q123+R123)</f>
        <v/>
      </c>
      <c r="T123" s="21" t="n"/>
      <c r="U123" s="19" t="n"/>
      <c r="V123" s="20" t="n"/>
    </row>
    <row r="124">
      <c r="A124" s="18" t="n">
        <v>108</v>
      </c>
      <c r="B124" s="19" t="n"/>
      <c r="C124" s="19" t="n"/>
      <c r="D124" s="19" t="n"/>
      <c r="E124" s="19" t="n"/>
      <c r="F124" s="19" t="n"/>
      <c r="G124" s="20" t="n"/>
      <c r="H124" s="19" t="n"/>
      <c r="I124" s="19" t="n"/>
      <c r="J124" s="19" t="n"/>
      <c r="K124" s="19" t="n"/>
      <c r="L124" s="21" t="n"/>
      <c r="M124" s="22">
        <f>IF(J124="","",L124/J124)</f>
        <v/>
      </c>
      <c r="N124" s="21" t="n"/>
      <c r="O124" s="23" t="n"/>
      <c r="P124" s="24">
        <f>IF(N124="","",N124+O124)</f>
        <v/>
      </c>
      <c r="Q124" s="24">
        <f>IF(N124="","",J124*N124)</f>
        <v/>
      </c>
      <c r="R124" s="24">
        <f>IF(O124="","",J124*O124)</f>
        <v/>
      </c>
      <c r="S124" s="24">
        <f>IF(N124="","",Q124+R124)</f>
        <v/>
      </c>
      <c r="T124" s="21" t="n"/>
      <c r="U124" s="19" t="n"/>
      <c r="V124" s="20" t="n"/>
    </row>
    <row r="125">
      <c r="A125" s="18" t="n">
        <v>109</v>
      </c>
      <c r="B125" s="19" t="n"/>
      <c r="C125" s="19" t="n"/>
      <c r="D125" s="19" t="n"/>
      <c r="E125" s="19" t="n"/>
      <c r="F125" s="19" t="n"/>
      <c r="G125" s="20" t="n"/>
      <c r="H125" s="19" t="n"/>
      <c r="I125" s="19" t="n"/>
      <c r="J125" s="19" t="n"/>
      <c r="K125" s="19" t="n"/>
      <c r="L125" s="21" t="n"/>
      <c r="M125" s="22">
        <f>IF(J125="","",L125/J125)</f>
        <v/>
      </c>
      <c r="N125" s="21" t="n"/>
      <c r="O125" s="23" t="n"/>
      <c r="P125" s="24">
        <f>IF(N125="","",N125+O125)</f>
        <v/>
      </c>
      <c r="Q125" s="24">
        <f>IF(N125="","",J125*N125)</f>
        <v/>
      </c>
      <c r="R125" s="24">
        <f>IF(O125="","",J125*O125)</f>
        <v/>
      </c>
      <c r="S125" s="24">
        <f>IF(N125="","",Q125+R125)</f>
        <v/>
      </c>
      <c r="T125" s="21" t="n"/>
      <c r="U125" s="19" t="n"/>
      <c r="V125" s="20" t="n"/>
    </row>
    <row r="126">
      <c r="A126" s="18" t="n">
        <v>110</v>
      </c>
      <c r="B126" s="19" t="n"/>
      <c r="C126" s="19" t="n"/>
      <c r="D126" s="19" t="n"/>
      <c r="E126" s="19" t="n"/>
      <c r="F126" s="19" t="n"/>
      <c r="G126" s="20" t="n"/>
      <c r="H126" s="19" t="n"/>
      <c r="I126" s="19" t="n"/>
      <c r="J126" s="19" t="n"/>
      <c r="K126" s="19" t="n"/>
      <c r="L126" s="21" t="n"/>
      <c r="M126" s="22">
        <f>IF(J126="","",L126/J126)</f>
        <v/>
      </c>
      <c r="N126" s="21" t="n"/>
      <c r="O126" s="23" t="n"/>
      <c r="P126" s="24">
        <f>IF(N126="","",N126+O126)</f>
        <v/>
      </c>
      <c r="Q126" s="24">
        <f>IF(N126="","",J126*N126)</f>
        <v/>
      </c>
      <c r="R126" s="24">
        <f>IF(O126="","",J126*O126)</f>
        <v/>
      </c>
      <c r="S126" s="24">
        <f>IF(N126="","",Q126+R126)</f>
        <v/>
      </c>
      <c r="T126" s="21" t="n"/>
      <c r="U126" s="19" t="n"/>
      <c r="V126" s="20" t="n"/>
    </row>
    <row r="127">
      <c r="A127" s="18" t="n">
        <v>111</v>
      </c>
      <c r="B127" s="19" t="n"/>
      <c r="C127" s="19" t="n"/>
      <c r="D127" s="19" t="n"/>
      <c r="E127" s="19" t="n"/>
      <c r="F127" s="19" t="n"/>
      <c r="G127" s="20" t="n"/>
      <c r="H127" s="19" t="n"/>
      <c r="I127" s="19" t="n"/>
      <c r="J127" s="19" t="n"/>
      <c r="K127" s="19" t="n"/>
      <c r="L127" s="21" t="n"/>
      <c r="M127" s="22">
        <f>IF(J127="","",L127/J127)</f>
        <v/>
      </c>
      <c r="N127" s="21" t="n"/>
      <c r="O127" s="23" t="n"/>
      <c r="P127" s="24">
        <f>IF(N127="","",N127+O127)</f>
        <v/>
      </c>
      <c r="Q127" s="24">
        <f>IF(N127="","",J127*N127)</f>
        <v/>
      </c>
      <c r="R127" s="24">
        <f>IF(O127="","",J127*O127)</f>
        <v/>
      </c>
      <c r="S127" s="24">
        <f>IF(N127="","",Q127+R127)</f>
        <v/>
      </c>
      <c r="T127" s="21" t="n"/>
      <c r="U127" s="19" t="n"/>
      <c r="V127" s="20" t="n"/>
    </row>
    <row r="128">
      <c r="A128" s="18" t="n">
        <v>112</v>
      </c>
      <c r="B128" s="19" t="n"/>
      <c r="C128" s="19" t="n"/>
      <c r="D128" s="19" t="n"/>
      <c r="E128" s="19" t="n"/>
      <c r="F128" s="19" t="n"/>
      <c r="G128" s="20" t="n"/>
      <c r="H128" s="19" t="n"/>
      <c r="I128" s="19" t="n"/>
      <c r="J128" s="19" t="n"/>
      <c r="K128" s="19" t="n"/>
      <c r="L128" s="21" t="n"/>
      <c r="M128" s="22">
        <f>IF(J128="","",L128/J128)</f>
        <v/>
      </c>
      <c r="N128" s="21" t="n"/>
      <c r="O128" s="23" t="n"/>
      <c r="P128" s="24">
        <f>IF(N128="","",N128+O128)</f>
        <v/>
      </c>
      <c r="Q128" s="24">
        <f>IF(N128="","",J128*N128)</f>
        <v/>
      </c>
      <c r="R128" s="24">
        <f>IF(O128="","",J128*O128)</f>
        <v/>
      </c>
      <c r="S128" s="24">
        <f>IF(N128="","",Q128+R128)</f>
        <v/>
      </c>
      <c r="T128" s="21" t="n"/>
      <c r="U128" s="19" t="n"/>
      <c r="V128" s="20" t="n"/>
    </row>
    <row r="129">
      <c r="A129" s="18" t="n">
        <v>113</v>
      </c>
      <c r="B129" s="19" t="n"/>
      <c r="C129" s="19" t="n"/>
      <c r="D129" s="19" t="n"/>
      <c r="E129" s="19" t="n"/>
      <c r="F129" s="19" t="n"/>
      <c r="G129" s="20" t="n"/>
      <c r="H129" s="19" t="n"/>
      <c r="I129" s="19" t="n"/>
      <c r="J129" s="19" t="n"/>
      <c r="K129" s="19" t="n"/>
      <c r="L129" s="21" t="n"/>
      <c r="M129" s="22">
        <f>IF(J129="","",L129/J129)</f>
        <v/>
      </c>
      <c r="N129" s="21" t="n"/>
      <c r="O129" s="23" t="n"/>
      <c r="P129" s="24">
        <f>IF(N129="","",N129+O129)</f>
        <v/>
      </c>
      <c r="Q129" s="24">
        <f>IF(N129="","",J129*N129)</f>
        <v/>
      </c>
      <c r="R129" s="24">
        <f>IF(O129="","",J129*O129)</f>
        <v/>
      </c>
      <c r="S129" s="24">
        <f>IF(N129="","",Q129+R129)</f>
        <v/>
      </c>
      <c r="T129" s="21" t="n"/>
      <c r="U129" s="19" t="n"/>
      <c r="V129" s="20" t="n"/>
    </row>
    <row r="130">
      <c r="A130" s="18" t="n">
        <v>114</v>
      </c>
      <c r="B130" s="19" t="n"/>
      <c r="C130" s="19" t="n"/>
      <c r="D130" s="19" t="n"/>
      <c r="E130" s="19" t="n"/>
      <c r="F130" s="19" t="n"/>
      <c r="G130" s="20" t="n"/>
      <c r="H130" s="19" t="n"/>
      <c r="I130" s="19" t="n"/>
      <c r="J130" s="19" t="n"/>
      <c r="K130" s="19" t="n"/>
      <c r="L130" s="21" t="n"/>
      <c r="M130" s="22">
        <f>IF(J130="","",L130/J130)</f>
        <v/>
      </c>
      <c r="N130" s="21" t="n"/>
      <c r="O130" s="23" t="n"/>
      <c r="P130" s="24">
        <f>IF(N130="","",N130+O130)</f>
        <v/>
      </c>
      <c r="Q130" s="24">
        <f>IF(N130="","",J130*N130)</f>
        <v/>
      </c>
      <c r="R130" s="24">
        <f>IF(O130="","",J130*O130)</f>
        <v/>
      </c>
      <c r="S130" s="24">
        <f>IF(N130="","",Q130+R130)</f>
        <v/>
      </c>
      <c r="T130" s="21" t="n"/>
      <c r="U130" s="19" t="n"/>
      <c r="V130" s="20" t="n"/>
    </row>
    <row r="131">
      <c r="A131" s="18" t="n">
        <v>115</v>
      </c>
      <c r="B131" s="19" t="n"/>
      <c r="C131" s="19" t="n"/>
      <c r="D131" s="19" t="n"/>
      <c r="E131" s="19" t="n"/>
      <c r="F131" s="19" t="n"/>
      <c r="G131" s="20" t="n"/>
      <c r="H131" s="19" t="n"/>
      <c r="I131" s="19" t="n"/>
      <c r="J131" s="19" t="n"/>
      <c r="K131" s="19" t="n"/>
      <c r="L131" s="21" t="n"/>
      <c r="M131" s="22">
        <f>IF(J131="","",L131/J131)</f>
        <v/>
      </c>
      <c r="N131" s="21" t="n"/>
      <c r="O131" s="23" t="n"/>
      <c r="P131" s="24">
        <f>IF(N131="","",N131+O131)</f>
        <v/>
      </c>
      <c r="Q131" s="24">
        <f>IF(N131="","",J131*N131)</f>
        <v/>
      </c>
      <c r="R131" s="24">
        <f>IF(O131="","",J131*O131)</f>
        <v/>
      </c>
      <c r="S131" s="24">
        <f>IF(N131="","",Q131+R131)</f>
        <v/>
      </c>
      <c r="T131" s="21" t="n"/>
      <c r="U131" s="19" t="n"/>
      <c r="V131" s="20" t="n"/>
    </row>
    <row r="132">
      <c r="A132" s="18" t="n">
        <v>116</v>
      </c>
      <c r="B132" s="19" t="n"/>
      <c r="C132" s="19" t="n"/>
      <c r="D132" s="19" t="n"/>
      <c r="E132" s="19" t="n"/>
      <c r="F132" s="19" t="n"/>
      <c r="G132" s="20" t="n"/>
      <c r="H132" s="19" t="n"/>
      <c r="I132" s="19" t="n"/>
      <c r="J132" s="19" t="n"/>
      <c r="K132" s="19" t="n"/>
      <c r="L132" s="21" t="n"/>
      <c r="M132" s="22">
        <f>IF(J132="","",L132/J132)</f>
        <v/>
      </c>
      <c r="N132" s="21" t="n"/>
      <c r="O132" s="23" t="n"/>
      <c r="P132" s="24">
        <f>IF(N132="","",N132+O132)</f>
        <v/>
      </c>
      <c r="Q132" s="24">
        <f>IF(N132="","",J132*N132)</f>
        <v/>
      </c>
      <c r="R132" s="24">
        <f>IF(O132="","",J132*O132)</f>
        <v/>
      </c>
      <c r="S132" s="24">
        <f>IF(N132="","",Q132+R132)</f>
        <v/>
      </c>
      <c r="T132" s="21" t="n"/>
      <c r="U132" s="19" t="n"/>
      <c r="V132" s="20" t="n"/>
    </row>
    <row r="133">
      <c r="A133" s="18" t="n">
        <v>117</v>
      </c>
      <c r="B133" s="19" t="n"/>
      <c r="C133" s="19" t="n"/>
      <c r="D133" s="19" t="n"/>
      <c r="E133" s="19" t="n"/>
      <c r="F133" s="19" t="n"/>
      <c r="G133" s="20" t="n"/>
      <c r="H133" s="19" t="n"/>
      <c r="I133" s="19" t="n"/>
      <c r="J133" s="19" t="n"/>
      <c r="K133" s="19" t="n"/>
      <c r="L133" s="21" t="n"/>
      <c r="M133" s="22">
        <f>IF(J133="","",L133/J133)</f>
        <v/>
      </c>
      <c r="N133" s="21" t="n"/>
      <c r="O133" s="23" t="n"/>
      <c r="P133" s="24">
        <f>IF(N133="","",N133+O133)</f>
        <v/>
      </c>
      <c r="Q133" s="24">
        <f>IF(N133="","",J133*N133)</f>
        <v/>
      </c>
      <c r="R133" s="24">
        <f>IF(O133="","",J133*O133)</f>
        <v/>
      </c>
      <c r="S133" s="24">
        <f>IF(N133="","",Q133+R133)</f>
        <v/>
      </c>
      <c r="T133" s="21" t="n"/>
      <c r="U133" s="19" t="n"/>
      <c r="V133" s="20" t="n"/>
    </row>
    <row r="134">
      <c r="A134" s="18" t="n">
        <v>118</v>
      </c>
      <c r="B134" s="19" t="n"/>
      <c r="C134" s="19" t="n"/>
      <c r="D134" s="19" t="n"/>
      <c r="E134" s="19" t="n"/>
      <c r="F134" s="19" t="n"/>
      <c r="G134" s="20" t="n"/>
      <c r="H134" s="19" t="n"/>
      <c r="I134" s="19" t="n"/>
      <c r="J134" s="19" t="n"/>
      <c r="K134" s="19" t="n"/>
      <c r="L134" s="21" t="n"/>
      <c r="M134" s="22">
        <f>IF(J134="","",L134/J134)</f>
        <v/>
      </c>
      <c r="N134" s="21" t="n"/>
      <c r="O134" s="23" t="n"/>
      <c r="P134" s="24">
        <f>IF(N134="","",N134+O134)</f>
        <v/>
      </c>
      <c r="Q134" s="24">
        <f>IF(N134="","",J134*N134)</f>
        <v/>
      </c>
      <c r="R134" s="24">
        <f>IF(O134="","",J134*O134)</f>
        <v/>
      </c>
      <c r="S134" s="24">
        <f>IF(N134="","",Q134+R134)</f>
        <v/>
      </c>
      <c r="T134" s="21" t="n"/>
      <c r="U134" s="19" t="n"/>
      <c r="V134" s="20" t="n"/>
    </row>
    <row r="135">
      <c r="A135" s="18" t="n">
        <v>119</v>
      </c>
      <c r="B135" s="19" t="n"/>
      <c r="C135" s="19" t="n"/>
      <c r="D135" s="19" t="n"/>
      <c r="E135" s="19" t="n"/>
      <c r="F135" s="19" t="n"/>
      <c r="G135" s="20" t="n"/>
      <c r="H135" s="19" t="n"/>
      <c r="I135" s="19" t="n"/>
      <c r="J135" s="19" t="n"/>
      <c r="K135" s="19" t="n"/>
      <c r="L135" s="21" t="n"/>
      <c r="M135" s="22">
        <f>IF(J135="","",L135/J135)</f>
        <v/>
      </c>
      <c r="N135" s="21" t="n"/>
      <c r="O135" s="23" t="n"/>
      <c r="P135" s="24">
        <f>IF(N135="","",N135+O135)</f>
        <v/>
      </c>
      <c r="Q135" s="24">
        <f>IF(N135="","",J135*N135)</f>
        <v/>
      </c>
      <c r="R135" s="24">
        <f>IF(O135="","",J135*O135)</f>
        <v/>
      </c>
      <c r="S135" s="24">
        <f>IF(N135="","",Q135+R135)</f>
        <v/>
      </c>
      <c r="T135" s="21" t="n"/>
      <c r="U135" s="19" t="n"/>
      <c r="V135" s="20" t="n"/>
    </row>
    <row r="136">
      <c r="A136" s="18" t="n">
        <v>120</v>
      </c>
      <c r="B136" s="19" t="n"/>
      <c r="C136" s="19" t="n"/>
      <c r="D136" s="19" t="n"/>
      <c r="E136" s="19" t="n"/>
      <c r="F136" s="19" t="n"/>
      <c r="G136" s="20" t="n"/>
      <c r="H136" s="19" t="n"/>
      <c r="I136" s="19" t="n"/>
      <c r="J136" s="19" t="n"/>
      <c r="K136" s="19" t="n"/>
      <c r="L136" s="21" t="n"/>
      <c r="M136" s="22">
        <f>IF(J136="","",L136/J136)</f>
        <v/>
      </c>
      <c r="N136" s="21" t="n"/>
      <c r="O136" s="23" t="n"/>
      <c r="P136" s="24">
        <f>IF(N136="","",N136+O136)</f>
        <v/>
      </c>
      <c r="Q136" s="24">
        <f>IF(N136="","",J136*N136)</f>
        <v/>
      </c>
      <c r="R136" s="24">
        <f>IF(O136="","",J136*O136)</f>
        <v/>
      </c>
      <c r="S136" s="24">
        <f>IF(N136="","",Q136+R136)</f>
        <v/>
      </c>
      <c r="T136" s="21" t="n"/>
      <c r="U136" s="19" t="n"/>
      <c r="V136" s="20" t="n"/>
    </row>
    <row r="137">
      <c r="A137" s="18" t="n">
        <v>121</v>
      </c>
      <c r="B137" s="19" t="n"/>
      <c r="C137" s="19" t="n"/>
      <c r="D137" s="19" t="n"/>
      <c r="E137" s="19" t="n"/>
      <c r="F137" s="19" t="n"/>
      <c r="G137" s="20" t="n"/>
      <c r="H137" s="19" t="n"/>
      <c r="I137" s="19" t="n"/>
      <c r="J137" s="19" t="n"/>
      <c r="K137" s="19" t="n"/>
      <c r="L137" s="21" t="n"/>
      <c r="M137" s="22">
        <f>IF(J137="","",L137/J137)</f>
        <v/>
      </c>
      <c r="N137" s="21" t="n"/>
      <c r="O137" s="23" t="n"/>
      <c r="P137" s="24">
        <f>IF(N137="","",N137+O137)</f>
        <v/>
      </c>
      <c r="Q137" s="24">
        <f>IF(N137="","",J137*N137)</f>
        <v/>
      </c>
      <c r="R137" s="24">
        <f>IF(O137="","",J137*O137)</f>
        <v/>
      </c>
      <c r="S137" s="24">
        <f>IF(N137="","",Q137+R137)</f>
        <v/>
      </c>
      <c r="T137" s="21" t="n"/>
      <c r="U137" s="19" t="n"/>
      <c r="V137" s="20" t="n"/>
    </row>
    <row r="138">
      <c r="A138" s="18" t="n">
        <v>122</v>
      </c>
      <c r="B138" s="19" t="n"/>
      <c r="C138" s="19" t="n"/>
      <c r="D138" s="19" t="n"/>
      <c r="E138" s="19" t="n"/>
      <c r="F138" s="19" t="n"/>
      <c r="G138" s="20" t="n"/>
      <c r="H138" s="19" t="n"/>
      <c r="I138" s="19" t="n"/>
      <c r="J138" s="19" t="n"/>
      <c r="K138" s="19" t="n"/>
      <c r="L138" s="21" t="n"/>
      <c r="M138" s="22">
        <f>IF(J138="","",L138/J138)</f>
        <v/>
      </c>
      <c r="N138" s="21" t="n"/>
      <c r="O138" s="23" t="n"/>
      <c r="P138" s="24">
        <f>IF(N138="","",N138+O138)</f>
        <v/>
      </c>
      <c r="Q138" s="24">
        <f>IF(N138="","",J138*N138)</f>
        <v/>
      </c>
      <c r="R138" s="24">
        <f>IF(O138="","",J138*O138)</f>
        <v/>
      </c>
      <c r="S138" s="24">
        <f>IF(N138="","",Q138+R138)</f>
        <v/>
      </c>
      <c r="T138" s="21" t="n"/>
      <c r="U138" s="19" t="n"/>
      <c r="V138" s="20" t="n"/>
    </row>
    <row r="139">
      <c r="A139" s="18" t="n">
        <v>123</v>
      </c>
      <c r="B139" s="19" t="n"/>
      <c r="C139" s="19" t="n"/>
      <c r="D139" s="19" t="n"/>
      <c r="E139" s="19" t="n"/>
      <c r="F139" s="19" t="n"/>
      <c r="G139" s="20" t="n"/>
      <c r="H139" s="19" t="n"/>
      <c r="I139" s="19" t="n"/>
      <c r="J139" s="19" t="n"/>
      <c r="K139" s="19" t="n"/>
      <c r="L139" s="21" t="n"/>
      <c r="M139" s="22">
        <f>IF(J139="","",L139/J139)</f>
        <v/>
      </c>
      <c r="N139" s="21" t="n"/>
      <c r="O139" s="23" t="n"/>
      <c r="P139" s="24">
        <f>IF(N139="","",N139+O139)</f>
        <v/>
      </c>
      <c r="Q139" s="24">
        <f>IF(N139="","",J139*N139)</f>
        <v/>
      </c>
      <c r="R139" s="24">
        <f>IF(O139="","",J139*O139)</f>
        <v/>
      </c>
      <c r="S139" s="24">
        <f>IF(N139="","",Q139+R139)</f>
        <v/>
      </c>
      <c r="T139" s="21" t="n"/>
      <c r="U139" s="19" t="n"/>
      <c r="V139" s="20" t="n"/>
    </row>
    <row r="140">
      <c r="A140" s="18" t="n">
        <v>124</v>
      </c>
      <c r="B140" s="19" t="n"/>
      <c r="C140" s="19" t="n"/>
      <c r="D140" s="19" t="n"/>
      <c r="E140" s="19" t="n"/>
      <c r="F140" s="19" t="n"/>
      <c r="G140" s="20" t="n"/>
      <c r="H140" s="19" t="n"/>
      <c r="I140" s="19" t="n"/>
      <c r="J140" s="19" t="n"/>
      <c r="K140" s="19" t="n"/>
      <c r="L140" s="21" t="n"/>
      <c r="M140" s="22">
        <f>IF(J140="","",L140/J140)</f>
        <v/>
      </c>
      <c r="N140" s="21" t="n"/>
      <c r="O140" s="23" t="n"/>
      <c r="P140" s="24">
        <f>IF(N140="","",N140+O140)</f>
        <v/>
      </c>
      <c r="Q140" s="24">
        <f>IF(N140="","",J140*N140)</f>
        <v/>
      </c>
      <c r="R140" s="24">
        <f>IF(O140="","",J140*O140)</f>
        <v/>
      </c>
      <c r="S140" s="24">
        <f>IF(N140="","",Q140+R140)</f>
        <v/>
      </c>
      <c r="T140" s="21" t="n"/>
      <c r="U140" s="19" t="n"/>
      <c r="V140" s="20" t="n"/>
    </row>
    <row r="141">
      <c r="A141" s="18" t="n">
        <v>125</v>
      </c>
      <c r="B141" s="19" t="n"/>
      <c r="C141" s="19" t="n"/>
      <c r="D141" s="19" t="n"/>
      <c r="E141" s="19" t="n"/>
      <c r="F141" s="19" t="n"/>
      <c r="G141" s="20" t="n"/>
      <c r="H141" s="19" t="n"/>
      <c r="I141" s="19" t="n"/>
      <c r="J141" s="19" t="n"/>
      <c r="K141" s="19" t="n"/>
      <c r="L141" s="21" t="n"/>
      <c r="M141" s="22">
        <f>IF(J141="","",L141/J141)</f>
        <v/>
      </c>
      <c r="N141" s="21" t="n"/>
      <c r="O141" s="23" t="n"/>
      <c r="P141" s="24">
        <f>IF(N141="","",N141+O141)</f>
        <v/>
      </c>
      <c r="Q141" s="24">
        <f>IF(N141="","",J141*N141)</f>
        <v/>
      </c>
      <c r="R141" s="24">
        <f>IF(O141="","",J141*O141)</f>
        <v/>
      </c>
      <c r="S141" s="24">
        <f>IF(N141="","",Q141+R141)</f>
        <v/>
      </c>
      <c r="T141" s="21" t="n"/>
      <c r="U141" s="19" t="n"/>
      <c r="V141" s="20" t="n"/>
    </row>
    <row r="142">
      <c r="A142" s="18" t="n">
        <v>126</v>
      </c>
      <c r="B142" s="19" t="n"/>
      <c r="C142" s="19" t="n"/>
      <c r="D142" s="19" t="n"/>
      <c r="E142" s="19" t="n"/>
      <c r="F142" s="19" t="n"/>
      <c r="G142" s="20" t="n"/>
      <c r="H142" s="19" t="n"/>
      <c r="I142" s="19" t="n"/>
      <c r="J142" s="19" t="n"/>
      <c r="K142" s="19" t="n"/>
      <c r="L142" s="21" t="n"/>
      <c r="M142" s="22">
        <f>IF(J142="","",L142/J142)</f>
        <v/>
      </c>
      <c r="N142" s="21" t="n"/>
      <c r="O142" s="23" t="n"/>
      <c r="P142" s="24">
        <f>IF(N142="","",N142+O142)</f>
        <v/>
      </c>
      <c r="Q142" s="24">
        <f>IF(N142="","",J142*N142)</f>
        <v/>
      </c>
      <c r="R142" s="24">
        <f>IF(O142="","",J142*O142)</f>
        <v/>
      </c>
      <c r="S142" s="24">
        <f>IF(N142="","",Q142+R142)</f>
        <v/>
      </c>
      <c r="T142" s="21" t="n"/>
      <c r="U142" s="19" t="n"/>
      <c r="V142" s="20" t="n"/>
    </row>
    <row r="143">
      <c r="A143" s="18" t="n">
        <v>127</v>
      </c>
      <c r="B143" s="19" t="n"/>
      <c r="C143" s="19" t="n"/>
      <c r="D143" s="19" t="n"/>
      <c r="E143" s="19" t="n"/>
      <c r="F143" s="19" t="n"/>
      <c r="G143" s="20" t="n"/>
      <c r="H143" s="19" t="n"/>
      <c r="I143" s="19" t="n"/>
      <c r="J143" s="19" t="n"/>
      <c r="K143" s="19" t="n"/>
      <c r="L143" s="21" t="n"/>
      <c r="M143" s="22">
        <f>IF(J143="","",L143/J143)</f>
        <v/>
      </c>
      <c r="N143" s="21" t="n"/>
      <c r="O143" s="23" t="n"/>
      <c r="P143" s="24">
        <f>IF(N143="","",N143+O143)</f>
        <v/>
      </c>
      <c r="Q143" s="24">
        <f>IF(N143="","",J143*N143)</f>
        <v/>
      </c>
      <c r="R143" s="24">
        <f>IF(O143="","",J143*O143)</f>
        <v/>
      </c>
      <c r="S143" s="24">
        <f>IF(N143="","",Q143+R143)</f>
        <v/>
      </c>
      <c r="T143" s="21" t="n"/>
      <c r="U143" s="19" t="n"/>
      <c r="V143" s="20" t="n"/>
    </row>
    <row r="144">
      <c r="A144" s="18" t="n">
        <v>128</v>
      </c>
      <c r="B144" s="19" t="n"/>
      <c r="C144" s="19" t="n"/>
      <c r="D144" s="19" t="n"/>
      <c r="E144" s="19" t="n"/>
      <c r="F144" s="19" t="n"/>
      <c r="G144" s="20" t="n"/>
      <c r="H144" s="19" t="n"/>
      <c r="I144" s="19" t="n"/>
      <c r="J144" s="19" t="n"/>
      <c r="K144" s="19" t="n"/>
      <c r="L144" s="21" t="n"/>
      <c r="M144" s="22">
        <f>IF(J144="","",L144/J144)</f>
        <v/>
      </c>
      <c r="N144" s="21" t="n"/>
      <c r="O144" s="23" t="n"/>
      <c r="P144" s="24">
        <f>IF(N144="","",N144+O144)</f>
        <v/>
      </c>
      <c r="Q144" s="24">
        <f>IF(N144="","",J144*N144)</f>
        <v/>
      </c>
      <c r="R144" s="24">
        <f>IF(O144="","",J144*O144)</f>
        <v/>
      </c>
      <c r="S144" s="24">
        <f>IF(N144="","",Q144+R144)</f>
        <v/>
      </c>
      <c r="T144" s="21" t="n"/>
      <c r="U144" s="19" t="n"/>
      <c r="V144" s="20" t="n"/>
    </row>
    <row r="145">
      <c r="A145" s="18" t="n">
        <v>129</v>
      </c>
      <c r="B145" s="19" t="n"/>
      <c r="C145" s="19" t="n"/>
      <c r="D145" s="19" t="n"/>
      <c r="E145" s="19" t="n"/>
      <c r="F145" s="19" t="n"/>
      <c r="G145" s="20" t="n"/>
      <c r="H145" s="19" t="n"/>
      <c r="I145" s="19" t="n"/>
      <c r="J145" s="19" t="n"/>
      <c r="K145" s="19" t="n"/>
      <c r="L145" s="21" t="n"/>
      <c r="M145" s="22">
        <f>IF(J145="","",L145/J145)</f>
        <v/>
      </c>
      <c r="N145" s="21" t="n"/>
      <c r="O145" s="23" t="n"/>
      <c r="P145" s="24">
        <f>IF(N145="","",N145+O145)</f>
        <v/>
      </c>
      <c r="Q145" s="24">
        <f>IF(N145="","",J145*N145)</f>
        <v/>
      </c>
      <c r="R145" s="24">
        <f>IF(O145="","",J145*O145)</f>
        <v/>
      </c>
      <c r="S145" s="24">
        <f>IF(N145="","",Q145+R145)</f>
        <v/>
      </c>
      <c r="T145" s="21" t="n"/>
      <c r="U145" s="19" t="n"/>
      <c r="V145" s="20" t="n"/>
    </row>
    <row r="146">
      <c r="A146" s="18" t="n">
        <v>130</v>
      </c>
      <c r="B146" s="19" t="n"/>
      <c r="C146" s="19" t="n"/>
      <c r="D146" s="19" t="n"/>
      <c r="E146" s="19" t="n"/>
      <c r="F146" s="19" t="n"/>
      <c r="G146" s="20" t="n"/>
      <c r="H146" s="19" t="n"/>
      <c r="I146" s="19" t="n"/>
      <c r="J146" s="19" t="n"/>
      <c r="K146" s="19" t="n"/>
      <c r="L146" s="21" t="n"/>
      <c r="M146" s="22">
        <f>IF(J146="","",L146/J146)</f>
        <v/>
      </c>
      <c r="N146" s="21" t="n"/>
      <c r="O146" s="23" t="n"/>
      <c r="P146" s="24">
        <f>IF(N146="","",N146+O146)</f>
        <v/>
      </c>
      <c r="Q146" s="24">
        <f>IF(N146="","",J146*N146)</f>
        <v/>
      </c>
      <c r="R146" s="24">
        <f>IF(O146="","",J146*O146)</f>
        <v/>
      </c>
      <c r="S146" s="24">
        <f>IF(N146="","",Q146+R146)</f>
        <v/>
      </c>
      <c r="T146" s="21" t="n"/>
      <c r="U146" s="19" t="n"/>
      <c r="V146" s="20" t="n"/>
    </row>
    <row r="147">
      <c r="A147" s="18" t="n">
        <v>131</v>
      </c>
      <c r="B147" s="19" t="n"/>
      <c r="C147" s="19" t="n"/>
      <c r="D147" s="19" t="n"/>
      <c r="E147" s="19" t="n"/>
      <c r="F147" s="19" t="n"/>
      <c r="G147" s="20" t="n"/>
      <c r="H147" s="19" t="n"/>
      <c r="I147" s="19" t="n"/>
      <c r="J147" s="19" t="n"/>
      <c r="K147" s="19" t="n"/>
      <c r="L147" s="21" t="n"/>
      <c r="M147" s="22">
        <f>IF(J147="","",L147/J147)</f>
        <v/>
      </c>
      <c r="N147" s="21" t="n"/>
      <c r="O147" s="23" t="n"/>
      <c r="P147" s="24">
        <f>IF(N147="","",N147+O147)</f>
        <v/>
      </c>
      <c r="Q147" s="24">
        <f>IF(N147="","",J147*N147)</f>
        <v/>
      </c>
      <c r="R147" s="24">
        <f>IF(O147="","",J147*O147)</f>
        <v/>
      </c>
      <c r="S147" s="24">
        <f>IF(N147="","",Q147+R147)</f>
        <v/>
      </c>
      <c r="T147" s="21" t="n"/>
      <c r="U147" s="19" t="n"/>
      <c r="V147" s="20" t="n"/>
    </row>
    <row r="148">
      <c r="A148" s="18" t="n">
        <v>132</v>
      </c>
      <c r="B148" s="19" t="n"/>
      <c r="C148" s="19" t="n"/>
      <c r="D148" s="19" t="n"/>
      <c r="E148" s="19" t="n"/>
      <c r="F148" s="19" t="n"/>
      <c r="G148" s="20" t="n"/>
      <c r="H148" s="19" t="n"/>
      <c r="I148" s="19" t="n"/>
      <c r="J148" s="19" t="n"/>
      <c r="K148" s="19" t="n"/>
      <c r="L148" s="21" t="n"/>
      <c r="M148" s="22">
        <f>IF(J148="","",L148/J148)</f>
        <v/>
      </c>
      <c r="N148" s="21" t="n"/>
      <c r="O148" s="23" t="n"/>
      <c r="P148" s="24">
        <f>IF(N148="","",N148+O148)</f>
        <v/>
      </c>
      <c r="Q148" s="24">
        <f>IF(N148="","",J148*N148)</f>
        <v/>
      </c>
      <c r="R148" s="24">
        <f>IF(O148="","",J148*O148)</f>
        <v/>
      </c>
      <c r="S148" s="24">
        <f>IF(N148="","",Q148+R148)</f>
        <v/>
      </c>
      <c r="T148" s="21" t="n"/>
      <c r="U148" s="19" t="n"/>
      <c r="V148" s="20" t="n"/>
    </row>
    <row r="149">
      <c r="A149" s="18" t="n">
        <v>133</v>
      </c>
      <c r="B149" s="19" t="n"/>
      <c r="C149" s="19" t="n"/>
      <c r="D149" s="19" t="n"/>
      <c r="E149" s="19" t="n"/>
      <c r="F149" s="19" t="n"/>
      <c r="G149" s="20" t="n"/>
      <c r="H149" s="19" t="n"/>
      <c r="I149" s="19" t="n"/>
      <c r="J149" s="19" t="n"/>
      <c r="K149" s="19" t="n"/>
      <c r="L149" s="21" t="n"/>
      <c r="M149" s="22">
        <f>IF(J149="","",L149/J149)</f>
        <v/>
      </c>
      <c r="N149" s="21" t="n"/>
      <c r="O149" s="23" t="n"/>
      <c r="P149" s="24">
        <f>IF(N149="","",N149+O149)</f>
        <v/>
      </c>
      <c r="Q149" s="24">
        <f>IF(N149="","",J149*N149)</f>
        <v/>
      </c>
      <c r="R149" s="24">
        <f>IF(O149="","",J149*O149)</f>
        <v/>
      </c>
      <c r="S149" s="24">
        <f>IF(N149="","",Q149+R149)</f>
        <v/>
      </c>
      <c r="T149" s="21" t="n"/>
      <c r="U149" s="19" t="n"/>
      <c r="V149" s="20" t="n"/>
    </row>
    <row r="150">
      <c r="A150" s="18" t="n">
        <v>134</v>
      </c>
      <c r="B150" s="19" t="n"/>
      <c r="C150" s="19" t="n"/>
      <c r="D150" s="19" t="n"/>
      <c r="E150" s="19" t="n"/>
      <c r="F150" s="19" t="n"/>
      <c r="G150" s="20" t="n"/>
      <c r="H150" s="19" t="n"/>
      <c r="I150" s="19" t="n"/>
      <c r="J150" s="19" t="n"/>
      <c r="K150" s="19" t="n"/>
      <c r="L150" s="21" t="n"/>
      <c r="M150" s="22">
        <f>IF(J150="","",L150/J150)</f>
        <v/>
      </c>
      <c r="N150" s="21" t="n"/>
      <c r="O150" s="23" t="n"/>
      <c r="P150" s="24">
        <f>IF(N150="","",N150+O150)</f>
        <v/>
      </c>
      <c r="Q150" s="24">
        <f>IF(N150="","",J150*N150)</f>
        <v/>
      </c>
      <c r="R150" s="24">
        <f>IF(O150="","",J150*O150)</f>
        <v/>
      </c>
      <c r="S150" s="24">
        <f>IF(N150="","",Q150+R150)</f>
        <v/>
      </c>
      <c r="T150" s="21" t="n"/>
      <c r="U150" s="19" t="n"/>
      <c r="V150" s="20" t="n"/>
    </row>
    <row r="151">
      <c r="A151" s="18" t="n">
        <v>135</v>
      </c>
      <c r="B151" s="19" t="n"/>
      <c r="C151" s="19" t="n"/>
      <c r="D151" s="19" t="n"/>
      <c r="E151" s="19" t="n"/>
      <c r="F151" s="19" t="n"/>
      <c r="G151" s="20" t="n"/>
      <c r="H151" s="19" t="n"/>
      <c r="I151" s="19" t="n"/>
      <c r="J151" s="19" t="n"/>
      <c r="K151" s="19" t="n"/>
      <c r="L151" s="21" t="n"/>
      <c r="M151" s="22">
        <f>IF(J151="","",L151/J151)</f>
        <v/>
      </c>
      <c r="N151" s="21" t="n"/>
      <c r="O151" s="23" t="n"/>
      <c r="P151" s="24">
        <f>IF(N151="","",N151+O151)</f>
        <v/>
      </c>
      <c r="Q151" s="24">
        <f>IF(N151="","",J151*N151)</f>
        <v/>
      </c>
      <c r="R151" s="24">
        <f>IF(O151="","",J151*O151)</f>
        <v/>
      </c>
      <c r="S151" s="24">
        <f>IF(N151="","",Q151+R151)</f>
        <v/>
      </c>
      <c r="T151" s="21" t="n"/>
      <c r="U151" s="19" t="n"/>
      <c r="V151" s="20" t="n"/>
    </row>
    <row r="152">
      <c r="A152" s="18" t="n">
        <v>136</v>
      </c>
      <c r="B152" s="19" t="n"/>
      <c r="C152" s="19" t="n"/>
      <c r="D152" s="19" t="n"/>
      <c r="E152" s="19" t="n"/>
      <c r="F152" s="19" t="n"/>
      <c r="G152" s="20" t="n"/>
      <c r="H152" s="19" t="n"/>
      <c r="I152" s="19" t="n"/>
      <c r="J152" s="19" t="n"/>
      <c r="K152" s="19" t="n"/>
      <c r="L152" s="21" t="n"/>
      <c r="M152" s="22">
        <f>IF(J152="","",L152/J152)</f>
        <v/>
      </c>
      <c r="N152" s="21" t="n"/>
      <c r="O152" s="23" t="n"/>
      <c r="P152" s="24">
        <f>IF(N152="","",N152+O152)</f>
        <v/>
      </c>
      <c r="Q152" s="24">
        <f>IF(N152="","",J152*N152)</f>
        <v/>
      </c>
      <c r="R152" s="24">
        <f>IF(O152="","",J152*O152)</f>
        <v/>
      </c>
      <c r="S152" s="24">
        <f>IF(N152="","",Q152+R152)</f>
        <v/>
      </c>
      <c r="T152" s="21" t="n"/>
      <c r="U152" s="19" t="n"/>
      <c r="V152" s="20" t="n"/>
    </row>
    <row r="153">
      <c r="A153" s="18" t="n">
        <v>137</v>
      </c>
      <c r="B153" s="19" t="n"/>
      <c r="C153" s="19" t="n"/>
      <c r="D153" s="19" t="n"/>
      <c r="E153" s="19" t="n"/>
      <c r="F153" s="19" t="n"/>
      <c r="G153" s="20" t="n"/>
      <c r="H153" s="19" t="n"/>
      <c r="I153" s="19" t="n"/>
      <c r="J153" s="19" t="n"/>
      <c r="K153" s="19" t="n"/>
      <c r="L153" s="21" t="n"/>
      <c r="M153" s="22">
        <f>IF(J153="","",L153/J153)</f>
        <v/>
      </c>
      <c r="N153" s="21" t="n"/>
      <c r="O153" s="23" t="n"/>
      <c r="P153" s="24">
        <f>IF(N153="","",N153+O153)</f>
        <v/>
      </c>
      <c r="Q153" s="24">
        <f>IF(N153="","",J153*N153)</f>
        <v/>
      </c>
      <c r="R153" s="24">
        <f>IF(O153="","",J153*O153)</f>
        <v/>
      </c>
      <c r="S153" s="24">
        <f>IF(N153="","",Q153+R153)</f>
        <v/>
      </c>
      <c r="T153" s="21" t="n"/>
      <c r="U153" s="19" t="n"/>
      <c r="V153" s="20" t="n"/>
    </row>
    <row r="154">
      <c r="A154" s="18" t="n">
        <v>138</v>
      </c>
      <c r="B154" s="19" t="n"/>
      <c r="C154" s="19" t="n"/>
      <c r="D154" s="19" t="n"/>
      <c r="E154" s="19" t="n"/>
      <c r="F154" s="19" t="n"/>
      <c r="G154" s="20" t="n"/>
      <c r="H154" s="19" t="n"/>
      <c r="I154" s="19" t="n"/>
      <c r="J154" s="19" t="n"/>
      <c r="K154" s="19" t="n"/>
      <c r="L154" s="21" t="n"/>
      <c r="M154" s="22">
        <f>IF(J154="","",L154/J154)</f>
        <v/>
      </c>
      <c r="N154" s="21" t="n"/>
      <c r="O154" s="23" t="n"/>
      <c r="P154" s="24">
        <f>IF(N154="","",N154+O154)</f>
        <v/>
      </c>
      <c r="Q154" s="24">
        <f>IF(N154="","",J154*N154)</f>
        <v/>
      </c>
      <c r="R154" s="24">
        <f>IF(O154="","",J154*O154)</f>
        <v/>
      </c>
      <c r="S154" s="24">
        <f>IF(N154="","",Q154+R154)</f>
        <v/>
      </c>
      <c r="T154" s="21" t="n"/>
      <c r="U154" s="19" t="n"/>
      <c r="V154" s="20" t="n"/>
    </row>
    <row r="155">
      <c r="A155" s="18" t="n">
        <v>139</v>
      </c>
      <c r="B155" s="19" t="n"/>
      <c r="C155" s="19" t="n"/>
      <c r="D155" s="19" t="n"/>
      <c r="E155" s="19" t="n"/>
      <c r="F155" s="19" t="n"/>
      <c r="G155" s="20" t="n"/>
      <c r="H155" s="19" t="n"/>
      <c r="I155" s="19" t="n"/>
      <c r="J155" s="19" t="n"/>
      <c r="K155" s="19" t="n"/>
      <c r="L155" s="21" t="n"/>
      <c r="M155" s="22">
        <f>IF(J155="","",L155/J155)</f>
        <v/>
      </c>
      <c r="N155" s="21" t="n"/>
      <c r="O155" s="23" t="n"/>
      <c r="P155" s="24">
        <f>IF(N155="","",N155+O155)</f>
        <v/>
      </c>
      <c r="Q155" s="24">
        <f>IF(N155="","",J155*N155)</f>
        <v/>
      </c>
      <c r="R155" s="24">
        <f>IF(O155="","",J155*O155)</f>
        <v/>
      </c>
      <c r="S155" s="24">
        <f>IF(N155="","",Q155+R155)</f>
        <v/>
      </c>
      <c r="T155" s="21" t="n"/>
      <c r="U155" s="19" t="n"/>
      <c r="V155" s="20" t="n"/>
    </row>
    <row r="156">
      <c r="A156" s="18" t="n">
        <v>140</v>
      </c>
      <c r="B156" s="19" t="n"/>
      <c r="C156" s="19" t="n"/>
      <c r="D156" s="19" t="n"/>
      <c r="E156" s="19" t="n"/>
      <c r="F156" s="19" t="n"/>
      <c r="G156" s="20" t="n"/>
      <c r="H156" s="19" t="n"/>
      <c r="I156" s="19" t="n"/>
      <c r="J156" s="19" t="n"/>
      <c r="K156" s="19" t="n"/>
      <c r="L156" s="21" t="n"/>
      <c r="M156" s="22">
        <f>IF(J156="","",L156/J156)</f>
        <v/>
      </c>
      <c r="N156" s="21" t="n"/>
      <c r="O156" s="23" t="n"/>
      <c r="P156" s="24">
        <f>IF(N156="","",N156+O156)</f>
        <v/>
      </c>
      <c r="Q156" s="24">
        <f>IF(N156="","",J156*N156)</f>
        <v/>
      </c>
      <c r="R156" s="24">
        <f>IF(O156="","",J156*O156)</f>
        <v/>
      </c>
      <c r="S156" s="24">
        <f>IF(N156="","",Q156+R156)</f>
        <v/>
      </c>
      <c r="T156" s="21" t="n"/>
      <c r="U156" s="19" t="n"/>
      <c r="V156" s="20" t="n"/>
    </row>
    <row r="157">
      <c r="A157" s="18" t="n">
        <v>141</v>
      </c>
      <c r="B157" s="19" t="n"/>
      <c r="C157" s="19" t="n"/>
      <c r="D157" s="19" t="n"/>
      <c r="E157" s="19" t="n"/>
      <c r="F157" s="19" t="n"/>
      <c r="G157" s="20" t="n"/>
      <c r="H157" s="19" t="n"/>
      <c r="I157" s="19" t="n"/>
      <c r="J157" s="19" t="n"/>
      <c r="K157" s="19" t="n"/>
      <c r="L157" s="21" t="n"/>
      <c r="M157" s="22">
        <f>IF(J157="","",L157/J157)</f>
        <v/>
      </c>
      <c r="N157" s="21" t="n"/>
      <c r="O157" s="23" t="n"/>
      <c r="P157" s="24">
        <f>IF(N157="","",N157+O157)</f>
        <v/>
      </c>
      <c r="Q157" s="24">
        <f>IF(N157="","",J157*N157)</f>
        <v/>
      </c>
      <c r="R157" s="24">
        <f>IF(O157="","",J157*O157)</f>
        <v/>
      </c>
      <c r="S157" s="24">
        <f>IF(N157="","",Q157+R157)</f>
        <v/>
      </c>
      <c r="T157" s="21" t="n"/>
      <c r="U157" s="19" t="n"/>
      <c r="V157" s="20" t="n"/>
    </row>
    <row r="158">
      <c r="A158" s="18" t="n">
        <v>142</v>
      </c>
      <c r="B158" s="19" t="n"/>
      <c r="C158" s="19" t="n"/>
      <c r="D158" s="19" t="n"/>
      <c r="E158" s="19" t="n"/>
      <c r="F158" s="19" t="n"/>
      <c r="G158" s="20" t="n"/>
      <c r="H158" s="19" t="n"/>
      <c r="I158" s="19" t="n"/>
      <c r="J158" s="19" t="n"/>
      <c r="K158" s="19" t="n"/>
      <c r="L158" s="21" t="n"/>
      <c r="M158" s="22">
        <f>IF(J158="","",L158/J158)</f>
        <v/>
      </c>
      <c r="N158" s="21" t="n"/>
      <c r="O158" s="23" t="n"/>
      <c r="P158" s="24">
        <f>IF(N158="","",N158+O158)</f>
        <v/>
      </c>
      <c r="Q158" s="24">
        <f>IF(N158="","",J158*N158)</f>
        <v/>
      </c>
      <c r="R158" s="24">
        <f>IF(O158="","",J158*O158)</f>
        <v/>
      </c>
      <c r="S158" s="24">
        <f>IF(N158="","",Q158+R158)</f>
        <v/>
      </c>
      <c r="T158" s="21" t="n"/>
      <c r="U158" s="19" t="n"/>
      <c r="V158" s="20" t="n"/>
    </row>
    <row r="159">
      <c r="A159" s="18" t="n">
        <v>143</v>
      </c>
      <c r="B159" s="19" t="n"/>
      <c r="C159" s="19" t="n"/>
      <c r="D159" s="19" t="n"/>
      <c r="E159" s="19" t="n"/>
      <c r="F159" s="19" t="n"/>
      <c r="G159" s="20" t="n"/>
      <c r="H159" s="19" t="n"/>
      <c r="I159" s="19" t="n"/>
      <c r="J159" s="19" t="n"/>
      <c r="K159" s="19" t="n"/>
      <c r="L159" s="21" t="n"/>
      <c r="M159" s="22">
        <f>IF(J159="","",L159/J159)</f>
        <v/>
      </c>
      <c r="N159" s="21" t="n"/>
      <c r="O159" s="23" t="n"/>
      <c r="P159" s="24">
        <f>IF(N159="","",N159+O159)</f>
        <v/>
      </c>
      <c r="Q159" s="24">
        <f>IF(N159="","",J159*N159)</f>
        <v/>
      </c>
      <c r="R159" s="24">
        <f>IF(O159="","",J159*O159)</f>
        <v/>
      </c>
      <c r="S159" s="24">
        <f>IF(N159="","",Q159+R159)</f>
        <v/>
      </c>
      <c r="T159" s="21" t="n"/>
      <c r="U159" s="19" t="n"/>
      <c r="V159" s="20" t="n"/>
    </row>
    <row r="160">
      <c r="A160" s="18" t="n">
        <v>144</v>
      </c>
      <c r="B160" s="19" t="n"/>
      <c r="C160" s="19" t="n"/>
      <c r="D160" s="19" t="n"/>
      <c r="E160" s="19" t="n"/>
      <c r="F160" s="19" t="n"/>
      <c r="G160" s="20" t="n"/>
      <c r="H160" s="19" t="n"/>
      <c r="I160" s="19" t="n"/>
      <c r="J160" s="19" t="n"/>
      <c r="K160" s="19" t="n"/>
      <c r="L160" s="21" t="n"/>
      <c r="M160" s="22">
        <f>IF(J160="","",L160/J160)</f>
        <v/>
      </c>
      <c r="N160" s="21" t="n"/>
      <c r="O160" s="23" t="n"/>
      <c r="P160" s="24">
        <f>IF(N160="","",N160+O160)</f>
        <v/>
      </c>
      <c r="Q160" s="24">
        <f>IF(N160="","",J160*N160)</f>
        <v/>
      </c>
      <c r="R160" s="24">
        <f>IF(O160="","",J160*O160)</f>
        <v/>
      </c>
      <c r="S160" s="24">
        <f>IF(N160="","",Q160+R160)</f>
        <v/>
      </c>
      <c r="T160" s="21" t="n"/>
      <c r="U160" s="19" t="n"/>
      <c r="V160" s="20" t="n"/>
    </row>
    <row r="161">
      <c r="A161" s="18" t="n">
        <v>145</v>
      </c>
      <c r="B161" s="19" t="n"/>
      <c r="C161" s="19" t="n"/>
      <c r="D161" s="19" t="n"/>
      <c r="E161" s="19" t="n"/>
      <c r="F161" s="19" t="n"/>
      <c r="G161" s="20" t="n"/>
      <c r="H161" s="19" t="n"/>
      <c r="I161" s="19" t="n"/>
      <c r="J161" s="19" t="n"/>
      <c r="K161" s="19" t="n"/>
      <c r="L161" s="21" t="n"/>
      <c r="M161" s="22">
        <f>IF(J161="","",L161/J161)</f>
        <v/>
      </c>
      <c r="N161" s="21" t="n"/>
      <c r="O161" s="23" t="n"/>
      <c r="P161" s="24">
        <f>IF(N161="","",N161+O161)</f>
        <v/>
      </c>
      <c r="Q161" s="24">
        <f>IF(N161="","",J161*N161)</f>
        <v/>
      </c>
      <c r="R161" s="24">
        <f>IF(O161="","",J161*O161)</f>
        <v/>
      </c>
      <c r="S161" s="24">
        <f>IF(N161="","",Q161+R161)</f>
        <v/>
      </c>
      <c r="T161" s="21" t="n"/>
      <c r="U161" s="19" t="n"/>
      <c r="V161" s="20" t="n"/>
    </row>
    <row r="162">
      <c r="A162" s="18" t="n">
        <v>146</v>
      </c>
      <c r="B162" s="19" t="n"/>
      <c r="C162" s="19" t="n"/>
      <c r="D162" s="19" t="n"/>
      <c r="E162" s="19" t="n"/>
      <c r="F162" s="19" t="n"/>
      <c r="G162" s="20" t="n"/>
      <c r="H162" s="19" t="n"/>
      <c r="I162" s="19" t="n"/>
      <c r="J162" s="19" t="n"/>
      <c r="K162" s="19" t="n"/>
      <c r="L162" s="21" t="n"/>
      <c r="M162" s="22">
        <f>IF(J162="","",L162/J162)</f>
        <v/>
      </c>
      <c r="N162" s="21" t="n"/>
      <c r="O162" s="23" t="n"/>
      <c r="P162" s="24">
        <f>IF(N162="","",N162+O162)</f>
        <v/>
      </c>
      <c r="Q162" s="24">
        <f>IF(N162="","",J162*N162)</f>
        <v/>
      </c>
      <c r="R162" s="24">
        <f>IF(O162="","",J162*O162)</f>
        <v/>
      </c>
      <c r="S162" s="24">
        <f>IF(N162="","",Q162+R162)</f>
        <v/>
      </c>
      <c r="T162" s="21" t="n"/>
      <c r="U162" s="19" t="n"/>
      <c r="V162" s="20" t="n"/>
    </row>
    <row r="163">
      <c r="A163" s="18" t="n">
        <v>147</v>
      </c>
      <c r="B163" s="19" t="n"/>
      <c r="C163" s="19" t="n"/>
      <c r="D163" s="19" t="n"/>
      <c r="E163" s="19" t="n"/>
      <c r="F163" s="19" t="n"/>
      <c r="G163" s="20" t="n"/>
      <c r="H163" s="19" t="n"/>
      <c r="I163" s="19" t="n"/>
      <c r="J163" s="19" t="n"/>
      <c r="K163" s="19" t="n"/>
      <c r="L163" s="21" t="n"/>
      <c r="M163" s="22">
        <f>IF(J163="","",L163/J163)</f>
        <v/>
      </c>
      <c r="N163" s="21" t="n"/>
      <c r="O163" s="23" t="n"/>
      <c r="P163" s="24">
        <f>IF(N163="","",N163+O163)</f>
        <v/>
      </c>
      <c r="Q163" s="24">
        <f>IF(N163="","",J163*N163)</f>
        <v/>
      </c>
      <c r="R163" s="24">
        <f>IF(O163="","",J163*O163)</f>
        <v/>
      </c>
      <c r="S163" s="24">
        <f>IF(N163="","",Q163+R163)</f>
        <v/>
      </c>
      <c r="T163" s="21" t="n"/>
      <c r="U163" s="19" t="n"/>
      <c r="V163" s="20" t="n"/>
    </row>
    <row r="164">
      <c r="A164" s="18" t="n">
        <v>148</v>
      </c>
      <c r="B164" s="19" t="n"/>
      <c r="C164" s="19" t="n"/>
      <c r="D164" s="19" t="n"/>
      <c r="E164" s="19" t="n"/>
      <c r="F164" s="19" t="n"/>
      <c r="G164" s="20" t="n"/>
      <c r="H164" s="19" t="n"/>
      <c r="I164" s="19" t="n"/>
      <c r="J164" s="19" t="n"/>
      <c r="K164" s="19" t="n"/>
      <c r="L164" s="21" t="n"/>
      <c r="M164" s="22">
        <f>IF(J164="","",L164/J164)</f>
        <v/>
      </c>
      <c r="N164" s="21" t="n"/>
      <c r="O164" s="23" t="n"/>
      <c r="P164" s="24">
        <f>IF(N164="","",N164+O164)</f>
        <v/>
      </c>
      <c r="Q164" s="24">
        <f>IF(N164="","",J164*N164)</f>
        <v/>
      </c>
      <c r="R164" s="24">
        <f>IF(O164="","",J164*O164)</f>
        <v/>
      </c>
      <c r="S164" s="24">
        <f>IF(N164="","",Q164+R164)</f>
        <v/>
      </c>
      <c r="T164" s="21" t="n"/>
      <c r="U164" s="19" t="n"/>
      <c r="V164" s="20" t="n"/>
    </row>
    <row r="165">
      <c r="A165" s="18" t="n">
        <v>149</v>
      </c>
      <c r="B165" s="19" t="n"/>
      <c r="C165" s="19" t="n"/>
      <c r="D165" s="19" t="n"/>
      <c r="E165" s="19" t="n"/>
      <c r="F165" s="19" t="n"/>
      <c r="G165" s="20" t="n"/>
      <c r="H165" s="19" t="n"/>
      <c r="I165" s="19" t="n"/>
      <c r="J165" s="19" t="n"/>
      <c r="K165" s="19" t="n"/>
      <c r="L165" s="21" t="n"/>
      <c r="M165" s="22">
        <f>IF(J165="","",L165/J165)</f>
        <v/>
      </c>
      <c r="N165" s="21" t="n"/>
      <c r="O165" s="23" t="n"/>
      <c r="P165" s="24">
        <f>IF(N165="","",N165+O165)</f>
        <v/>
      </c>
      <c r="Q165" s="24">
        <f>IF(N165="","",J165*N165)</f>
        <v/>
      </c>
      <c r="R165" s="24">
        <f>IF(O165="","",J165*O165)</f>
        <v/>
      </c>
      <c r="S165" s="24">
        <f>IF(N165="","",Q165+R165)</f>
        <v/>
      </c>
      <c r="T165" s="21" t="n"/>
      <c r="U165" s="19" t="n"/>
      <c r="V165" s="20" t="n"/>
    </row>
    <row r="166">
      <c r="A166" s="18" t="n">
        <v>150</v>
      </c>
      <c r="B166" s="19" t="n"/>
      <c r="C166" s="19" t="n"/>
      <c r="D166" s="19" t="n"/>
      <c r="E166" s="19" t="n"/>
      <c r="F166" s="19" t="n"/>
      <c r="G166" s="20" t="n"/>
      <c r="H166" s="19" t="n"/>
      <c r="I166" s="19" t="n"/>
      <c r="J166" s="19" t="n"/>
      <c r="K166" s="19" t="n"/>
      <c r="L166" s="21" t="n"/>
      <c r="M166" s="22">
        <f>IF(J166="","",L166/J166)</f>
        <v/>
      </c>
      <c r="N166" s="21" t="n"/>
      <c r="O166" s="23" t="n"/>
      <c r="P166" s="24">
        <f>IF(N166="","",N166+O166)</f>
        <v/>
      </c>
      <c r="Q166" s="24">
        <f>IF(N166="","",J166*N166)</f>
        <v/>
      </c>
      <c r="R166" s="24">
        <f>IF(O166="","",J166*O166)</f>
        <v/>
      </c>
      <c r="S166" s="24">
        <f>IF(N166="","",Q166+R166)</f>
        <v/>
      </c>
      <c r="T166" s="21" t="n"/>
      <c r="U166" s="19" t="n"/>
      <c r="V166" s="20" t="n"/>
    </row>
    <row r="167">
      <c r="A167" s="18" t="n">
        <v>151</v>
      </c>
      <c r="B167" s="19" t="n"/>
      <c r="C167" s="19" t="n"/>
      <c r="D167" s="19" t="n"/>
      <c r="E167" s="19" t="n"/>
      <c r="F167" s="19" t="n"/>
      <c r="G167" s="20" t="n"/>
      <c r="H167" s="19" t="n"/>
      <c r="I167" s="19" t="n"/>
      <c r="J167" s="19" t="n"/>
      <c r="K167" s="19" t="n"/>
      <c r="L167" s="21" t="n"/>
      <c r="M167" s="22">
        <f>IF(J167="","",L167/J167)</f>
        <v/>
      </c>
      <c r="N167" s="21" t="n"/>
      <c r="O167" s="23" t="n"/>
      <c r="P167" s="24">
        <f>IF(N167="","",N167+O167)</f>
        <v/>
      </c>
      <c r="Q167" s="24">
        <f>IF(N167="","",J167*N167)</f>
        <v/>
      </c>
      <c r="R167" s="24">
        <f>IF(O167="","",J167*O167)</f>
        <v/>
      </c>
      <c r="S167" s="24">
        <f>IF(N167="","",Q167+R167)</f>
        <v/>
      </c>
      <c r="T167" s="21" t="n"/>
      <c r="U167" s="19" t="n"/>
      <c r="V167" s="20" t="n"/>
    </row>
    <row r="168">
      <c r="A168" s="18" t="n">
        <v>152</v>
      </c>
      <c r="B168" s="19" t="n"/>
      <c r="C168" s="19" t="n"/>
      <c r="D168" s="19" t="n"/>
      <c r="E168" s="19" t="n"/>
      <c r="F168" s="19" t="n"/>
      <c r="G168" s="20" t="n"/>
      <c r="H168" s="19" t="n"/>
      <c r="I168" s="19" t="n"/>
      <c r="J168" s="19" t="n"/>
      <c r="K168" s="19" t="n"/>
      <c r="L168" s="21" t="n"/>
      <c r="M168" s="22">
        <f>IF(J168="","",L168/J168)</f>
        <v/>
      </c>
      <c r="N168" s="21" t="n"/>
      <c r="O168" s="23" t="n"/>
      <c r="P168" s="24">
        <f>IF(N168="","",N168+O168)</f>
        <v/>
      </c>
      <c r="Q168" s="24">
        <f>IF(N168="","",J168*N168)</f>
        <v/>
      </c>
      <c r="R168" s="24">
        <f>IF(O168="","",J168*O168)</f>
        <v/>
      </c>
      <c r="S168" s="24">
        <f>IF(N168="","",Q168+R168)</f>
        <v/>
      </c>
      <c r="T168" s="21" t="n"/>
      <c r="U168" s="19" t="n"/>
      <c r="V168" s="20" t="n"/>
    </row>
    <row r="169">
      <c r="A169" s="18" t="n">
        <v>153</v>
      </c>
      <c r="B169" s="19" t="n"/>
      <c r="C169" s="19" t="n"/>
      <c r="D169" s="19" t="n"/>
      <c r="E169" s="19" t="n"/>
      <c r="F169" s="19" t="n"/>
      <c r="G169" s="20" t="n"/>
      <c r="H169" s="19" t="n"/>
      <c r="I169" s="19" t="n"/>
      <c r="J169" s="19" t="n"/>
      <c r="K169" s="19" t="n"/>
      <c r="L169" s="21" t="n"/>
      <c r="M169" s="22">
        <f>IF(J169="","",L169/J169)</f>
        <v/>
      </c>
      <c r="N169" s="21" t="n"/>
      <c r="O169" s="23" t="n"/>
      <c r="P169" s="24">
        <f>IF(N169="","",N169+O169)</f>
        <v/>
      </c>
      <c r="Q169" s="24">
        <f>IF(N169="","",J169*N169)</f>
        <v/>
      </c>
      <c r="R169" s="24">
        <f>IF(O169="","",J169*O169)</f>
        <v/>
      </c>
      <c r="S169" s="24">
        <f>IF(N169="","",Q169+R169)</f>
        <v/>
      </c>
      <c r="T169" s="21" t="n"/>
      <c r="U169" s="19" t="n"/>
      <c r="V169" s="20" t="n"/>
    </row>
    <row r="170">
      <c r="A170" s="18" t="n">
        <v>154</v>
      </c>
      <c r="B170" s="19" t="n"/>
      <c r="C170" s="19" t="n"/>
      <c r="D170" s="19" t="n"/>
      <c r="E170" s="19" t="n"/>
      <c r="F170" s="19" t="n"/>
      <c r="G170" s="20" t="n"/>
      <c r="H170" s="19" t="n"/>
      <c r="I170" s="19" t="n"/>
      <c r="J170" s="19" t="n"/>
      <c r="K170" s="19" t="n"/>
      <c r="L170" s="21" t="n"/>
      <c r="M170" s="22">
        <f>IF(J170="","",L170/J170)</f>
        <v/>
      </c>
      <c r="N170" s="21" t="n"/>
      <c r="O170" s="23" t="n"/>
      <c r="P170" s="24">
        <f>IF(N170="","",N170+O170)</f>
        <v/>
      </c>
      <c r="Q170" s="24">
        <f>IF(N170="","",J170*N170)</f>
        <v/>
      </c>
      <c r="R170" s="24">
        <f>IF(O170="","",J170*O170)</f>
        <v/>
      </c>
      <c r="S170" s="24">
        <f>IF(N170="","",Q170+R170)</f>
        <v/>
      </c>
      <c r="T170" s="21" t="n"/>
      <c r="U170" s="19" t="n"/>
      <c r="V170" s="20" t="n"/>
    </row>
    <row r="171">
      <c r="A171" s="18" t="n">
        <v>155</v>
      </c>
      <c r="B171" s="19" t="n"/>
      <c r="C171" s="19" t="n"/>
      <c r="D171" s="19" t="n"/>
      <c r="E171" s="19" t="n"/>
      <c r="F171" s="19" t="n"/>
      <c r="G171" s="20" t="n"/>
      <c r="H171" s="19" t="n"/>
      <c r="I171" s="19" t="n"/>
      <c r="J171" s="19" t="n"/>
      <c r="K171" s="19" t="n"/>
      <c r="L171" s="21" t="n"/>
      <c r="M171" s="22">
        <f>IF(J171="","",L171/J171)</f>
        <v/>
      </c>
      <c r="N171" s="21" t="n"/>
      <c r="O171" s="23" t="n"/>
      <c r="P171" s="24">
        <f>IF(N171="","",N171+O171)</f>
        <v/>
      </c>
      <c r="Q171" s="24">
        <f>IF(N171="","",J171*N171)</f>
        <v/>
      </c>
      <c r="R171" s="24">
        <f>IF(O171="","",J171*O171)</f>
        <v/>
      </c>
      <c r="S171" s="24">
        <f>IF(N171="","",Q171+R171)</f>
        <v/>
      </c>
      <c r="T171" s="21" t="n"/>
      <c r="U171" s="19" t="n"/>
      <c r="V171" s="20" t="n"/>
    </row>
    <row r="172">
      <c r="A172" s="18" t="n">
        <v>156</v>
      </c>
      <c r="B172" s="19" t="n"/>
      <c r="C172" s="19" t="n"/>
      <c r="D172" s="19" t="n"/>
      <c r="E172" s="19" t="n"/>
      <c r="F172" s="19" t="n"/>
      <c r="G172" s="20" t="n"/>
      <c r="H172" s="19" t="n"/>
      <c r="I172" s="19" t="n"/>
      <c r="J172" s="19" t="n"/>
      <c r="K172" s="19" t="n"/>
      <c r="L172" s="21" t="n"/>
      <c r="M172" s="22">
        <f>IF(J172="","",L172/J172)</f>
        <v/>
      </c>
      <c r="N172" s="21" t="n"/>
      <c r="O172" s="23" t="n"/>
      <c r="P172" s="24">
        <f>IF(N172="","",N172+O172)</f>
        <v/>
      </c>
      <c r="Q172" s="24">
        <f>IF(N172="","",J172*N172)</f>
        <v/>
      </c>
      <c r="R172" s="24">
        <f>IF(O172="","",J172*O172)</f>
        <v/>
      </c>
      <c r="S172" s="24">
        <f>IF(N172="","",Q172+R172)</f>
        <v/>
      </c>
      <c r="T172" s="21" t="n"/>
      <c r="U172" s="19" t="n"/>
      <c r="V172" s="20" t="n"/>
    </row>
    <row r="173">
      <c r="A173" s="18" t="n">
        <v>157</v>
      </c>
      <c r="B173" s="19" t="n"/>
      <c r="C173" s="19" t="n"/>
      <c r="D173" s="19" t="n"/>
      <c r="E173" s="19" t="n"/>
      <c r="F173" s="19" t="n"/>
      <c r="G173" s="20" t="n"/>
      <c r="H173" s="19" t="n"/>
      <c r="I173" s="19" t="n"/>
      <c r="J173" s="19" t="n"/>
      <c r="K173" s="19" t="n"/>
      <c r="L173" s="21" t="n"/>
      <c r="M173" s="22">
        <f>IF(J173="","",L173/J173)</f>
        <v/>
      </c>
      <c r="N173" s="21" t="n"/>
      <c r="O173" s="23" t="n"/>
      <c r="P173" s="24">
        <f>IF(N173="","",N173+O173)</f>
        <v/>
      </c>
      <c r="Q173" s="24">
        <f>IF(N173="","",J173*N173)</f>
        <v/>
      </c>
      <c r="R173" s="24">
        <f>IF(O173="","",J173*O173)</f>
        <v/>
      </c>
      <c r="S173" s="24">
        <f>IF(N173="","",Q173+R173)</f>
        <v/>
      </c>
      <c r="T173" s="21" t="n"/>
      <c r="U173" s="19" t="n"/>
      <c r="V173" s="20" t="n"/>
    </row>
    <row r="174">
      <c r="A174" s="18" t="n">
        <v>158</v>
      </c>
      <c r="B174" s="19" t="n"/>
      <c r="C174" s="19" t="n"/>
      <c r="D174" s="19" t="n"/>
      <c r="E174" s="19" t="n"/>
      <c r="F174" s="19" t="n"/>
      <c r="G174" s="20" t="n"/>
      <c r="H174" s="19" t="n"/>
      <c r="I174" s="19" t="n"/>
      <c r="J174" s="19" t="n"/>
      <c r="K174" s="19" t="n"/>
      <c r="L174" s="21" t="n"/>
      <c r="M174" s="22">
        <f>IF(J174="","",L174/J174)</f>
        <v/>
      </c>
      <c r="N174" s="21" t="n"/>
      <c r="O174" s="23" t="n"/>
      <c r="P174" s="24">
        <f>IF(N174="","",N174+O174)</f>
        <v/>
      </c>
      <c r="Q174" s="24">
        <f>IF(N174="","",J174*N174)</f>
        <v/>
      </c>
      <c r="R174" s="24">
        <f>IF(O174="","",J174*O174)</f>
        <v/>
      </c>
      <c r="S174" s="24">
        <f>IF(N174="","",Q174+R174)</f>
        <v/>
      </c>
      <c r="T174" s="21" t="n"/>
      <c r="U174" s="19" t="n"/>
      <c r="V174" s="20" t="n"/>
    </row>
    <row r="175">
      <c r="A175" s="18" t="n">
        <v>159</v>
      </c>
      <c r="B175" s="19" t="n"/>
      <c r="C175" s="19" t="n"/>
      <c r="D175" s="19" t="n"/>
      <c r="E175" s="19" t="n"/>
      <c r="F175" s="19" t="n"/>
      <c r="G175" s="20" t="n"/>
      <c r="H175" s="19" t="n"/>
      <c r="I175" s="19" t="n"/>
      <c r="J175" s="19" t="n"/>
      <c r="K175" s="19" t="n"/>
      <c r="L175" s="21" t="n"/>
      <c r="M175" s="22">
        <f>IF(J175="","",L175/J175)</f>
        <v/>
      </c>
      <c r="N175" s="21" t="n"/>
      <c r="O175" s="23" t="n"/>
      <c r="P175" s="24">
        <f>IF(N175="","",N175+O175)</f>
        <v/>
      </c>
      <c r="Q175" s="24">
        <f>IF(N175="","",J175*N175)</f>
        <v/>
      </c>
      <c r="R175" s="24">
        <f>IF(O175="","",J175*O175)</f>
        <v/>
      </c>
      <c r="S175" s="24">
        <f>IF(N175="","",Q175+R175)</f>
        <v/>
      </c>
      <c r="T175" s="21" t="n"/>
      <c r="U175" s="19" t="n"/>
      <c r="V175" s="20" t="n"/>
    </row>
    <row r="176">
      <c r="A176" s="18" t="n">
        <v>160</v>
      </c>
      <c r="B176" s="19" t="n"/>
      <c r="C176" s="19" t="n"/>
      <c r="D176" s="19" t="n"/>
      <c r="E176" s="19" t="n"/>
      <c r="F176" s="19" t="n"/>
      <c r="G176" s="20" t="n"/>
      <c r="H176" s="19" t="n"/>
      <c r="I176" s="19" t="n"/>
      <c r="J176" s="19" t="n"/>
      <c r="K176" s="19" t="n"/>
      <c r="L176" s="21" t="n"/>
      <c r="M176" s="22">
        <f>IF(J176="","",L176/J176)</f>
        <v/>
      </c>
      <c r="N176" s="21" t="n"/>
      <c r="O176" s="23" t="n"/>
      <c r="P176" s="24">
        <f>IF(N176="","",N176+O176)</f>
        <v/>
      </c>
      <c r="Q176" s="24">
        <f>IF(N176="","",J176*N176)</f>
        <v/>
      </c>
      <c r="R176" s="24">
        <f>IF(O176="","",J176*O176)</f>
        <v/>
      </c>
      <c r="S176" s="24">
        <f>IF(N176="","",Q176+R176)</f>
        <v/>
      </c>
      <c r="T176" s="21" t="n"/>
      <c r="U176" s="19" t="n"/>
      <c r="V176" s="20" t="n"/>
    </row>
    <row r="177">
      <c r="A177" s="18" t="n">
        <v>161</v>
      </c>
      <c r="B177" s="19" t="n"/>
      <c r="C177" s="19" t="n"/>
      <c r="D177" s="19" t="n"/>
      <c r="E177" s="19" t="n"/>
      <c r="F177" s="19" t="n"/>
      <c r="G177" s="20" t="n"/>
      <c r="H177" s="19" t="n"/>
      <c r="I177" s="19" t="n"/>
      <c r="J177" s="19" t="n"/>
      <c r="K177" s="19" t="n"/>
      <c r="L177" s="21" t="n"/>
      <c r="M177" s="22">
        <f>IF(J177="","",L177/J177)</f>
        <v/>
      </c>
      <c r="N177" s="21" t="n"/>
      <c r="O177" s="23" t="n"/>
      <c r="P177" s="24">
        <f>IF(N177="","",N177+O177)</f>
        <v/>
      </c>
      <c r="Q177" s="24">
        <f>IF(N177="","",J177*N177)</f>
        <v/>
      </c>
      <c r="R177" s="24">
        <f>IF(O177="","",J177*O177)</f>
        <v/>
      </c>
      <c r="S177" s="24">
        <f>IF(N177="","",Q177+R177)</f>
        <v/>
      </c>
      <c r="T177" s="21" t="n"/>
      <c r="U177" s="19" t="n"/>
      <c r="V177" s="20" t="n"/>
    </row>
    <row r="178">
      <c r="A178" s="18" t="n">
        <v>162</v>
      </c>
      <c r="B178" s="19" t="n"/>
      <c r="C178" s="19" t="n"/>
      <c r="D178" s="19" t="n"/>
      <c r="E178" s="19" t="n"/>
      <c r="F178" s="19" t="n"/>
      <c r="G178" s="20" t="n"/>
      <c r="H178" s="19" t="n"/>
      <c r="I178" s="19" t="n"/>
      <c r="J178" s="19" t="n"/>
      <c r="K178" s="19" t="n"/>
      <c r="L178" s="21" t="n"/>
      <c r="M178" s="22">
        <f>IF(J178="","",L178/J178)</f>
        <v/>
      </c>
      <c r="N178" s="21" t="n"/>
      <c r="O178" s="23" t="n"/>
      <c r="P178" s="24">
        <f>IF(N178="","",N178+O178)</f>
        <v/>
      </c>
      <c r="Q178" s="24">
        <f>IF(N178="","",J178*N178)</f>
        <v/>
      </c>
      <c r="R178" s="24">
        <f>IF(O178="","",J178*O178)</f>
        <v/>
      </c>
      <c r="S178" s="24">
        <f>IF(N178="","",Q178+R178)</f>
        <v/>
      </c>
      <c r="T178" s="21" t="n"/>
      <c r="U178" s="19" t="n"/>
      <c r="V178" s="20" t="n"/>
    </row>
    <row r="179">
      <c r="A179" s="18" t="n">
        <v>163</v>
      </c>
      <c r="B179" s="19" t="n"/>
      <c r="C179" s="19" t="n"/>
      <c r="D179" s="19" t="n"/>
      <c r="E179" s="19" t="n"/>
      <c r="F179" s="19" t="n"/>
      <c r="G179" s="20" t="n"/>
      <c r="H179" s="19" t="n"/>
      <c r="I179" s="19" t="n"/>
      <c r="J179" s="19" t="n"/>
      <c r="K179" s="19" t="n"/>
      <c r="L179" s="21" t="n"/>
      <c r="M179" s="22">
        <f>IF(J179="","",L179/J179)</f>
        <v/>
      </c>
      <c r="N179" s="21" t="n"/>
      <c r="O179" s="23" t="n"/>
      <c r="P179" s="24">
        <f>IF(N179="","",N179+O179)</f>
        <v/>
      </c>
      <c r="Q179" s="24">
        <f>IF(N179="","",J179*N179)</f>
        <v/>
      </c>
      <c r="R179" s="24">
        <f>IF(O179="","",J179*O179)</f>
        <v/>
      </c>
      <c r="S179" s="24">
        <f>IF(N179="","",Q179+R179)</f>
        <v/>
      </c>
      <c r="T179" s="21" t="n"/>
      <c r="U179" s="19" t="n"/>
      <c r="V179" s="20" t="n"/>
    </row>
    <row r="180">
      <c r="A180" s="18" t="n">
        <v>164</v>
      </c>
      <c r="B180" s="19" t="n"/>
      <c r="C180" s="19" t="n"/>
      <c r="D180" s="19" t="n"/>
      <c r="E180" s="19" t="n"/>
      <c r="F180" s="19" t="n"/>
      <c r="G180" s="20" t="n"/>
      <c r="H180" s="19" t="n"/>
      <c r="I180" s="19" t="n"/>
      <c r="J180" s="19" t="n"/>
      <c r="K180" s="19" t="n"/>
      <c r="L180" s="21" t="n"/>
      <c r="M180" s="22">
        <f>IF(J180="","",L180/J180)</f>
        <v/>
      </c>
      <c r="N180" s="21" t="n"/>
      <c r="O180" s="23" t="n"/>
      <c r="P180" s="24">
        <f>IF(N180="","",N180+O180)</f>
        <v/>
      </c>
      <c r="Q180" s="24">
        <f>IF(N180="","",J180*N180)</f>
        <v/>
      </c>
      <c r="R180" s="24">
        <f>IF(O180="","",J180*O180)</f>
        <v/>
      </c>
      <c r="S180" s="24">
        <f>IF(N180="","",Q180+R180)</f>
        <v/>
      </c>
      <c r="T180" s="21" t="n"/>
      <c r="U180" s="19" t="n"/>
      <c r="V180" s="20" t="n"/>
    </row>
    <row r="181">
      <c r="A181" s="18" t="n">
        <v>165</v>
      </c>
      <c r="B181" s="19" t="n"/>
      <c r="C181" s="19" t="n"/>
      <c r="D181" s="19" t="n"/>
      <c r="E181" s="19" t="n"/>
      <c r="F181" s="19" t="n"/>
      <c r="G181" s="20" t="n"/>
      <c r="H181" s="19" t="n"/>
      <c r="I181" s="19" t="n"/>
      <c r="J181" s="19" t="n"/>
      <c r="K181" s="19" t="n"/>
      <c r="L181" s="21" t="n"/>
      <c r="M181" s="22">
        <f>IF(J181="","",L181/J181)</f>
        <v/>
      </c>
      <c r="N181" s="21" t="n"/>
      <c r="O181" s="23" t="n"/>
      <c r="P181" s="24">
        <f>IF(N181="","",N181+O181)</f>
        <v/>
      </c>
      <c r="Q181" s="24">
        <f>IF(N181="","",J181*N181)</f>
        <v/>
      </c>
      <c r="R181" s="24">
        <f>IF(O181="","",J181*O181)</f>
        <v/>
      </c>
      <c r="S181" s="24">
        <f>IF(N181="","",Q181+R181)</f>
        <v/>
      </c>
      <c r="T181" s="21" t="n"/>
      <c r="U181" s="19" t="n"/>
      <c r="V181" s="20" t="n"/>
    </row>
    <row r="182">
      <c r="A182" s="18" t="n">
        <v>166</v>
      </c>
      <c r="B182" s="19" t="n"/>
      <c r="C182" s="19" t="n"/>
      <c r="D182" s="19" t="n"/>
      <c r="E182" s="19" t="n"/>
      <c r="F182" s="19" t="n"/>
      <c r="G182" s="20" t="n"/>
      <c r="H182" s="19" t="n"/>
      <c r="I182" s="19" t="n"/>
      <c r="J182" s="19" t="n"/>
      <c r="K182" s="19" t="n"/>
      <c r="L182" s="21" t="n"/>
      <c r="M182" s="22">
        <f>IF(J182="","",L182/J182)</f>
        <v/>
      </c>
      <c r="N182" s="21" t="n"/>
      <c r="O182" s="23" t="n"/>
      <c r="P182" s="24">
        <f>IF(N182="","",N182+O182)</f>
        <v/>
      </c>
      <c r="Q182" s="24">
        <f>IF(N182="","",J182*N182)</f>
        <v/>
      </c>
      <c r="R182" s="24">
        <f>IF(O182="","",J182*O182)</f>
        <v/>
      </c>
      <c r="S182" s="24">
        <f>IF(N182="","",Q182+R182)</f>
        <v/>
      </c>
      <c r="T182" s="21" t="n"/>
      <c r="U182" s="19" t="n"/>
      <c r="V182" s="20" t="n"/>
    </row>
    <row r="183">
      <c r="A183" s="18" t="n">
        <v>167</v>
      </c>
      <c r="B183" s="19" t="n"/>
      <c r="C183" s="19" t="n"/>
      <c r="D183" s="19" t="n"/>
      <c r="E183" s="19" t="n"/>
      <c r="F183" s="19" t="n"/>
      <c r="G183" s="20" t="n"/>
      <c r="H183" s="19" t="n"/>
      <c r="I183" s="19" t="n"/>
      <c r="J183" s="19" t="n"/>
      <c r="K183" s="19" t="n"/>
      <c r="L183" s="21" t="n"/>
      <c r="M183" s="22">
        <f>IF(J183="","",L183/J183)</f>
        <v/>
      </c>
      <c r="N183" s="21" t="n"/>
      <c r="O183" s="23" t="n"/>
      <c r="P183" s="24">
        <f>IF(N183="","",N183+O183)</f>
        <v/>
      </c>
      <c r="Q183" s="24">
        <f>IF(N183="","",J183*N183)</f>
        <v/>
      </c>
      <c r="R183" s="24">
        <f>IF(O183="","",J183*O183)</f>
        <v/>
      </c>
      <c r="S183" s="24">
        <f>IF(N183="","",Q183+R183)</f>
        <v/>
      </c>
      <c r="T183" s="21" t="n"/>
      <c r="U183" s="19" t="n"/>
      <c r="V183" s="20" t="n"/>
    </row>
    <row r="184">
      <c r="A184" s="18" t="n">
        <v>168</v>
      </c>
      <c r="B184" s="19" t="n"/>
      <c r="C184" s="19" t="n"/>
      <c r="D184" s="19" t="n"/>
      <c r="E184" s="19" t="n"/>
      <c r="F184" s="19" t="n"/>
      <c r="G184" s="20" t="n"/>
      <c r="H184" s="19" t="n"/>
      <c r="I184" s="19" t="n"/>
      <c r="J184" s="19" t="n"/>
      <c r="K184" s="19" t="n"/>
      <c r="L184" s="21" t="n"/>
      <c r="M184" s="22">
        <f>IF(J184="","",L184/J184)</f>
        <v/>
      </c>
      <c r="N184" s="21" t="n"/>
      <c r="O184" s="23" t="n"/>
      <c r="P184" s="24">
        <f>IF(N184="","",N184+O184)</f>
        <v/>
      </c>
      <c r="Q184" s="24">
        <f>IF(N184="","",J184*N184)</f>
        <v/>
      </c>
      <c r="R184" s="24">
        <f>IF(O184="","",J184*O184)</f>
        <v/>
      </c>
      <c r="S184" s="24">
        <f>IF(N184="","",Q184+R184)</f>
        <v/>
      </c>
      <c r="T184" s="21" t="n"/>
      <c r="U184" s="19" t="n"/>
      <c r="V184" s="20" t="n"/>
    </row>
    <row r="185">
      <c r="A185" s="18" t="n">
        <v>169</v>
      </c>
      <c r="B185" s="19" t="n"/>
      <c r="C185" s="19" t="n"/>
      <c r="D185" s="19" t="n"/>
      <c r="E185" s="19" t="n"/>
      <c r="F185" s="19" t="n"/>
      <c r="G185" s="20" t="n"/>
      <c r="H185" s="19" t="n"/>
      <c r="I185" s="19" t="n"/>
      <c r="J185" s="19" t="n"/>
      <c r="K185" s="19" t="n"/>
      <c r="L185" s="21" t="n"/>
      <c r="M185" s="22">
        <f>IF(J185="","",L185/J185)</f>
        <v/>
      </c>
      <c r="N185" s="21" t="n"/>
      <c r="O185" s="23" t="n"/>
      <c r="P185" s="24">
        <f>IF(N185="","",N185+O185)</f>
        <v/>
      </c>
      <c r="Q185" s="24">
        <f>IF(N185="","",J185*N185)</f>
        <v/>
      </c>
      <c r="R185" s="24">
        <f>IF(O185="","",J185*O185)</f>
        <v/>
      </c>
      <c r="S185" s="24">
        <f>IF(N185="","",Q185+R185)</f>
        <v/>
      </c>
      <c r="T185" s="21" t="n"/>
      <c r="U185" s="19" t="n"/>
      <c r="V185" s="20" t="n"/>
    </row>
    <row r="186">
      <c r="A186" s="18" t="n">
        <v>170</v>
      </c>
      <c r="B186" s="19" t="n"/>
      <c r="C186" s="19" t="n"/>
      <c r="D186" s="19" t="n"/>
      <c r="E186" s="19" t="n"/>
      <c r="F186" s="19" t="n"/>
      <c r="G186" s="20" t="n"/>
      <c r="H186" s="19" t="n"/>
      <c r="I186" s="19" t="n"/>
      <c r="J186" s="19" t="n"/>
      <c r="K186" s="19" t="n"/>
      <c r="L186" s="21" t="n"/>
      <c r="M186" s="22">
        <f>IF(J186="","",L186/J186)</f>
        <v/>
      </c>
      <c r="N186" s="21" t="n"/>
      <c r="O186" s="23" t="n"/>
      <c r="P186" s="24">
        <f>IF(N186="","",N186+O186)</f>
        <v/>
      </c>
      <c r="Q186" s="24">
        <f>IF(N186="","",J186*N186)</f>
        <v/>
      </c>
      <c r="R186" s="24">
        <f>IF(O186="","",J186*O186)</f>
        <v/>
      </c>
      <c r="S186" s="24">
        <f>IF(N186="","",Q186+R186)</f>
        <v/>
      </c>
      <c r="T186" s="21" t="n"/>
      <c r="U186" s="19" t="n"/>
      <c r="V186" s="20" t="n"/>
    </row>
    <row r="187">
      <c r="A187" s="18" t="n">
        <v>171</v>
      </c>
      <c r="B187" s="19" t="n"/>
      <c r="C187" s="19" t="n"/>
      <c r="D187" s="19" t="n"/>
      <c r="E187" s="19" t="n"/>
      <c r="F187" s="19" t="n"/>
      <c r="G187" s="20" t="n"/>
      <c r="H187" s="19" t="n"/>
      <c r="I187" s="19" t="n"/>
      <c r="J187" s="19" t="n"/>
      <c r="K187" s="19" t="n"/>
      <c r="L187" s="21" t="n"/>
      <c r="M187" s="22">
        <f>IF(J187="","",L187/J187)</f>
        <v/>
      </c>
      <c r="N187" s="21" t="n"/>
      <c r="O187" s="23" t="n"/>
      <c r="P187" s="24">
        <f>IF(N187="","",N187+O187)</f>
        <v/>
      </c>
      <c r="Q187" s="24">
        <f>IF(N187="","",J187*N187)</f>
        <v/>
      </c>
      <c r="R187" s="24">
        <f>IF(O187="","",J187*O187)</f>
        <v/>
      </c>
      <c r="S187" s="24">
        <f>IF(N187="","",Q187+R187)</f>
        <v/>
      </c>
      <c r="T187" s="21" t="n"/>
      <c r="U187" s="19" t="n"/>
      <c r="V187" s="20" t="n"/>
    </row>
    <row r="188">
      <c r="A188" s="18" t="n">
        <v>172</v>
      </c>
      <c r="B188" s="19" t="n"/>
      <c r="C188" s="19" t="n"/>
      <c r="D188" s="19" t="n"/>
      <c r="E188" s="19" t="n"/>
      <c r="F188" s="19" t="n"/>
      <c r="G188" s="20" t="n"/>
      <c r="H188" s="19" t="n"/>
      <c r="I188" s="19" t="n"/>
      <c r="J188" s="19" t="n"/>
      <c r="K188" s="19" t="n"/>
      <c r="L188" s="21" t="n"/>
      <c r="M188" s="22">
        <f>IF(J188="","",L188/J188)</f>
        <v/>
      </c>
      <c r="N188" s="21" t="n"/>
      <c r="O188" s="23" t="n"/>
      <c r="P188" s="24">
        <f>IF(N188="","",N188+O188)</f>
        <v/>
      </c>
      <c r="Q188" s="24">
        <f>IF(N188="","",J188*N188)</f>
        <v/>
      </c>
      <c r="R188" s="24">
        <f>IF(O188="","",J188*O188)</f>
        <v/>
      </c>
      <c r="S188" s="24">
        <f>IF(N188="","",Q188+R188)</f>
        <v/>
      </c>
      <c r="T188" s="21" t="n"/>
      <c r="U188" s="19" t="n"/>
      <c r="V188" s="20" t="n"/>
    </row>
    <row r="189">
      <c r="A189" s="18" t="n">
        <v>173</v>
      </c>
      <c r="B189" s="19" t="n"/>
      <c r="C189" s="19" t="n"/>
      <c r="D189" s="19" t="n"/>
      <c r="E189" s="19" t="n"/>
      <c r="F189" s="19" t="n"/>
      <c r="G189" s="20" t="n"/>
      <c r="H189" s="19" t="n"/>
      <c r="I189" s="19" t="n"/>
      <c r="J189" s="19" t="n"/>
      <c r="K189" s="19" t="n"/>
      <c r="L189" s="21" t="n"/>
      <c r="M189" s="22">
        <f>IF(J189="","",L189/J189)</f>
        <v/>
      </c>
      <c r="N189" s="21" t="n"/>
      <c r="O189" s="23" t="n"/>
      <c r="P189" s="24">
        <f>IF(N189="","",N189+O189)</f>
        <v/>
      </c>
      <c r="Q189" s="24">
        <f>IF(N189="","",J189*N189)</f>
        <v/>
      </c>
      <c r="R189" s="24">
        <f>IF(O189="","",J189*O189)</f>
        <v/>
      </c>
      <c r="S189" s="24">
        <f>IF(N189="","",Q189+R189)</f>
        <v/>
      </c>
      <c r="T189" s="21" t="n"/>
      <c r="U189" s="19" t="n"/>
      <c r="V189" s="20" t="n"/>
    </row>
    <row r="190">
      <c r="A190" s="18" t="n">
        <v>174</v>
      </c>
      <c r="B190" s="19" t="n"/>
      <c r="C190" s="19" t="n"/>
      <c r="D190" s="19" t="n"/>
      <c r="E190" s="19" t="n"/>
      <c r="F190" s="19" t="n"/>
      <c r="G190" s="20" t="n"/>
      <c r="H190" s="19" t="n"/>
      <c r="I190" s="19" t="n"/>
      <c r="J190" s="19" t="n"/>
      <c r="K190" s="19" t="n"/>
      <c r="L190" s="21" t="n"/>
      <c r="M190" s="22">
        <f>IF(J190="","",L190/J190)</f>
        <v/>
      </c>
      <c r="N190" s="21" t="n"/>
      <c r="O190" s="23" t="n"/>
      <c r="P190" s="24">
        <f>IF(N190="","",N190+O190)</f>
        <v/>
      </c>
      <c r="Q190" s="24">
        <f>IF(N190="","",J190*N190)</f>
        <v/>
      </c>
      <c r="R190" s="24">
        <f>IF(O190="","",J190*O190)</f>
        <v/>
      </c>
      <c r="S190" s="24">
        <f>IF(N190="","",Q190+R190)</f>
        <v/>
      </c>
      <c r="T190" s="21" t="n"/>
      <c r="U190" s="19" t="n"/>
      <c r="V190" s="20" t="n"/>
    </row>
    <row r="191">
      <c r="A191" s="18" t="n">
        <v>175</v>
      </c>
      <c r="B191" s="19" t="n"/>
      <c r="C191" s="19" t="n"/>
      <c r="D191" s="19" t="n"/>
      <c r="E191" s="19" t="n"/>
      <c r="F191" s="19" t="n"/>
      <c r="G191" s="20" t="n"/>
      <c r="H191" s="19" t="n"/>
      <c r="I191" s="19" t="n"/>
      <c r="J191" s="19" t="n"/>
      <c r="K191" s="19" t="n"/>
      <c r="L191" s="21" t="n"/>
      <c r="M191" s="22">
        <f>IF(J191="","",L191/J191)</f>
        <v/>
      </c>
      <c r="N191" s="21" t="n"/>
      <c r="O191" s="23" t="n"/>
      <c r="P191" s="24">
        <f>IF(N191="","",N191+O191)</f>
        <v/>
      </c>
      <c r="Q191" s="24">
        <f>IF(N191="","",J191*N191)</f>
        <v/>
      </c>
      <c r="R191" s="24">
        <f>IF(O191="","",J191*O191)</f>
        <v/>
      </c>
      <c r="S191" s="24">
        <f>IF(N191="","",Q191+R191)</f>
        <v/>
      </c>
      <c r="T191" s="21" t="n"/>
      <c r="U191" s="19" t="n"/>
      <c r="V191" s="20" t="n"/>
    </row>
    <row r="192">
      <c r="A192" s="18" t="n">
        <v>176</v>
      </c>
      <c r="B192" s="19" t="n"/>
      <c r="C192" s="19" t="n"/>
      <c r="D192" s="19" t="n"/>
      <c r="E192" s="19" t="n"/>
      <c r="F192" s="19" t="n"/>
      <c r="G192" s="20" t="n"/>
      <c r="H192" s="19" t="n"/>
      <c r="I192" s="19" t="n"/>
      <c r="J192" s="19" t="n"/>
      <c r="K192" s="19" t="n"/>
      <c r="L192" s="21" t="n"/>
      <c r="M192" s="22">
        <f>IF(J192="","",L192/J192)</f>
        <v/>
      </c>
      <c r="N192" s="21" t="n"/>
      <c r="O192" s="23" t="n"/>
      <c r="P192" s="24">
        <f>IF(N192="","",N192+O192)</f>
        <v/>
      </c>
      <c r="Q192" s="24">
        <f>IF(N192="","",J192*N192)</f>
        <v/>
      </c>
      <c r="R192" s="24">
        <f>IF(O192="","",J192*O192)</f>
        <v/>
      </c>
      <c r="S192" s="24">
        <f>IF(N192="","",Q192+R192)</f>
        <v/>
      </c>
      <c r="T192" s="21" t="n"/>
      <c r="U192" s="19" t="n"/>
      <c r="V192" s="20" t="n"/>
    </row>
    <row r="193">
      <c r="A193" s="18" t="n">
        <v>177</v>
      </c>
      <c r="B193" s="19" t="n"/>
      <c r="C193" s="19" t="n"/>
      <c r="D193" s="19" t="n"/>
      <c r="E193" s="19" t="n"/>
      <c r="F193" s="19" t="n"/>
      <c r="G193" s="20" t="n"/>
      <c r="H193" s="19" t="n"/>
      <c r="I193" s="19" t="n"/>
      <c r="J193" s="19" t="n"/>
      <c r="K193" s="19" t="n"/>
      <c r="L193" s="21" t="n"/>
      <c r="M193" s="22">
        <f>IF(J193="","",L193/J193)</f>
        <v/>
      </c>
      <c r="N193" s="21" t="n"/>
      <c r="O193" s="23" t="n"/>
      <c r="P193" s="24">
        <f>IF(N193="","",N193+O193)</f>
        <v/>
      </c>
      <c r="Q193" s="24">
        <f>IF(N193="","",J193*N193)</f>
        <v/>
      </c>
      <c r="R193" s="24">
        <f>IF(O193="","",J193*O193)</f>
        <v/>
      </c>
      <c r="S193" s="24">
        <f>IF(N193="","",Q193+R193)</f>
        <v/>
      </c>
      <c r="T193" s="21" t="n"/>
      <c r="U193" s="19" t="n"/>
      <c r="V193" s="20" t="n"/>
    </row>
    <row r="194">
      <c r="A194" s="18" t="n">
        <v>178</v>
      </c>
      <c r="B194" s="19" t="n"/>
      <c r="C194" s="19" t="n"/>
      <c r="D194" s="19" t="n"/>
      <c r="E194" s="19" t="n"/>
      <c r="F194" s="19" t="n"/>
      <c r="G194" s="20" t="n"/>
      <c r="H194" s="19" t="n"/>
      <c r="I194" s="19" t="n"/>
      <c r="J194" s="19" t="n"/>
      <c r="K194" s="19" t="n"/>
      <c r="L194" s="21" t="n"/>
      <c r="M194" s="22">
        <f>IF(J194="","",L194/J194)</f>
        <v/>
      </c>
      <c r="N194" s="21" t="n"/>
      <c r="O194" s="23" t="n"/>
      <c r="P194" s="24">
        <f>IF(N194="","",N194+O194)</f>
        <v/>
      </c>
      <c r="Q194" s="24">
        <f>IF(N194="","",J194*N194)</f>
        <v/>
      </c>
      <c r="R194" s="24">
        <f>IF(O194="","",J194*O194)</f>
        <v/>
      </c>
      <c r="S194" s="24">
        <f>IF(N194="","",Q194+R194)</f>
        <v/>
      </c>
      <c r="T194" s="21" t="n"/>
      <c r="U194" s="19" t="n"/>
      <c r="V194" s="20" t="n"/>
    </row>
    <row r="195">
      <c r="A195" s="18" t="n">
        <v>179</v>
      </c>
      <c r="B195" s="19" t="n"/>
      <c r="C195" s="19" t="n"/>
      <c r="D195" s="19" t="n"/>
      <c r="E195" s="19" t="n"/>
      <c r="F195" s="19" t="n"/>
      <c r="G195" s="20" t="n"/>
      <c r="H195" s="19" t="n"/>
      <c r="I195" s="19" t="n"/>
      <c r="J195" s="19" t="n"/>
      <c r="K195" s="19" t="n"/>
      <c r="L195" s="21" t="n"/>
      <c r="M195" s="22">
        <f>IF(J195="","",L195/J195)</f>
        <v/>
      </c>
      <c r="N195" s="21" t="n"/>
      <c r="O195" s="23" t="n"/>
      <c r="P195" s="24">
        <f>IF(N195="","",N195+O195)</f>
        <v/>
      </c>
      <c r="Q195" s="24">
        <f>IF(N195="","",J195*N195)</f>
        <v/>
      </c>
      <c r="R195" s="24">
        <f>IF(O195="","",J195*O195)</f>
        <v/>
      </c>
      <c r="S195" s="24">
        <f>IF(N195="","",Q195+R195)</f>
        <v/>
      </c>
      <c r="T195" s="21" t="n"/>
      <c r="U195" s="19" t="n"/>
      <c r="V195" s="20" t="n"/>
    </row>
    <row r="196">
      <c r="A196" s="18" t="n">
        <v>180</v>
      </c>
      <c r="B196" s="19" t="n"/>
      <c r="C196" s="19" t="n"/>
      <c r="D196" s="19" t="n"/>
      <c r="E196" s="19" t="n"/>
      <c r="F196" s="19" t="n"/>
      <c r="G196" s="20" t="n"/>
      <c r="H196" s="19" t="n"/>
      <c r="I196" s="19" t="n"/>
      <c r="J196" s="19" t="n"/>
      <c r="K196" s="19" t="n"/>
      <c r="L196" s="21" t="n"/>
      <c r="M196" s="22">
        <f>IF(J196="","",L196/J196)</f>
        <v/>
      </c>
      <c r="N196" s="21" t="n"/>
      <c r="O196" s="23" t="n"/>
      <c r="P196" s="24">
        <f>IF(N196="","",N196+O196)</f>
        <v/>
      </c>
      <c r="Q196" s="24">
        <f>IF(N196="","",J196*N196)</f>
        <v/>
      </c>
      <c r="R196" s="24">
        <f>IF(O196="","",J196*O196)</f>
        <v/>
      </c>
      <c r="S196" s="24">
        <f>IF(N196="","",Q196+R196)</f>
        <v/>
      </c>
      <c r="T196" s="21" t="n"/>
      <c r="U196" s="19" t="n"/>
      <c r="V196" s="20" t="n"/>
    </row>
    <row r="197">
      <c r="A197" s="18" t="n">
        <v>181</v>
      </c>
      <c r="B197" s="19" t="n"/>
      <c r="C197" s="19" t="n"/>
      <c r="D197" s="19" t="n"/>
      <c r="E197" s="19" t="n"/>
      <c r="F197" s="19" t="n"/>
      <c r="G197" s="20" t="n"/>
      <c r="H197" s="19" t="n"/>
      <c r="I197" s="19" t="n"/>
      <c r="J197" s="19" t="n"/>
      <c r="K197" s="19" t="n"/>
      <c r="L197" s="21" t="n"/>
      <c r="M197" s="22">
        <f>IF(J197="","",L197/J197)</f>
        <v/>
      </c>
      <c r="N197" s="21" t="n"/>
      <c r="O197" s="23" t="n"/>
      <c r="P197" s="24">
        <f>IF(N197="","",N197+O197)</f>
        <v/>
      </c>
      <c r="Q197" s="24">
        <f>IF(N197="","",J197*N197)</f>
        <v/>
      </c>
      <c r="R197" s="24">
        <f>IF(O197="","",J197*O197)</f>
        <v/>
      </c>
      <c r="S197" s="24">
        <f>IF(N197="","",Q197+R197)</f>
        <v/>
      </c>
      <c r="T197" s="21" t="n"/>
      <c r="U197" s="19" t="n"/>
      <c r="V197" s="20" t="n"/>
    </row>
    <row r="198">
      <c r="A198" s="18" t="n">
        <v>182</v>
      </c>
      <c r="B198" s="19" t="n"/>
      <c r="C198" s="19" t="n"/>
      <c r="D198" s="19" t="n"/>
      <c r="E198" s="19" t="n"/>
      <c r="F198" s="19" t="n"/>
      <c r="G198" s="20" t="n"/>
      <c r="H198" s="19" t="n"/>
      <c r="I198" s="19" t="n"/>
      <c r="J198" s="19" t="n"/>
      <c r="K198" s="19" t="n"/>
      <c r="L198" s="21" t="n"/>
      <c r="M198" s="22">
        <f>IF(J198="","",L198/J198)</f>
        <v/>
      </c>
      <c r="N198" s="21" t="n"/>
      <c r="O198" s="23" t="n"/>
      <c r="P198" s="24">
        <f>IF(N198="","",N198+O198)</f>
        <v/>
      </c>
      <c r="Q198" s="24">
        <f>IF(N198="","",J198*N198)</f>
        <v/>
      </c>
      <c r="R198" s="24">
        <f>IF(O198="","",J198*O198)</f>
        <v/>
      </c>
      <c r="S198" s="24">
        <f>IF(N198="","",Q198+R198)</f>
        <v/>
      </c>
      <c r="T198" s="21" t="n"/>
      <c r="U198" s="19" t="n"/>
      <c r="V198" s="20" t="n"/>
    </row>
    <row r="199">
      <c r="A199" s="18" t="n">
        <v>183</v>
      </c>
      <c r="B199" s="19" t="n"/>
      <c r="C199" s="19" t="n"/>
      <c r="D199" s="19" t="n"/>
      <c r="E199" s="19" t="n"/>
      <c r="F199" s="19" t="n"/>
      <c r="G199" s="20" t="n"/>
      <c r="H199" s="19" t="n"/>
      <c r="I199" s="19" t="n"/>
      <c r="J199" s="19" t="n"/>
      <c r="K199" s="19" t="n"/>
      <c r="L199" s="21" t="n"/>
      <c r="M199" s="22">
        <f>IF(J199="","",L199/J199)</f>
        <v/>
      </c>
      <c r="N199" s="21" t="n"/>
      <c r="O199" s="23" t="n"/>
      <c r="P199" s="24">
        <f>IF(N199="","",N199+O199)</f>
        <v/>
      </c>
      <c r="Q199" s="24">
        <f>IF(N199="","",J199*N199)</f>
        <v/>
      </c>
      <c r="R199" s="24">
        <f>IF(O199="","",J199*O199)</f>
        <v/>
      </c>
      <c r="S199" s="24">
        <f>IF(N199="","",Q199+R199)</f>
        <v/>
      </c>
      <c r="T199" s="21" t="n"/>
      <c r="U199" s="19" t="n"/>
      <c r="V199" s="20" t="n"/>
    </row>
    <row r="200">
      <c r="A200" s="18" t="n">
        <v>184</v>
      </c>
      <c r="B200" s="19" t="n"/>
      <c r="C200" s="19" t="n"/>
      <c r="D200" s="19" t="n"/>
      <c r="E200" s="19" t="n"/>
      <c r="F200" s="19" t="n"/>
      <c r="G200" s="20" t="n"/>
      <c r="H200" s="19" t="n"/>
      <c r="I200" s="19" t="n"/>
      <c r="J200" s="19" t="n"/>
      <c r="K200" s="19" t="n"/>
      <c r="L200" s="21" t="n"/>
      <c r="M200" s="22">
        <f>IF(J200="","",L200/J200)</f>
        <v/>
      </c>
      <c r="N200" s="21" t="n"/>
      <c r="O200" s="23" t="n"/>
      <c r="P200" s="24">
        <f>IF(N200="","",N200+O200)</f>
        <v/>
      </c>
      <c r="Q200" s="24">
        <f>IF(N200="","",J200*N200)</f>
        <v/>
      </c>
      <c r="R200" s="24">
        <f>IF(O200="","",J200*O200)</f>
        <v/>
      </c>
      <c r="S200" s="24">
        <f>IF(N200="","",Q200+R200)</f>
        <v/>
      </c>
      <c r="T200" s="21" t="n"/>
      <c r="U200" s="19" t="n"/>
      <c r="V200" s="20" t="n"/>
    </row>
    <row r="201">
      <c r="A201" s="18" t="n">
        <v>185</v>
      </c>
      <c r="B201" s="19" t="n"/>
      <c r="C201" s="19" t="n"/>
      <c r="D201" s="19" t="n"/>
      <c r="E201" s="19" t="n"/>
      <c r="F201" s="19" t="n"/>
      <c r="G201" s="20" t="n"/>
      <c r="H201" s="19" t="n"/>
      <c r="I201" s="19" t="n"/>
      <c r="J201" s="19" t="n"/>
      <c r="K201" s="19" t="n"/>
      <c r="L201" s="21" t="n"/>
      <c r="M201" s="22">
        <f>IF(J201="","",L201/J201)</f>
        <v/>
      </c>
      <c r="N201" s="21" t="n"/>
      <c r="O201" s="23" t="n"/>
      <c r="P201" s="24">
        <f>IF(N201="","",N201+O201)</f>
        <v/>
      </c>
      <c r="Q201" s="24">
        <f>IF(N201="","",J201*N201)</f>
        <v/>
      </c>
      <c r="R201" s="24">
        <f>IF(O201="","",J201*O201)</f>
        <v/>
      </c>
      <c r="S201" s="24">
        <f>IF(N201="","",Q201+R201)</f>
        <v/>
      </c>
      <c r="T201" s="21" t="n"/>
      <c r="U201" s="19" t="n"/>
      <c r="V201" s="20" t="n"/>
    </row>
    <row r="202">
      <c r="A202" s="18" t="n">
        <v>186</v>
      </c>
      <c r="B202" s="19" t="n"/>
      <c r="C202" s="19" t="n"/>
      <c r="D202" s="19" t="n"/>
      <c r="E202" s="19" t="n"/>
      <c r="F202" s="19" t="n"/>
      <c r="G202" s="20" t="n"/>
      <c r="H202" s="19" t="n"/>
      <c r="I202" s="19" t="n"/>
      <c r="J202" s="19" t="n"/>
      <c r="K202" s="19" t="n"/>
      <c r="L202" s="21" t="n"/>
      <c r="M202" s="22">
        <f>IF(J202="","",L202/J202)</f>
        <v/>
      </c>
      <c r="N202" s="21" t="n"/>
      <c r="O202" s="23" t="n"/>
      <c r="P202" s="24">
        <f>IF(N202="","",N202+O202)</f>
        <v/>
      </c>
      <c r="Q202" s="24">
        <f>IF(N202="","",J202*N202)</f>
        <v/>
      </c>
      <c r="R202" s="24">
        <f>IF(O202="","",J202*O202)</f>
        <v/>
      </c>
      <c r="S202" s="24">
        <f>IF(N202="","",Q202+R202)</f>
        <v/>
      </c>
      <c r="T202" s="21" t="n"/>
      <c r="U202" s="19" t="n"/>
      <c r="V202" s="20" t="n"/>
    </row>
    <row r="203">
      <c r="A203" s="18" t="n">
        <v>187</v>
      </c>
      <c r="B203" s="19" t="n"/>
      <c r="C203" s="19" t="n"/>
      <c r="D203" s="19" t="n"/>
      <c r="E203" s="19" t="n"/>
      <c r="F203" s="19" t="n"/>
      <c r="G203" s="20" t="n"/>
      <c r="H203" s="19" t="n"/>
      <c r="I203" s="19" t="n"/>
      <c r="J203" s="19" t="n"/>
      <c r="K203" s="19" t="n"/>
      <c r="L203" s="21" t="n"/>
      <c r="M203" s="22">
        <f>IF(J203="","",L203/J203)</f>
        <v/>
      </c>
      <c r="N203" s="21" t="n"/>
      <c r="O203" s="23" t="n"/>
      <c r="P203" s="24">
        <f>IF(N203="","",N203+O203)</f>
        <v/>
      </c>
      <c r="Q203" s="24">
        <f>IF(N203="","",J203*N203)</f>
        <v/>
      </c>
      <c r="R203" s="24">
        <f>IF(O203="","",J203*O203)</f>
        <v/>
      </c>
      <c r="S203" s="24">
        <f>IF(N203="","",Q203+R203)</f>
        <v/>
      </c>
      <c r="T203" s="21" t="n"/>
      <c r="U203" s="19" t="n"/>
      <c r="V203" s="20" t="n"/>
    </row>
    <row r="204">
      <c r="A204" s="18" t="n">
        <v>188</v>
      </c>
      <c r="B204" s="19" t="n"/>
      <c r="C204" s="19" t="n"/>
      <c r="D204" s="19" t="n"/>
      <c r="E204" s="19" t="n"/>
      <c r="F204" s="19" t="n"/>
      <c r="G204" s="20" t="n"/>
      <c r="H204" s="19" t="n"/>
      <c r="I204" s="19" t="n"/>
      <c r="J204" s="19" t="n"/>
      <c r="K204" s="19" t="n"/>
      <c r="L204" s="21" t="n"/>
      <c r="M204" s="22">
        <f>IF(J204="","",L204/J204)</f>
        <v/>
      </c>
      <c r="N204" s="21" t="n"/>
      <c r="O204" s="23" t="n"/>
      <c r="P204" s="24">
        <f>IF(N204="","",N204+O204)</f>
        <v/>
      </c>
      <c r="Q204" s="24">
        <f>IF(N204="","",J204*N204)</f>
        <v/>
      </c>
      <c r="R204" s="24">
        <f>IF(O204="","",J204*O204)</f>
        <v/>
      </c>
      <c r="S204" s="24">
        <f>IF(N204="","",Q204+R204)</f>
        <v/>
      </c>
      <c r="T204" s="21" t="n"/>
      <c r="U204" s="19" t="n"/>
      <c r="V204" s="20" t="n"/>
    </row>
    <row r="205">
      <c r="A205" s="18" t="n">
        <v>189</v>
      </c>
      <c r="B205" s="19" t="n"/>
      <c r="C205" s="19" t="n"/>
      <c r="D205" s="19" t="n"/>
      <c r="E205" s="19" t="n"/>
      <c r="F205" s="19" t="n"/>
      <c r="G205" s="20" t="n"/>
      <c r="H205" s="19" t="n"/>
      <c r="I205" s="19" t="n"/>
      <c r="J205" s="19" t="n"/>
      <c r="K205" s="19" t="n"/>
      <c r="L205" s="21" t="n"/>
      <c r="M205" s="22">
        <f>IF(J205="","",L205/J205)</f>
        <v/>
      </c>
      <c r="N205" s="21" t="n"/>
      <c r="O205" s="23" t="n"/>
      <c r="P205" s="24">
        <f>IF(N205="","",N205+O205)</f>
        <v/>
      </c>
      <c r="Q205" s="24">
        <f>IF(N205="","",J205*N205)</f>
        <v/>
      </c>
      <c r="R205" s="24">
        <f>IF(O205="","",J205*O205)</f>
        <v/>
      </c>
      <c r="S205" s="24">
        <f>IF(N205="","",Q205+R205)</f>
        <v/>
      </c>
      <c r="T205" s="21" t="n"/>
      <c r="U205" s="19" t="n"/>
      <c r="V205" s="20" t="n"/>
    </row>
    <row r="206">
      <c r="A206" s="18" t="n">
        <v>190</v>
      </c>
      <c r="B206" s="19" t="n"/>
      <c r="C206" s="19" t="n"/>
      <c r="D206" s="19" t="n"/>
      <c r="E206" s="19" t="n"/>
      <c r="F206" s="19" t="n"/>
      <c r="G206" s="20" t="n"/>
      <c r="H206" s="19" t="n"/>
      <c r="I206" s="19" t="n"/>
      <c r="J206" s="19" t="n"/>
      <c r="K206" s="19" t="n"/>
      <c r="L206" s="21" t="n"/>
      <c r="M206" s="22">
        <f>IF(J206="","",L206/J206)</f>
        <v/>
      </c>
      <c r="N206" s="21" t="n"/>
      <c r="O206" s="23" t="n"/>
      <c r="P206" s="24">
        <f>IF(N206="","",N206+O206)</f>
        <v/>
      </c>
      <c r="Q206" s="24">
        <f>IF(N206="","",J206*N206)</f>
        <v/>
      </c>
      <c r="R206" s="24">
        <f>IF(O206="","",J206*O206)</f>
        <v/>
      </c>
      <c r="S206" s="24">
        <f>IF(N206="","",Q206+R206)</f>
        <v/>
      </c>
      <c r="T206" s="21" t="n"/>
      <c r="U206" s="19" t="n"/>
      <c r="V206" s="20" t="n"/>
    </row>
    <row r="207">
      <c r="A207" s="18" t="n">
        <v>191</v>
      </c>
      <c r="B207" s="19" t="n"/>
      <c r="C207" s="19" t="n"/>
      <c r="D207" s="19" t="n"/>
      <c r="E207" s="19" t="n"/>
      <c r="F207" s="19" t="n"/>
      <c r="G207" s="20" t="n"/>
      <c r="H207" s="19" t="n"/>
      <c r="I207" s="19" t="n"/>
      <c r="J207" s="19" t="n"/>
      <c r="K207" s="19" t="n"/>
      <c r="L207" s="21" t="n"/>
      <c r="M207" s="22">
        <f>IF(J207="","",L207/J207)</f>
        <v/>
      </c>
      <c r="N207" s="21" t="n"/>
      <c r="O207" s="23" t="n"/>
      <c r="P207" s="24">
        <f>IF(N207="","",N207+O207)</f>
        <v/>
      </c>
      <c r="Q207" s="24">
        <f>IF(N207="","",J207*N207)</f>
        <v/>
      </c>
      <c r="R207" s="24">
        <f>IF(O207="","",J207*O207)</f>
        <v/>
      </c>
      <c r="S207" s="24">
        <f>IF(N207="","",Q207+R207)</f>
        <v/>
      </c>
      <c r="T207" s="21" t="n"/>
      <c r="U207" s="19" t="n"/>
      <c r="V207" s="20" t="n"/>
    </row>
    <row r="208">
      <c r="A208" s="18" t="n">
        <v>192</v>
      </c>
      <c r="B208" s="19" t="n"/>
      <c r="C208" s="19" t="n"/>
      <c r="D208" s="19" t="n"/>
      <c r="E208" s="19" t="n"/>
      <c r="F208" s="19" t="n"/>
      <c r="G208" s="20" t="n"/>
      <c r="H208" s="19" t="n"/>
      <c r="I208" s="19" t="n"/>
      <c r="J208" s="19" t="n"/>
      <c r="K208" s="19" t="n"/>
      <c r="L208" s="21" t="n"/>
      <c r="M208" s="22">
        <f>IF(J208="","",L208/J208)</f>
        <v/>
      </c>
      <c r="N208" s="21" t="n"/>
      <c r="O208" s="23" t="n"/>
      <c r="P208" s="24">
        <f>IF(N208="","",N208+O208)</f>
        <v/>
      </c>
      <c r="Q208" s="24">
        <f>IF(N208="","",J208*N208)</f>
        <v/>
      </c>
      <c r="R208" s="24">
        <f>IF(O208="","",J208*O208)</f>
        <v/>
      </c>
      <c r="S208" s="24">
        <f>IF(N208="","",Q208+R208)</f>
        <v/>
      </c>
      <c r="T208" s="21" t="n"/>
      <c r="U208" s="19" t="n"/>
      <c r="V208" s="20" t="n"/>
    </row>
    <row r="209">
      <c r="A209" s="18" t="n">
        <v>193</v>
      </c>
      <c r="B209" s="19" t="n"/>
      <c r="C209" s="19" t="n"/>
      <c r="D209" s="19" t="n"/>
      <c r="E209" s="19" t="n"/>
      <c r="F209" s="19" t="n"/>
      <c r="G209" s="20" t="n"/>
      <c r="H209" s="19" t="n"/>
      <c r="I209" s="19" t="n"/>
      <c r="J209" s="19" t="n"/>
      <c r="K209" s="19" t="n"/>
      <c r="L209" s="21" t="n"/>
      <c r="M209" s="22">
        <f>IF(J209="","",L209/J209)</f>
        <v/>
      </c>
      <c r="N209" s="21" t="n"/>
      <c r="O209" s="23" t="n"/>
      <c r="P209" s="24">
        <f>IF(N209="","",N209+O209)</f>
        <v/>
      </c>
      <c r="Q209" s="24">
        <f>IF(N209="","",J209*N209)</f>
        <v/>
      </c>
      <c r="R209" s="24">
        <f>IF(O209="","",J209*O209)</f>
        <v/>
      </c>
      <c r="S209" s="24">
        <f>IF(N209="","",Q209+R209)</f>
        <v/>
      </c>
      <c r="T209" s="21" t="n"/>
      <c r="U209" s="19" t="n"/>
      <c r="V209" s="20" t="n"/>
    </row>
    <row r="210">
      <c r="A210" s="18" t="n">
        <v>194</v>
      </c>
      <c r="B210" s="19" t="n"/>
      <c r="C210" s="19" t="n"/>
      <c r="D210" s="19" t="n"/>
      <c r="E210" s="19" t="n"/>
      <c r="F210" s="19" t="n"/>
      <c r="G210" s="20" t="n"/>
      <c r="H210" s="19" t="n"/>
      <c r="I210" s="19" t="n"/>
      <c r="J210" s="19" t="n"/>
      <c r="K210" s="19" t="n"/>
      <c r="L210" s="21" t="n"/>
      <c r="M210" s="22">
        <f>IF(J210="","",L210/J210)</f>
        <v/>
      </c>
      <c r="N210" s="21" t="n"/>
      <c r="O210" s="23" t="n"/>
      <c r="P210" s="24">
        <f>IF(N210="","",N210+O210)</f>
        <v/>
      </c>
      <c r="Q210" s="24">
        <f>IF(N210="","",J210*N210)</f>
        <v/>
      </c>
      <c r="R210" s="24">
        <f>IF(O210="","",J210*O210)</f>
        <v/>
      </c>
      <c r="S210" s="24">
        <f>IF(N210="","",Q210+R210)</f>
        <v/>
      </c>
      <c r="T210" s="21" t="n"/>
      <c r="U210" s="19" t="n"/>
      <c r="V210" s="20" t="n"/>
    </row>
    <row r="211">
      <c r="A211" s="18" t="n">
        <v>195</v>
      </c>
      <c r="B211" s="19" t="n"/>
      <c r="C211" s="19" t="n"/>
      <c r="D211" s="19" t="n"/>
      <c r="E211" s="19" t="n"/>
      <c r="F211" s="19" t="n"/>
      <c r="G211" s="20" t="n"/>
      <c r="H211" s="19" t="n"/>
      <c r="I211" s="19" t="n"/>
      <c r="J211" s="19" t="n"/>
      <c r="K211" s="19" t="n"/>
      <c r="L211" s="21" t="n"/>
      <c r="M211" s="22">
        <f>IF(J211="","",L211/J211)</f>
        <v/>
      </c>
      <c r="N211" s="21" t="n"/>
      <c r="O211" s="23" t="n"/>
      <c r="P211" s="24">
        <f>IF(N211="","",N211+O211)</f>
        <v/>
      </c>
      <c r="Q211" s="24">
        <f>IF(N211="","",J211*N211)</f>
        <v/>
      </c>
      <c r="R211" s="24">
        <f>IF(O211="","",J211*O211)</f>
        <v/>
      </c>
      <c r="S211" s="24">
        <f>IF(N211="","",Q211+R211)</f>
        <v/>
      </c>
      <c r="T211" s="21" t="n"/>
      <c r="U211" s="19" t="n"/>
      <c r="V211" s="20" t="n"/>
    </row>
    <row r="212">
      <c r="A212" s="18" t="n">
        <v>196</v>
      </c>
      <c r="B212" s="19" t="n"/>
      <c r="C212" s="19" t="n"/>
      <c r="D212" s="19" t="n"/>
      <c r="E212" s="19" t="n"/>
      <c r="F212" s="19" t="n"/>
      <c r="G212" s="20" t="n"/>
      <c r="H212" s="19" t="n"/>
      <c r="I212" s="19" t="n"/>
      <c r="J212" s="19" t="n"/>
      <c r="K212" s="19" t="n"/>
      <c r="L212" s="21" t="n"/>
      <c r="M212" s="22">
        <f>IF(J212="","",L212/J212)</f>
        <v/>
      </c>
      <c r="N212" s="21" t="n"/>
      <c r="O212" s="23" t="n"/>
      <c r="P212" s="24">
        <f>IF(N212="","",N212+O212)</f>
        <v/>
      </c>
      <c r="Q212" s="24">
        <f>IF(N212="","",J212*N212)</f>
        <v/>
      </c>
      <c r="R212" s="24">
        <f>IF(O212="","",J212*O212)</f>
        <v/>
      </c>
      <c r="S212" s="24">
        <f>IF(N212="","",Q212+R212)</f>
        <v/>
      </c>
      <c r="T212" s="21" t="n"/>
      <c r="U212" s="19" t="n"/>
      <c r="V212" s="20" t="n"/>
    </row>
    <row r="213">
      <c r="A213" s="18" t="n">
        <v>197</v>
      </c>
      <c r="B213" s="19" t="n"/>
      <c r="C213" s="19" t="n"/>
      <c r="D213" s="19" t="n"/>
      <c r="E213" s="19" t="n"/>
      <c r="F213" s="19" t="n"/>
      <c r="G213" s="20" t="n"/>
      <c r="H213" s="19" t="n"/>
      <c r="I213" s="19" t="n"/>
      <c r="J213" s="19" t="n"/>
      <c r="K213" s="19" t="n"/>
      <c r="L213" s="21" t="n"/>
      <c r="M213" s="22">
        <f>IF(J213="","",L213/J213)</f>
        <v/>
      </c>
      <c r="N213" s="21" t="n"/>
      <c r="O213" s="23" t="n"/>
      <c r="P213" s="24">
        <f>IF(N213="","",N213+O213)</f>
        <v/>
      </c>
      <c r="Q213" s="24">
        <f>IF(N213="","",J213*N213)</f>
        <v/>
      </c>
      <c r="R213" s="24">
        <f>IF(O213="","",J213*O213)</f>
        <v/>
      </c>
      <c r="S213" s="24">
        <f>IF(N213="","",Q213+R213)</f>
        <v/>
      </c>
      <c r="T213" s="21" t="n"/>
      <c r="U213" s="19" t="n"/>
      <c r="V213" s="20" t="n"/>
    </row>
    <row r="214">
      <c r="A214" s="18" t="n">
        <v>198</v>
      </c>
      <c r="B214" s="19" t="n"/>
      <c r="C214" s="19" t="n"/>
      <c r="D214" s="19" t="n"/>
      <c r="E214" s="19" t="n"/>
      <c r="F214" s="19" t="n"/>
      <c r="G214" s="20" t="n"/>
      <c r="H214" s="19" t="n"/>
      <c r="I214" s="19" t="n"/>
      <c r="J214" s="19" t="n"/>
      <c r="K214" s="19" t="n"/>
      <c r="L214" s="21" t="n"/>
      <c r="M214" s="22">
        <f>IF(J214="","",L214/J214)</f>
        <v/>
      </c>
      <c r="N214" s="21" t="n"/>
      <c r="O214" s="23" t="n"/>
      <c r="P214" s="24">
        <f>IF(N214="","",N214+O214)</f>
        <v/>
      </c>
      <c r="Q214" s="24">
        <f>IF(N214="","",J214*N214)</f>
        <v/>
      </c>
      <c r="R214" s="24">
        <f>IF(O214="","",J214*O214)</f>
        <v/>
      </c>
      <c r="S214" s="24">
        <f>IF(N214="","",Q214+R214)</f>
        <v/>
      </c>
      <c r="T214" s="21" t="n"/>
      <c r="U214" s="19" t="n"/>
      <c r="V214" s="20" t="n"/>
    </row>
    <row r="215">
      <c r="A215" s="18" t="n">
        <v>199</v>
      </c>
      <c r="B215" s="19" t="n"/>
      <c r="C215" s="19" t="n"/>
      <c r="D215" s="19" t="n"/>
      <c r="E215" s="19" t="n"/>
      <c r="F215" s="19" t="n"/>
      <c r="G215" s="20" t="n"/>
      <c r="H215" s="19" t="n"/>
      <c r="I215" s="19" t="n"/>
      <c r="J215" s="19" t="n"/>
      <c r="K215" s="19" t="n"/>
      <c r="L215" s="21" t="n"/>
      <c r="M215" s="22">
        <f>IF(J215="","",L215/J215)</f>
        <v/>
      </c>
      <c r="N215" s="21" t="n"/>
      <c r="O215" s="23" t="n"/>
      <c r="P215" s="24">
        <f>IF(N215="","",N215+O215)</f>
        <v/>
      </c>
      <c r="Q215" s="24">
        <f>IF(N215="","",J215*N215)</f>
        <v/>
      </c>
      <c r="R215" s="24">
        <f>IF(O215="","",J215*O215)</f>
        <v/>
      </c>
      <c r="S215" s="24">
        <f>IF(N215="","",Q215+R215)</f>
        <v/>
      </c>
      <c r="T215" s="21" t="n"/>
      <c r="U215" s="19" t="n"/>
      <c r="V215" s="20" t="n"/>
    </row>
    <row r="216">
      <c r="A216" s="18" t="n">
        <v>200</v>
      </c>
      <c r="B216" s="19" t="n"/>
      <c r="C216" s="19" t="n"/>
      <c r="D216" s="19" t="n"/>
      <c r="E216" s="19" t="n"/>
      <c r="F216" s="19" t="n"/>
      <c r="G216" s="20" t="n"/>
      <c r="H216" s="19" t="n"/>
      <c r="I216" s="19" t="n"/>
      <c r="J216" s="19" t="n"/>
      <c r="K216" s="19" t="n"/>
      <c r="L216" s="21" t="n"/>
      <c r="M216" s="22">
        <f>IF(J216="","",L216/J216)</f>
        <v/>
      </c>
      <c r="N216" s="21" t="n"/>
      <c r="O216" s="23" t="n"/>
      <c r="P216" s="24">
        <f>IF(N216="","",N216+O216)</f>
        <v/>
      </c>
      <c r="Q216" s="24">
        <f>IF(N216="","",J216*N216)</f>
        <v/>
      </c>
      <c r="R216" s="24">
        <f>IF(O216="","",J216*O216)</f>
        <v/>
      </c>
      <c r="S216" s="24">
        <f>IF(N216="","",Q216+R216)</f>
        <v/>
      </c>
      <c r="T216" s="21" t="n"/>
      <c r="U216" s="19" t="n"/>
      <c r="V216" s="20" t="n"/>
    </row>
    <row r="217">
      <c r="A217" s="18" t="n">
        <v>201</v>
      </c>
      <c r="B217" s="19" t="n"/>
      <c r="C217" s="19" t="n"/>
      <c r="D217" s="19" t="n"/>
      <c r="E217" s="19" t="n"/>
      <c r="F217" s="19" t="n"/>
      <c r="G217" s="20" t="n"/>
      <c r="H217" s="19" t="n"/>
      <c r="I217" s="19" t="n"/>
      <c r="J217" s="19" t="n"/>
      <c r="K217" s="19" t="n"/>
      <c r="L217" s="21" t="n"/>
      <c r="M217" s="22">
        <f>IF(J217="","",L217/J217)</f>
        <v/>
      </c>
      <c r="N217" s="21" t="n"/>
      <c r="O217" s="23" t="n"/>
      <c r="P217" s="24">
        <f>IF(N217="","",N217+O217)</f>
        <v/>
      </c>
      <c r="Q217" s="24">
        <f>IF(N217="","",J217*N217)</f>
        <v/>
      </c>
      <c r="R217" s="24">
        <f>IF(O217="","",J217*O217)</f>
        <v/>
      </c>
      <c r="S217" s="24">
        <f>IF(N217="","",Q217+R217)</f>
        <v/>
      </c>
      <c r="T217" s="21" t="n"/>
      <c r="U217" s="19" t="n"/>
      <c r="V217" s="20" t="n"/>
    </row>
    <row r="218">
      <c r="A218" s="18" t="n">
        <v>202</v>
      </c>
      <c r="B218" s="19" t="n"/>
      <c r="C218" s="19" t="n"/>
      <c r="D218" s="19" t="n"/>
      <c r="E218" s="19" t="n"/>
      <c r="F218" s="19" t="n"/>
      <c r="G218" s="20" t="n"/>
      <c r="H218" s="19" t="n"/>
      <c r="I218" s="19" t="n"/>
      <c r="J218" s="19" t="n"/>
      <c r="K218" s="19" t="n"/>
      <c r="L218" s="21" t="n"/>
      <c r="M218" s="22">
        <f>IF(J218="","",L218/J218)</f>
        <v/>
      </c>
      <c r="N218" s="21" t="n"/>
      <c r="O218" s="23" t="n"/>
      <c r="P218" s="24">
        <f>IF(N218="","",N218+O218)</f>
        <v/>
      </c>
      <c r="Q218" s="24">
        <f>IF(N218="","",J218*N218)</f>
        <v/>
      </c>
      <c r="R218" s="24">
        <f>IF(O218="","",J218*O218)</f>
        <v/>
      </c>
      <c r="S218" s="24">
        <f>IF(N218="","",Q218+R218)</f>
        <v/>
      </c>
      <c r="T218" s="21" t="n"/>
      <c r="U218" s="19" t="n"/>
      <c r="V218" s="20" t="n"/>
    </row>
    <row r="219">
      <c r="A219" s="18" t="n">
        <v>203</v>
      </c>
      <c r="B219" s="19" t="n"/>
      <c r="C219" s="19" t="n"/>
      <c r="D219" s="19" t="n"/>
      <c r="E219" s="19" t="n"/>
      <c r="F219" s="19" t="n"/>
      <c r="G219" s="20" t="n"/>
      <c r="H219" s="19" t="n"/>
      <c r="I219" s="19" t="n"/>
      <c r="J219" s="19" t="n"/>
      <c r="K219" s="19" t="n"/>
      <c r="L219" s="21" t="n"/>
      <c r="M219" s="22">
        <f>IF(J219="","",L219/J219)</f>
        <v/>
      </c>
      <c r="N219" s="21" t="n"/>
      <c r="O219" s="23" t="n"/>
      <c r="P219" s="24">
        <f>IF(N219="","",N219+O219)</f>
        <v/>
      </c>
      <c r="Q219" s="24">
        <f>IF(N219="","",J219*N219)</f>
        <v/>
      </c>
      <c r="R219" s="24">
        <f>IF(O219="","",J219*O219)</f>
        <v/>
      </c>
      <c r="S219" s="24">
        <f>IF(N219="","",Q219+R219)</f>
        <v/>
      </c>
      <c r="T219" s="21" t="n"/>
      <c r="U219" s="19" t="n"/>
      <c r="V219" s="20" t="n"/>
    </row>
    <row r="220">
      <c r="A220" s="18" t="n">
        <v>204</v>
      </c>
      <c r="B220" s="19" t="n"/>
      <c r="C220" s="19" t="n"/>
      <c r="D220" s="19" t="n"/>
      <c r="E220" s="19" t="n"/>
      <c r="F220" s="19" t="n"/>
      <c r="G220" s="20" t="n"/>
      <c r="H220" s="19" t="n"/>
      <c r="I220" s="19" t="n"/>
      <c r="J220" s="19" t="n"/>
      <c r="K220" s="19" t="n"/>
      <c r="L220" s="21" t="n"/>
      <c r="M220" s="22">
        <f>IF(J220="","",L220/J220)</f>
        <v/>
      </c>
      <c r="N220" s="21" t="n"/>
      <c r="O220" s="23" t="n"/>
      <c r="P220" s="24">
        <f>IF(N220="","",N220+O220)</f>
        <v/>
      </c>
      <c r="Q220" s="24">
        <f>IF(N220="","",J220*N220)</f>
        <v/>
      </c>
      <c r="R220" s="24">
        <f>IF(O220="","",J220*O220)</f>
        <v/>
      </c>
      <c r="S220" s="24">
        <f>IF(N220="","",Q220+R220)</f>
        <v/>
      </c>
      <c r="T220" s="21" t="n"/>
      <c r="U220" s="19" t="n"/>
      <c r="V220" s="20" t="n"/>
    </row>
    <row r="221">
      <c r="A221" s="18" t="n">
        <v>205</v>
      </c>
      <c r="B221" s="19" t="n"/>
      <c r="C221" s="19" t="n"/>
      <c r="D221" s="19" t="n"/>
      <c r="E221" s="19" t="n"/>
      <c r="F221" s="19" t="n"/>
      <c r="G221" s="20" t="n"/>
      <c r="H221" s="19" t="n"/>
      <c r="I221" s="19" t="n"/>
      <c r="J221" s="19" t="n"/>
      <c r="K221" s="19" t="n"/>
      <c r="L221" s="21" t="n"/>
      <c r="M221" s="22">
        <f>IF(J221="","",L221/J221)</f>
        <v/>
      </c>
      <c r="N221" s="21" t="n"/>
      <c r="O221" s="23" t="n"/>
      <c r="P221" s="24">
        <f>IF(N221="","",N221+O221)</f>
        <v/>
      </c>
      <c r="Q221" s="24">
        <f>IF(N221="","",J221*N221)</f>
        <v/>
      </c>
      <c r="R221" s="24">
        <f>IF(O221="","",J221*O221)</f>
        <v/>
      </c>
      <c r="S221" s="24">
        <f>IF(N221="","",Q221+R221)</f>
        <v/>
      </c>
      <c r="T221" s="21" t="n"/>
      <c r="U221" s="19" t="n"/>
      <c r="V221" s="20" t="n"/>
    </row>
    <row r="222">
      <c r="A222" s="18" t="n">
        <v>206</v>
      </c>
      <c r="B222" s="19" t="n"/>
      <c r="C222" s="19" t="n"/>
      <c r="D222" s="19" t="n"/>
      <c r="E222" s="19" t="n"/>
      <c r="F222" s="19" t="n"/>
      <c r="G222" s="20" t="n"/>
      <c r="H222" s="19" t="n"/>
      <c r="I222" s="19" t="n"/>
      <c r="J222" s="19" t="n"/>
      <c r="K222" s="19" t="n"/>
      <c r="L222" s="21" t="n"/>
      <c r="M222" s="22">
        <f>IF(J222="","",L222/J222)</f>
        <v/>
      </c>
      <c r="N222" s="21" t="n"/>
      <c r="O222" s="23" t="n"/>
      <c r="P222" s="24">
        <f>IF(N222="","",N222+O222)</f>
        <v/>
      </c>
      <c r="Q222" s="24">
        <f>IF(N222="","",J222*N222)</f>
        <v/>
      </c>
      <c r="R222" s="24">
        <f>IF(O222="","",J222*O222)</f>
        <v/>
      </c>
      <c r="S222" s="24">
        <f>IF(N222="","",Q222+R222)</f>
        <v/>
      </c>
      <c r="T222" s="21" t="n"/>
      <c r="U222" s="19" t="n"/>
      <c r="V222" s="20" t="n"/>
    </row>
    <row r="223">
      <c r="A223" s="18" t="n">
        <v>207</v>
      </c>
      <c r="B223" s="19" t="n"/>
      <c r="C223" s="19" t="n"/>
      <c r="D223" s="19" t="n"/>
      <c r="E223" s="19" t="n"/>
      <c r="F223" s="19" t="n"/>
      <c r="G223" s="20" t="n"/>
      <c r="H223" s="19" t="n"/>
      <c r="I223" s="19" t="n"/>
      <c r="J223" s="19" t="n"/>
      <c r="K223" s="19" t="n"/>
      <c r="L223" s="21" t="n"/>
      <c r="M223" s="22">
        <f>IF(J223="","",L223/J223)</f>
        <v/>
      </c>
      <c r="N223" s="21" t="n"/>
      <c r="O223" s="23" t="n"/>
      <c r="P223" s="24">
        <f>IF(N223="","",N223+O223)</f>
        <v/>
      </c>
      <c r="Q223" s="24">
        <f>IF(N223="","",J223*N223)</f>
        <v/>
      </c>
      <c r="R223" s="24">
        <f>IF(O223="","",J223*O223)</f>
        <v/>
      </c>
      <c r="S223" s="24">
        <f>IF(N223="","",Q223+R223)</f>
        <v/>
      </c>
      <c r="T223" s="21" t="n"/>
      <c r="U223" s="19" t="n"/>
      <c r="V223" s="20" t="n"/>
    </row>
    <row r="224">
      <c r="A224" s="18" t="n">
        <v>208</v>
      </c>
      <c r="B224" s="19" t="n"/>
      <c r="C224" s="19" t="n"/>
      <c r="D224" s="19" t="n"/>
      <c r="E224" s="19" t="n"/>
      <c r="F224" s="19" t="n"/>
      <c r="G224" s="20" t="n"/>
      <c r="H224" s="19" t="n"/>
      <c r="I224" s="19" t="n"/>
      <c r="J224" s="19" t="n"/>
      <c r="K224" s="19" t="n"/>
      <c r="L224" s="21" t="n"/>
      <c r="M224" s="22">
        <f>IF(J224="","",L224/J224)</f>
        <v/>
      </c>
      <c r="N224" s="21" t="n"/>
      <c r="O224" s="23" t="n"/>
      <c r="P224" s="24">
        <f>IF(N224="","",N224+O224)</f>
        <v/>
      </c>
      <c r="Q224" s="24">
        <f>IF(N224="","",J224*N224)</f>
        <v/>
      </c>
      <c r="R224" s="24">
        <f>IF(O224="","",J224*O224)</f>
        <v/>
      </c>
      <c r="S224" s="24">
        <f>IF(N224="","",Q224+R224)</f>
        <v/>
      </c>
      <c r="T224" s="21" t="n"/>
      <c r="U224" s="19" t="n"/>
      <c r="V224" s="20" t="n"/>
    </row>
    <row r="225">
      <c r="A225" s="18" t="n">
        <v>209</v>
      </c>
      <c r="B225" s="19" t="n"/>
      <c r="C225" s="19" t="n"/>
      <c r="D225" s="19" t="n"/>
      <c r="E225" s="19" t="n"/>
      <c r="F225" s="19" t="n"/>
      <c r="G225" s="20" t="n"/>
      <c r="H225" s="19" t="n"/>
      <c r="I225" s="19" t="n"/>
      <c r="J225" s="19" t="n"/>
      <c r="K225" s="19" t="n"/>
      <c r="L225" s="21" t="n"/>
      <c r="M225" s="22">
        <f>IF(J225="","",L225/J225)</f>
        <v/>
      </c>
      <c r="N225" s="21" t="n"/>
      <c r="O225" s="23" t="n"/>
      <c r="P225" s="24">
        <f>IF(N225="","",N225+O225)</f>
        <v/>
      </c>
      <c r="Q225" s="24">
        <f>IF(N225="","",J225*N225)</f>
        <v/>
      </c>
      <c r="R225" s="24">
        <f>IF(O225="","",J225*O225)</f>
        <v/>
      </c>
      <c r="S225" s="24">
        <f>IF(N225="","",Q225+R225)</f>
        <v/>
      </c>
      <c r="T225" s="21" t="n"/>
      <c r="U225" s="19" t="n"/>
      <c r="V225" s="20" t="n"/>
    </row>
    <row r="226">
      <c r="A226" s="18" t="n">
        <v>210</v>
      </c>
      <c r="B226" s="19" t="n"/>
      <c r="C226" s="19" t="n"/>
      <c r="D226" s="19" t="n"/>
      <c r="E226" s="19" t="n"/>
      <c r="F226" s="19" t="n"/>
      <c r="G226" s="20" t="n"/>
      <c r="H226" s="19" t="n"/>
      <c r="I226" s="19" t="n"/>
      <c r="J226" s="19" t="n"/>
      <c r="K226" s="19" t="n"/>
      <c r="L226" s="21" t="n"/>
      <c r="M226" s="22">
        <f>IF(J226="","",L226/J226)</f>
        <v/>
      </c>
      <c r="N226" s="21" t="n"/>
      <c r="O226" s="23" t="n"/>
      <c r="P226" s="24">
        <f>IF(N226="","",N226+O226)</f>
        <v/>
      </c>
      <c r="Q226" s="24">
        <f>IF(N226="","",J226*N226)</f>
        <v/>
      </c>
      <c r="R226" s="24">
        <f>IF(O226="","",J226*O226)</f>
        <v/>
      </c>
      <c r="S226" s="24">
        <f>IF(N226="","",Q226+R226)</f>
        <v/>
      </c>
      <c r="T226" s="21" t="n"/>
      <c r="U226" s="19" t="n"/>
      <c r="V226" s="20" t="n"/>
    </row>
    <row r="227">
      <c r="A227" s="18" t="n">
        <v>211</v>
      </c>
      <c r="B227" s="19" t="n"/>
      <c r="C227" s="19" t="n"/>
      <c r="D227" s="19" t="n"/>
      <c r="E227" s="19" t="n"/>
      <c r="F227" s="19" t="n"/>
      <c r="G227" s="20" t="n"/>
      <c r="H227" s="19" t="n"/>
      <c r="I227" s="19" t="n"/>
      <c r="J227" s="19" t="n"/>
      <c r="K227" s="19" t="n"/>
      <c r="L227" s="21" t="n"/>
      <c r="M227" s="22">
        <f>IF(J227="","",L227/J227)</f>
        <v/>
      </c>
      <c r="N227" s="21" t="n"/>
      <c r="O227" s="23" t="n"/>
      <c r="P227" s="24">
        <f>IF(N227="","",N227+O227)</f>
        <v/>
      </c>
      <c r="Q227" s="24">
        <f>IF(N227="","",J227*N227)</f>
        <v/>
      </c>
      <c r="R227" s="24">
        <f>IF(O227="","",J227*O227)</f>
        <v/>
      </c>
      <c r="S227" s="24">
        <f>IF(N227="","",Q227+R227)</f>
        <v/>
      </c>
      <c r="T227" s="21" t="n"/>
      <c r="U227" s="19" t="n"/>
      <c r="V227" s="20" t="n"/>
    </row>
    <row r="228">
      <c r="A228" s="18" t="n">
        <v>212</v>
      </c>
      <c r="B228" s="19" t="n"/>
      <c r="C228" s="19" t="n"/>
      <c r="D228" s="19" t="n"/>
      <c r="E228" s="19" t="n"/>
      <c r="F228" s="19" t="n"/>
      <c r="G228" s="20" t="n"/>
      <c r="H228" s="19" t="n"/>
      <c r="I228" s="19" t="n"/>
      <c r="J228" s="19" t="n"/>
      <c r="K228" s="19" t="n"/>
      <c r="L228" s="21" t="n"/>
      <c r="M228" s="22">
        <f>IF(J228="","",L228/J228)</f>
        <v/>
      </c>
      <c r="N228" s="21" t="n"/>
      <c r="O228" s="23" t="n"/>
      <c r="P228" s="24">
        <f>IF(N228="","",N228+O228)</f>
        <v/>
      </c>
      <c r="Q228" s="24">
        <f>IF(N228="","",J228*N228)</f>
        <v/>
      </c>
      <c r="R228" s="24">
        <f>IF(O228="","",J228*O228)</f>
        <v/>
      </c>
      <c r="S228" s="24">
        <f>IF(N228="","",Q228+R228)</f>
        <v/>
      </c>
      <c r="T228" s="21" t="n"/>
      <c r="U228" s="19" t="n"/>
      <c r="V228" s="20" t="n"/>
    </row>
    <row r="229">
      <c r="A229" s="18" t="n">
        <v>213</v>
      </c>
      <c r="B229" s="19" t="n"/>
      <c r="C229" s="19" t="n"/>
      <c r="D229" s="19" t="n"/>
      <c r="E229" s="19" t="n"/>
      <c r="F229" s="19" t="n"/>
      <c r="G229" s="20" t="n"/>
      <c r="H229" s="19" t="n"/>
      <c r="I229" s="19" t="n"/>
      <c r="J229" s="19" t="n"/>
      <c r="K229" s="19" t="n"/>
      <c r="L229" s="21" t="n"/>
      <c r="M229" s="22">
        <f>IF(J229="","",L229/J229)</f>
        <v/>
      </c>
      <c r="N229" s="21" t="n"/>
      <c r="O229" s="23" t="n"/>
      <c r="P229" s="24">
        <f>IF(N229="","",N229+O229)</f>
        <v/>
      </c>
      <c r="Q229" s="24">
        <f>IF(N229="","",J229*N229)</f>
        <v/>
      </c>
      <c r="R229" s="24">
        <f>IF(O229="","",J229*O229)</f>
        <v/>
      </c>
      <c r="S229" s="24">
        <f>IF(N229="","",Q229+R229)</f>
        <v/>
      </c>
      <c r="T229" s="21" t="n"/>
      <c r="U229" s="19" t="n"/>
      <c r="V229" s="20" t="n"/>
    </row>
    <row r="230">
      <c r="A230" s="18" t="n">
        <v>214</v>
      </c>
      <c r="B230" s="19" t="n"/>
      <c r="C230" s="19" t="n"/>
      <c r="D230" s="19" t="n"/>
      <c r="E230" s="19" t="n"/>
      <c r="F230" s="19" t="n"/>
      <c r="G230" s="20" t="n"/>
      <c r="H230" s="19" t="n"/>
      <c r="I230" s="19" t="n"/>
      <c r="J230" s="19" t="n"/>
      <c r="K230" s="19" t="n"/>
      <c r="L230" s="21" t="n"/>
      <c r="M230" s="22">
        <f>IF(J230="","",L230/J230)</f>
        <v/>
      </c>
      <c r="N230" s="21" t="n"/>
      <c r="O230" s="23" t="n"/>
      <c r="P230" s="24">
        <f>IF(N230="","",N230+O230)</f>
        <v/>
      </c>
      <c r="Q230" s="24">
        <f>IF(N230="","",J230*N230)</f>
        <v/>
      </c>
      <c r="R230" s="24">
        <f>IF(O230="","",J230*O230)</f>
        <v/>
      </c>
      <c r="S230" s="24">
        <f>IF(N230="","",Q230+R230)</f>
        <v/>
      </c>
      <c r="T230" s="21" t="n"/>
      <c r="U230" s="19" t="n"/>
      <c r="V230" s="20" t="n"/>
    </row>
    <row r="231">
      <c r="A231" s="18" t="n">
        <v>215</v>
      </c>
      <c r="B231" s="19" t="n"/>
      <c r="C231" s="19" t="n"/>
      <c r="D231" s="19" t="n"/>
      <c r="E231" s="19" t="n"/>
      <c r="F231" s="19" t="n"/>
      <c r="G231" s="20" t="n"/>
      <c r="H231" s="19" t="n"/>
      <c r="I231" s="19" t="n"/>
      <c r="J231" s="19" t="n"/>
      <c r="K231" s="19" t="n"/>
      <c r="L231" s="21" t="n"/>
      <c r="M231" s="22">
        <f>IF(J231="","",L231/J231)</f>
        <v/>
      </c>
      <c r="N231" s="21" t="n"/>
      <c r="O231" s="23" t="n"/>
      <c r="P231" s="24">
        <f>IF(N231="","",N231+O231)</f>
        <v/>
      </c>
      <c r="Q231" s="24">
        <f>IF(N231="","",J231*N231)</f>
        <v/>
      </c>
      <c r="R231" s="24">
        <f>IF(O231="","",J231*O231)</f>
        <v/>
      </c>
      <c r="S231" s="24">
        <f>IF(N231="","",Q231+R231)</f>
        <v/>
      </c>
      <c r="T231" s="21" t="n"/>
      <c r="U231" s="19" t="n"/>
      <c r="V231" s="20" t="n"/>
    </row>
    <row r="232">
      <c r="A232" s="18" t="n">
        <v>216</v>
      </c>
      <c r="B232" s="19" t="n"/>
      <c r="C232" s="19" t="n"/>
      <c r="D232" s="19" t="n"/>
      <c r="E232" s="19" t="n"/>
      <c r="F232" s="19" t="n"/>
      <c r="G232" s="20" t="n"/>
      <c r="H232" s="19" t="n"/>
      <c r="I232" s="19" t="n"/>
      <c r="J232" s="19" t="n"/>
      <c r="K232" s="19" t="n"/>
      <c r="L232" s="21" t="n"/>
      <c r="M232" s="22">
        <f>IF(J232="","",L232/J232)</f>
        <v/>
      </c>
      <c r="N232" s="21" t="n"/>
      <c r="O232" s="23" t="n"/>
      <c r="P232" s="24">
        <f>IF(N232="","",N232+O232)</f>
        <v/>
      </c>
      <c r="Q232" s="24">
        <f>IF(N232="","",J232*N232)</f>
        <v/>
      </c>
      <c r="R232" s="24">
        <f>IF(O232="","",J232*O232)</f>
        <v/>
      </c>
      <c r="S232" s="24">
        <f>IF(N232="","",Q232+R232)</f>
        <v/>
      </c>
      <c r="T232" s="21" t="n"/>
      <c r="U232" s="19" t="n"/>
      <c r="V232" s="20" t="n"/>
    </row>
    <row r="233">
      <c r="A233" s="18" t="n">
        <v>217</v>
      </c>
      <c r="B233" s="19" t="n"/>
      <c r="C233" s="19" t="n"/>
      <c r="D233" s="19" t="n"/>
      <c r="E233" s="19" t="n"/>
      <c r="F233" s="19" t="n"/>
      <c r="G233" s="20" t="n"/>
      <c r="H233" s="19" t="n"/>
      <c r="I233" s="19" t="n"/>
      <c r="J233" s="19" t="n"/>
      <c r="K233" s="19" t="n"/>
      <c r="L233" s="21" t="n"/>
      <c r="M233" s="22">
        <f>IF(J233="","",L233/J233)</f>
        <v/>
      </c>
      <c r="N233" s="21" t="n"/>
      <c r="O233" s="23" t="n"/>
      <c r="P233" s="24">
        <f>IF(N233="","",N233+O233)</f>
        <v/>
      </c>
      <c r="Q233" s="24">
        <f>IF(N233="","",J233*N233)</f>
        <v/>
      </c>
      <c r="R233" s="24">
        <f>IF(O233="","",J233*O233)</f>
        <v/>
      </c>
      <c r="S233" s="24">
        <f>IF(N233="","",Q233+R233)</f>
        <v/>
      </c>
      <c r="T233" s="21" t="n"/>
      <c r="U233" s="19" t="n"/>
      <c r="V233" s="20" t="n"/>
    </row>
    <row r="234">
      <c r="A234" s="18" t="n">
        <v>218</v>
      </c>
      <c r="B234" s="19" t="n"/>
      <c r="C234" s="19" t="n"/>
      <c r="D234" s="19" t="n"/>
      <c r="E234" s="19" t="n"/>
      <c r="F234" s="19" t="n"/>
      <c r="G234" s="20" t="n"/>
      <c r="H234" s="19" t="n"/>
      <c r="I234" s="19" t="n"/>
      <c r="J234" s="19" t="n"/>
      <c r="K234" s="19" t="n"/>
      <c r="L234" s="21" t="n"/>
      <c r="M234" s="22">
        <f>IF(J234="","",L234/J234)</f>
        <v/>
      </c>
      <c r="N234" s="21" t="n"/>
      <c r="O234" s="23" t="n"/>
      <c r="P234" s="24">
        <f>IF(N234="","",N234+O234)</f>
        <v/>
      </c>
      <c r="Q234" s="24">
        <f>IF(N234="","",J234*N234)</f>
        <v/>
      </c>
      <c r="R234" s="24">
        <f>IF(O234="","",J234*O234)</f>
        <v/>
      </c>
      <c r="S234" s="24">
        <f>IF(N234="","",Q234+R234)</f>
        <v/>
      </c>
      <c r="T234" s="21" t="n"/>
      <c r="U234" s="19" t="n"/>
      <c r="V234" s="20" t="n"/>
    </row>
    <row r="235">
      <c r="A235" s="18" t="n">
        <v>219</v>
      </c>
      <c r="B235" s="19" t="n"/>
      <c r="C235" s="19" t="n"/>
      <c r="D235" s="19" t="n"/>
      <c r="E235" s="19" t="n"/>
      <c r="F235" s="19" t="n"/>
      <c r="G235" s="20" t="n"/>
      <c r="H235" s="19" t="n"/>
      <c r="I235" s="19" t="n"/>
      <c r="J235" s="19" t="n"/>
      <c r="K235" s="19" t="n"/>
      <c r="L235" s="21" t="n"/>
      <c r="M235" s="22">
        <f>IF(J235="","",L235/J235)</f>
        <v/>
      </c>
      <c r="N235" s="21" t="n"/>
      <c r="O235" s="23" t="n"/>
      <c r="P235" s="24">
        <f>IF(N235="","",N235+O235)</f>
        <v/>
      </c>
      <c r="Q235" s="24">
        <f>IF(N235="","",J235*N235)</f>
        <v/>
      </c>
      <c r="R235" s="24">
        <f>IF(O235="","",J235*O235)</f>
        <v/>
      </c>
      <c r="S235" s="24">
        <f>IF(N235="","",Q235+R235)</f>
        <v/>
      </c>
      <c r="T235" s="21" t="n"/>
      <c r="U235" s="19" t="n"/>
      <c r="V235" s="20" t="n"/>
    </row>
    <row r="236">
      <c r="A236" s="18" t="n">
        <v>220</v>
      </c>
      <c r="B236" s="19" t="n"/>
      <c r="C236" s="19" t="n"/>
      <c r="D236" s="19" t="n"/>
      <c r="E236" s="19" t="n"/>
      <c r="F236" s="19" t="n"/>
      <c r="G236" s="20" t="n"/>
      <c r="H236" s="19" t="n"/>
      <c r="I236" s="19" t="n"/>
      <c r="J236" s="19" t="n"/>
      <c r="K236" s="19" t="n"/>
      <c r="L236" s="21" t="n"/>
      <c r="M236" s="22">
        <f>IF(J236="","",L236/J236)</f>
        <v/>
      </c>
      <c r="N236" s="21" t="n"/>
      <c r="O236" s="23" t="n"/>
      <c r="P236" s="24">
        <f>IF(N236="","",N236+O236)</f>
        <v/>
      </c>
      <c r="Q236" s="24">
        <f>IF(N236="","",J236*N236)</f>
        <v/>
      </c>
      <c r="R236" s="24">
        <f>IF(O236="","",J236*O236)</f>
        <v/>
      </c>
      <c r="S236" s="24">
        <f>IF(N236="","",Q236+R236)</f>
        <v/>
      </c>
      <c r="T236" s="21" t="n"/>
      <c r="U236" s="19" t="n"/>
      <c r="V236" s="20" t="n"/>
    </row>
    <row r="237">
      <c r="A237" s="18" t="n">
        <v>221</v>
      </c>
      <c r="B237" s="19" t="n"/>
      <c r="C237" s="19" t="n"/>
      <c r="D237" s="19" t="n"/>
      <c r="E237" s="19" t="n"/>
      <c r="F237" s="19" t="n"/>
      <c r="G237" s="20" t="n"/>
      <c r="H237" s="19" t="n"/>
      <c r="I237" s="19" t="n"/>
      <c r="J237" s="19" t="n"/>
      <c r="K237" s="19" t="n"/>
      <c r="L237" s="21" t="n"/>
      <c r="M237" s="22">
        <f>IF(J237="","",L237/J237)</f>
        <v/>
      </c>
      <c r="N237" s="21" t="n"/>
      <c r="O237" s="23" t="n"/>
      <c r="P237" s="24">
        <f>IF(N237="","",N237+O237)</f>
        <v/>
      </c>
      <c r="Q237" s="24">
        <f>IF(N237="","",J237*N237)</f>
        <v/>
      </c>
      <c r="R237" s="24">
        <f>IF(O237="","",J237*O237)</f>
        <v/>
      </c>
      <c r="S237" s="24">
        <f>IF(N237="","",Q237+R237)</f>
        <v/>
      </c>
      <c r="T237" s="21" t="n"/>
      <c r="U237" s="19" t="n"/>
      <c r="V237" s="20" t="n"/>
    </row>
    <row r="238">
      <c r="A238" s="18" t="n">
        <v>222</v>
      </c>
      <c r="B238" s="19" t="n"/>
      <c r="C238" s="19" t="n"/>
      <c r="D238" s="19" t="n"/>
      <c r="E238" s="19" t="n"/>
      <c r="F238" s="19" t="n"/>
      <c r="G238" s="20" t="n"/>
      <c r="H238" s="19" t="n"/>
      <c r="I238" s="19" t="n"/>
      <c r="J238" s="19" t="n"/>
      <c r="K238" s="19" t="n"/>
      <c r="L238" s="21" t="n"/>
      <c r="M238" s="22">
        <f>IF(J238="","",L238/J238)</f>
        <v/>
      </c>
      <c r="N238" s="21" t="n"/>
      <c r="O238" s="23" t="n"/>
      <c r="P238" s="24">
        <f>IF(N238="","",N238+O238)</f>
        <v/>
      </c>
      <c r="Q238" s="24">
        <f>IF(N238="","",J238*N238)</f>
        <v/>
      </c>
      <c r="R238" s="24">
        <f>IF(O238="","",J238*O238)</f>
        <v/>
      </c>
      <c r="S238" s="24">
        <f>IF(N238="","",Q238+R238)</f>
        <v/>
      </c>
      <c r="T238" s="21" t="n"/>
      <c r="U238" s="19" t="n"/>
      <c r="V238" s="20" t="n"/>
    </row>
    <row r="239">
      <c r="A239" s="18" t="n">
        <v>223</v>
      </c>
      <c r="B239" s="19" t="n"/>
      <c r="C239" s="19" t="n"/>
      <c r="D239" s="19" t="n"/>
      <c r="E239" s="19" t="n"/>
      <c r="F239" s="19" t="n"/>
      <c r="G239" s="20" t="n"/>
      <c r="H239" s="19" t="n"/>
      <c r="I239" s="19" t="n"/>
      <c r="J239" s="19" t="n"/>
      <c r="K239" s="19" t="n"/>
      <c r="L239" s="21" t="n"/>
      <c r="M239" s="22">
        <f>IF(J239="","",L239/J239)</f>
        <v/>
      </c>
      <c r="N239" s="21" t="n"/>
      <c r="O239" s="23" t="n"/>
      <c r="P239" s="24">
        <f>IF(N239="","",N239+O239)</f>
        <v/>
      </c>
      <c r="Q239" s="24">
        <f>IF(N239="","",J239*N239)</f>
        <v/>
      </c>
      <c r="R239" s="24">
        <f>IF(O239="","",J239*O239)</f>
        <v/>
      </c>
      <c r="S239" s="24">
        <f>IF(N239="","",Q239+R239)</f>
        <v/>
      </c>
      <c r="T239" s="21" t="n"/>
      <c r="U239" s="19" t="n"/>
      <c r="V239" s="20" t="n"/>
    </row>
    <row r="240">
      <c r="A240" s="18" t="n">
        <v>224</v>
      </c>
      <c r="B240" s="19" t="n"/>
      <c r="C240" s="19" t="n"/>
      <c r="D240" s="19" t="n"/>
      <c r="E240" s="19" t="n"/>
      <c r="F240" s="19" t="n"/>
      <c r="G240" s="20" t="n"/>
      <c r="H240" s="19" t="n"/>
      <c r="I240" s="19" t="n"/>
      <c r="J240" s="19" t="n"/>
      <c r="K240" s="19" t="n"/>
      <c r="L240" s="21" t="n"/>
      <c r="M240" s="22">
        <f>IF(J240="","",L240/J240)</f>
        <v/>
      </c>
      <c r="N240" s="21" t="n"/>
      <c r="O240" s="23" t="n"/>
      <c r="P240" s="24">
        <f>IF(N240="","",N240+O240)</f>
        <v/>
      </c>
      <c r="Q240" s="24">
        <f>IF(N240="","",J240*N240)</f>
        <v/>
      </c>
      <c r="R240" s="24">
        <f>IF(O240="","",J240*O240)</f>
        <v/>
      </c>
      <c r="S240" s="24">
        <f>IF(N240="","",Q240+R240)</f>
        <v/>
      </c>
      <c r="T240" s="21" t="n"/>
      <c r="U240" s="19" t="n"/>
      <c r="V240" s="20" t="n"/>
    </row>
    <row r="241">
      <c r="A241" s="18" t="n">
        <v>225</v>
      </c>
      <c r="B241" s="19" t="n"/>
      <c r="C241" s="19" t="n"/>
      <c r="D241" s="19" t="n"/>
      <c r="E241" s="19" t="n"/>
      <c r="F241" s="19" t="n"/>
      <c r="G241" s="20" t="n"/>
      <c r="H241" s="19" t="n"/>
      <c r="I241" s="19" t="n"/>
      <c r="J241" s="19" t="n"/>
      <c r="K241" s="19" t="n"/>
      <c r="L241" s="21" t="n"/>
      <c r="M241" s="22">
        <f>IF(J241="","",L241/J241)</f>
        <v/>
      </c>
      <c r="N241" s="21" t="n"/>
      <c r="O241" s="23" t="n"/>
      <c r="P241" s="24">
        <f>IF(N241="","",N241+O241)</f>
        <v/>
      </c>
      <c r="Q241" s="24">
        <f>IF(N241="","",J241*N241)</f>
        <v/>
      </c>
      <c r="R241" s="24">
        <f>IF(O241="","",J241*O241)</f>
        <v/>
      </c>
      <c r="S241" s="24">
        <f>IF(N241="","",Q241+R241)</f>
        <v/>
      </c>
      <c r="T241" s="21" t="n"/>
      <c r="U241" s="19" t="n"/>
      <c r="V241" s="20" t="n"/>
    </row>
    <row r="242">
      <c r="A242" s="18" t="n">
        <v>226</v>
      </c>
      <c r="B242" s="19" t="n"/>
      <c r="C242" s="19" t="n"/>
      <c r="D242" s="19" t="n"/>
      <c r="E242" s="19" t="n"/>
      <c r="F242" s="19" t="n"/>
      <c r="G242" s="20" t="n"/>
      <c r="H242" s="19" t="n"/>
      <c r="I242" s="19" t="n"/>
      <c r="J242" s="19" t="n"/>
      <c r="K242" s="19" t="n"/>
      <c r="L242" s="21" t="n"/>
      <c r="M242" s="22">
        <f>IF(J242="","",L242/J242)</f>
        <v/>
      </c>
      <c r="N242" s="21" t="n"/>
      <c r="O242" s="23" t="n"/>
      <c r="P242" s="24">
        <f>IF(N242="","",N242+O242)</f>
        <v/>
      </c>
      <c r="Q242" s="24">
        <f>IF(N242="","",J242*N242)</f>
        <v/>
      </c>
      <c r="R242" s="24">
        <f>IF(O242="","",J242*O242)</f>
        <v/>
      </c>
      <c r="S242" s="24">
        <f>IF(N242="","",Q242+R242)</f>
        <v/>
      </c>
      <c r="T242" s="21" t="n"/>
      <c r="U242" s="19" t="n"/>
      <c r="V242" s="20" t="n"/>
    </row>
    <row r="243">
      <c r="A243" s="18" t="n">
        <v>227</v>
      </c>
      <c r="B243" s="19" t="n"/>
      <c r="C243" s="19" t="n"/>
      <c r="D243" s="19" t="n"/>
      <c r="E243" s="19" t="n"/>
      <c r="F243" s="19" t="n"/>
      <c r="G243" s="20" t="n"/>
      <c r="H243" s="19" t="n"/>
      <c r="I243" s="19" t="n"/>
      <c r="J243" s="19" t="n"/>
      <c r="K243" s="19" t="n"/>
      <c r="L243" s="21" t="n"/>
      <c r="M243" s="22">
        <f>IF(J243="","",L243/J243)</f>
        <v/>
      </c>
      <c r="N243" s="21" t="n"/>
      <c r="O243" s="23" t="n"/>
      <c r="P243" s="24">
        <f>IF(N243="","",N243+O243)</f>
        <v/>
      </c>
      <c r="Q243" s="24">
        <f>IF(N243="","",J243*N243)</f>
        <v/>
      </c>
      <c r="R243" s="24">
        <f>IF(O243="","",J243*O243)</f>
        <v/>
      </c>
      <c r="S243" s="24">
        <f>IF(N243="","",Q243+R243)</f>
        <v/>
      </c>
      <c r="T243" s="21" t="n"/>
      <c r="U243" s="19" t="n"/>
      <c r="V243" s="20" t="n"/>
    </row>
    <row r="244">
      <c r="A244" s="18" t="n">
        <v>228</v>
      </c>
      <c r="B244" s="19" t="n"/>
      <c r="C244" s="19" t="n"/>
      <c r="D244" s="19" t="n"/>
      <c r="E244" s="19" t="n"/>
      <c r="F244" s="19" t="n"/>
      <c r="G244" s="20" t="n"/>
      <c r="H244" s="19" t="n"/>
      <c r="I244" s="19" t="n"/>
      <c r="J244" s="19" t="n"/>
      <c r="K244" s="19" t="n"/>
      <c r="L244" s="21" t="n"/>
      <c r="M244" s="22">
        <f>IF(J244="","",L244/J244)</f>
        <v/>
      </c>
      <c r="N244" s="21" t="n"/>
      <c r="O244" s="23" t="n"/>
      <c r="P244" s="24">
        <f>IF(N244="","",N244+O244)</f>
        <v/>
      </c>
      <c r="Q244" s="24">
        <f>IF(N244="","",J244*N244)</f>
        <v/>
      </c>
      <c r="R244" s="24">
        <f>IF(O244="","",J244*O244)</f>
        <v/>
      </c>
      <c r="S244" s="24">
        <f>IF(N244="","",Q244+R244)</f>
        <v/>
      </c>
      <c r="T244" s="21" t="n"/>
      <c r="U244" s="19" t="n"/>
      <c r="V244" s="20" t="n"/>
    </row>
    <row r="245">
      <c r="A245" s="18" t="n">
        <v>229</v>
      </c>
      <c r="B245" s="19" t="n"/>
      <c r="C245" s="19" t="n"/>
      <c r="D245" s="19" t="n"/>
      <c r="E245" s="19" t="n"/>
      <c r="F245" s="19" t="n"/>
      <c r="G245" s="20" t="n"/>
      <c r="H245" s="19" t="n"/>
      <c r="I245" s="19" t="n"/>
      <c r="J245" s="19" t="n"/>
      <c r="K245" s="19" t="n"/>
      <c r="L245" s="21" t="n"/>
      <c r="M245" s="22">
        <f>IF(J245="","",L245/J245)</f>
        <v/>
      </c>
      <c r="N245" s="21" t="n"/>
      <c r="O245" s="23" t="n"/>
      <c r="P245" s="24">
        <f>IF(N245="","",N245+O245)</f>
        <v/>
      </c>
      <c r="Q245" s="24">
        <f>IF(N245="","",J245*N245)</f>
        <v/>
      </c>
      <c r="R245" s="24">
        <f>IF(O245="","",J245*O245)</f>
        <v/>
      </c>
      <c r="S245" s="24">
        <f>IF(N245="","",Q245+R245)</f>
        <v/>
      </c>
      <c r="T245" s="21" t="n"/>
      <c r="U245" s="19" t="n"/>
      <c r="V245" s="20" t="n"/>
    </row>
    <row r="246">
      <c r="A246" s="18" t="n">
        <v>230</v>
      </c>
      <c r="B246" s="19" t="n"/>
      <c r="C246" s="19" t="n"/>
      <c r="D246" s="19" t="n"/>
      <c r="E246" s="19" t="n"/>
      <c r="F246" s="19" t="n"/>
      <c r="G246" s="20" t="n"/>
      <c r="H246" s="19" t="n"/>
      <c r="I246" s="19" t="n"/>
      <c r="J246" s="19" t="n"/>
      <c r="K246" s="19" t="n"/>
      <c r="L246" s="21" t="n"/>
      <c r="M246" s="22">
        <f>IF(J246="","",L246/J246)</f>
        <v/>
      </c>
      <c r="N246" s="21" t="n"/>
      <c r="O246" s="23" t="n"/>
      <c r="P246" s="24">
        <f>IF(N246="","",N246+O246)</f>
        <v/>
      </c>
      <c r="Q246" s="24">
        <f>IF(N246="","",J246*N246)</f>
        <v/>
      </c>
      <c r="R246" s="24">
        <f>IF(O246="","",J246*O246)</f>
        <v/>
      </c>
      <c r="S246" s="24">
        <f>IF(N246="","",Q246+R246)</f>
        <v/>
      </c>
      <c r="T246" s="21" t="n"/>
      <c r="U246" s="19" t="n"/>
      <c r="V246" s="20" t="n"/>
    </row>
    <row r="247">
      <c r="A247" s="18" t="n">
        <v>231</v>
      </c>
      <c r="B247" s="19" t="n"/>
      <c r="C247" s="19" t="n"/>
      <c r="D247" s="19" t="n"/>
      <c r="E247" s="19" t="n"/>
      <c r="F247" s="19" t="n"/>
      <c r="G247" s="20" t="n"/>
      <c r="H247" s="19" t="n"/>
      <c r="I247" s="19" t="n"/>
      <c r="J247" s="19" t="n"/>
      <c r="K247" s="19" t="n"/>
      <c r="L247" s="21" t="n"/>
      <c r="M247" s="22">
        <f>IF(J247="","",L247/J247)</f>
        <v/>
      </c>
      <c r="N247" s="21" t="n"/>
      <c r="O247" s="23" t="n"/>
      <c r="P247" s="24">
        <f>IF(N247="","",N247+O247)</f>
        <v/>
      </c>
      <c r="Q247" s="24">
        <f>IF(N247="","",J247*N247)</f>
        <v/>
      </c>
      <c r="R247" s="24">
        <f>IF(O247="","",J247*O247)</f>
        <v/>
      </c>
      <c r="S247" s="24">
        <f>IF(N247="","",Q247+R247)</f>
        <v/>
      </c>
      <c r="T247" s="21" t="n"/>
      <c r="U247" s="19" t="n"/>
      <c r="V247" s="20" t="n"/>
    </row>
    <row r="248">
      <c r="A248" s="18" t="n">
        <v>232</v>
      </c>
      <c r="B248" s="19" t="n"/>
      <c r="C248" s="19" t="n"/>
      <c r="D248" s="19" t="n"/>
      <c r="E248" s="19" t="n"/>
      <c r="F248" s="19" t="n"/>
      <c r="G248" s="20" t="n"/>
      <c r="H248" s="19" t="n"/>
      <c r="I248" s="19" t="n"/>
      <c r="J248" s="19" t="n"/>
      <c r="K248" s="19" t="n"/>
      <c r="L248" s="21" t="n"/>
      <c r="M248" s="22">
        <f>IF(J248="","",L248/J248)</f>
        <v/>
      </c>
      <c r="N248" s="21" t="n"/>
      <c r="O248" s="23" t="n"/>
      <c r="P248" s="24">
        <f>IF(N248="","",N248+O248)</f>
        <v/>
      </c>
      <c r="Q248" s="24">
        <f>IF(N248="","",J248*N248)</f>
        <v/>
      </c>
      <c r="R248" s="24">
        <f>IF(O248="","",J248*O248)</f>
        <v/>
      </c>
      <c r="S248" s="24">
        <f>IF(N248="","",Q248+R248)</f>
        <v/>
      </c>
      <c r="T248" s="21" t="n"/>
      <c r="U248" s="19" t="n"/>
      <c r="V248" s="20" t="n"/>
    </row>
    <row r="249">
      <c r="A249" s="18" t="n">
        <v>233</v>
      </c>
      <c r="B249" s="19" t="n"/>
      <c r="C249" s="19" t="n"/>
      <c r="D249" s="19" t="n"/>
      <c r="E249" s="19" t="n"/>
      <c r="F249" s="19" t="n"/>
      <c r="G249" s="20" t="n"/>
      <c r="H249" s="19" t="n"/>
      <c r="I249" s="19" t="n"/>
      <c r="J249" s="19" t="n"/>
      <c r="K249" s="19" t="n"/>
      <c r="L249" s="21" t="n"/>
      <c r="M249" s="22">
        <f>IF(J249="","",L249/J249)</f>
        <v/>
      </c>
      <c r="N249" s="21" t="n"/>
      <c r="O249" s="23" t="n"/>
      <c r="P249" s="24">
        <f>IF(N249="","",N249+O249)</f>
        <v/>
      </c>
      <c r="Q249" s="24">
        <f>IF(N249="","",J249*N249)</f>
        <v/>
      </c>
      <c r="R249" s="24">
        <f>IF(O249="","",J249*O249)</f>
        <v/>
      </c>
      <c r="S249" s="24">
        <f>IF(N249="","",Q249+R249)</f>
        <v/>
      </c>
      <c r="T249" s="21" t="n"/>
      <c r="U249" s="19" t="n"/>
      <c r="V249" s="20" t="n"/>
    </row>
    <row r="250">
      <c r="A250" s="18" t="n">
        <v>234</v>
      </c>
      <c r="B250" s="19" t="n"/>
      <c r="C250" s="19" t="n"/>
      <c r="D250" s="19" t="n"/>
      <c r="E250" s="19" t="n"/>
      <c r="F250" s="19" t="n"/>
      <c r="G250" s="20" t="n"/>
      <c r="H250" s="19" t="n"/>
      <c r="I250" s="19" t="n"/>
      <c r="J250" s="19" t="n"/>
      <c r="K250" s="19" t="n"/>
      <c r="L250" s="21" t="n"/>
      <c r="M250" s="22">
        <f>IF(J250="","",L250/J250)</f>
        <v/>
      </c>
      <c r="N250" s="21" t="n"/>
      <c r="O250" s="23" t="n"/>
      <c r="P250" s="24">
        <f>IF(N250="","",N250+O250)</f>
        <v/>
      </c>
      <c r="Q250" s="24">
        <f>IF(N250="","",J250*N250)</f>
        <v/>
      </c>
      <c r="R250" s="24">
        <f>IF(O250="","",J250*O250)</f>
        <v/>
      </c>
      <c r="S250" s="24">
        <f>IF(N250="","",Q250+R250)</f>
        <v/>
      </c>
      <c r="T250" s="21" t="n"/>
      <c r="U250" s="19" t="n"/>
      <c r="V250" s="20" t="n"/>
    </row>
    <row r="251">
      <c r="A251" s="18" t="n">
        <v>235</v>
      </c>
      <c r="B251" s="19" t="n"/>
      <c r="C251" s="19" t="n"/>
      <c r="D251" s="19" t="n"/>
      <c r="E251" s="19" t="n"/>
      <c r="F251" s="19" t="n"/>
      <c r="G251" s="20" t="n"/>
      <c r="H251" s="19" t="n"/>
      <c r="I251" s="19" t="n"/>
      <c r="J251" s="19" t="n"/>
      <c r="K251" s="19" t="n"/>
      <c r="L251" s="21" t="n"/>
      <c r="M251" s="22">
        <f>IF(J251="","",L251/J251)</f>
        <v/>
      </c>
      <c r="N251" s="21" t="n"/>
      <c r="O251" s="23" t="n"/>
      <c r="P251" s="24">
        <f>IF(N251="","",N251+O251)</f>
        <v/>
      </c>
      <c r="Q251" s="24">
        <f>IF(N251="","",J251*N251)</f>
        <v/>
      </c>
      <c r="R251" s="24">
        <f>IF(O251="","",J251*O251)</f>
        <v/>
      </c>
      <c r="S251" s="24">
        <f>IF(N251="","",Q251+R251)</f>
        <v/>
      </c>
      <c r="T251" s="21" t="n"/>
      <c r="U251" s="19" t="n"/>
      <c r="V251" s="20" t="n"/>
    </row>
    <row r="252">
      <c r="A252" s="18" t="n">
        <v>236</v>
      </c>
      <c r="B252" s="19" t="n"/>
      <c r="C252" s="19" t="n"/>
      <c r="D252" s="19" t="n"/>
      <c r="E252" s="19" t="n"/>
      <c r="F252" s="19" t="n"/>
      <c r="G252" s="20" t="n"/>
      <c r="H252" s="19" t="n"/>
      <c r="I252" s="19" t="n"/>
      <c r="J252" s="19" t="n"/>
      <c r="K252" s="19" t="n"/>
      <c r="L252" s="21" t="n"/>
      <c r="M252" s="22">
        <f>IF(J252="","",L252/J252)</f>
        <v/>
      </c>
      <c r="N252" s="21" t="n"/>
      <c r="O252" s="23" t="n"/>
      <c r="P252" s="24">
        <f>IF(N252="","",N252+O252)</f>
        <v/>
      </c>
      <c r="Q252" s="24">
        <f>IF(N252="","",J252*N252)</f>
        <v/>
      </c>
      <c r="R252" s="24">
        <f>IF(O252="","",J252*O252)</f>
        <v/>
      </c>
      <c r="S252" s="24">
        <f>IF(N252="","",Q252+R252)</f>
        <v/>
      </c>
      <c r="T252" s="21" t="n"/>
      <c r="U252" s="19" t="n"/>
      <c r="V252" s="20" t="n"/>
    </row>
    <row r="253">
      <c r="A253" s="18" t="n">
        <v>237</v>
      </c>
      <c r="B253" s="19" t="n"/>
      <c r="C253" s="19" t="n"/>
      <c r="D253" s="19" t="n"/>
      <c r="E253" s="19" t="n"/>
      <c r="F253" s="19" t="n"/>
      <c r="G253" s="20" t="n"/>
      <c r="H253" s="19" t="n"/>
      <c r="I253" s="19" t="n"/>
      <c r="J253" s="19" t="n"/>
      <c r="K253" s="19" t="n"/>
      <c r="L253" s="21" t="n"/>
      <c r="M253" s="22">
        <f>IF(J253="","",L253/J253)</f>
        <v/>
      </c>
      <c r="N253" s="21" t="n"/>
      <c r="O253" s="23" t="n"/>
      <c r="P253" s="24">
        <f>IF(N253="","",N253+O253)</f>
        <v/>
      </c>
      <c r="Q253" s="24">
        <f>IF(N253="","",J253*N253)</f>
        <v/>
      </c>
      <c r="R253" s="24">
        <f>IF(O253="","",J253*O253)</f>
        <v/>
      </c>
      <c r="S253" s="24">
        <f>IF(N253="","",Q253+R253)</f>
        <v/>
      </c>
      <c r="T253" s="21" t="n"/>
      <c r="U253" s="19" t="n"/>
      <c r="V253" s="20" t="n"/>
    </row>
    <row r="254">
      <c r="A254" s="18" t="n">
        <v>238</v>
      </c>
      <c r="B254" s="19" t="n"/>
      <c r="C254" s="19" t="n"/>
      <c r="D254" s="19" t="n"/>
      <c r="E254" s="19" t="n"/>
      <c r="F254" s="19" t="n"/>
      <c r="G254" s="20" t="n"/>
      <c r="H254" s="19" t="n"/>
      <c r="I254" s="19" t="n"/>
      <c r="J254" s="19" t="n"/>
      <c r="K254" s="19" t="n"/>
      <c r="L254" s="21" t="n"/>
      <c r="M254" s="22">
        <f>IF(J254="","",L254/J254)</f>
        <v/>
      </c>
      <c r="N254" s="21" t="n"/>
      <c r="O254" s="23" t="n"/>
      <c r="P254" s="24">
        <f>IF(N254="","",N254+O254)</f>
        <v/>
      </c>
      <c r="Q254" s="24">
        <f>IF(N254="","",J254*N254)</f>
        <v/>
      </c>
      <c r="R254" s="24">
        <f>IF(O254="","",J254*O254)</f>
        <v/>
      </c>
      <c r="S254" s="24">
        <f>IF(N254="","",Q254+R254)</f>
        <v/>
      </c>
      <c r="T254" s="21" t="n"/>
      <c r="U254" s="19" t="n"/>
      <c r="V254" s="20" t="n"/>
    </row>
    <row r="255">
      <c r="A255" s="18" t="n">
        <v>239</v>
      </c>
      <c r="B255" s="19" t="n"/>
      <c r="C255" s="19" t="n"/>
      <c r="D255" s="19" t="n"/>
      <c r="E255" s="19" t="n"/>
      <c r="F255" s="19" t="n"/>
      <c r="G255" s="20" t="n"/>
      <c r="H255" s="19" t="n"/>
      <c r="I255" s="19" t="n"/>
      <c r="J255" s="19" t="n"/>
      <c r="K255" s="19" t="n"/>
      <c r="L255" s="21" t="n"/>
      <c r="M255" s="22">
        <f>IF(J255="","",L255/J255)</f>
        <v/>
      </c>
      <c r="N255" s="21" t="n"/>
      <c r="O255" s="23" t="n"/>
      <c r="P255" s="24">
        <f>IF(N255="","",N255+O255)</f>
        <v/>
      </c>
      <c r="Q255" s="24">
        <f>IF(N255="","",J255*N255)</f>
        <v/>
      </c>
      <c r="R255" s="24">
        <f>IF(O255="","",J255*O255)</f>
        <v/>
      </c>
      <c r="S255" s="24">
        <f>IF(N255="","",Q255+R255)</f>
        <v/>
      </c>
      <c r="T255" s="21" t="n"/>
      <c r="U255" s="19" t="n"/>
      <c r="V255" s="20" t="n"/>
    </row>
    <row r="256">
      <c r="A256" s="18" t="n">
        <v>240</v>
      </c>
      <c r="B256" s="19" t="n"/>
      <c r="C256" s="19" t="n"/>
      <c r="D256" s="19" t="n"/>
      <c r="E256" s="19" t="n"/>
      <c r="F256" s="19" t="n"/>
      <c r="G256" s="20" t="n"/>
      <c r="H256" s="19" t="n"/>
      <c r="I256" s="19" t="n"/>
      <c r="J256" s="19" t="n"/>
      <c r="K256" s="19" t="n"/>
      <c r="L256" s="21" t="n"/>
      <c r="M256" s="22">
        <f>IF(J256="","",L256/J256)</f>
        <v/>
      </c>
      <c r="N256" s="21" t="n"/>
      <c r="O256" s="23" t="n"/>
      <c r="P256" s="24">
        <f>IF(N256="","",N256+O256)</f>
        <v/>
      </c>
      <c r="Q256" s="24">
        <f>IF(N256="","",J256*N256)</f>
        <v/>
      </c>
      <c r="R256" s="24">
        <f>IF(O256="","",J256*O256)</f>
        <v/>
      </c>
      <c r="S256" s="24">
        <f>IF(N256="","",Q256+R256)</f>
        <v/>
      </c>
      <c r="T256" s="21" t="n"/>
      <c r="U256" s="19" t="n"/>
      <c r="V256" s="20" t="n"/>
    </row>
    <row r="257">
      <c r="A257" s="18" t="n">
        <v>241</v>
      </c>
      <c r="B257" s="19" t="n"/>
      <c r="C257" s="19" t="n"/>
      <c r="D257" s="19" t="n"/>
      <c r="E257" s="19" t="n"/>
      <c r="F257" s="19" t="n"/>
      <c r="G257" s="20" t="n"/>
      <c r="H257" s="19" t="n"/>
      <c r="I257" s="19" t="n"/>
      <c r="J257" s="19" t="n"/>
      <c r="K257" s="19" t="n"/>
      <c r="L257" s="21" t="n"/>
      <c r="M257" s="22">
        <f>IF(J257="","",L257/J257)</f>
        <v/>
      </c>
      <c r="N257" s="21" t="n"/>
      <c r="O257" s="23" t="n"/>
      <c r="P257" s="24">
        <f>IF(N257="","",N257+O257)</f>
        <v/>
      </c>
      <c r="Q257" s="24">
        <f>IF(N257="","",J257*N257)</f>
        <v/>
      </c>
      <c r="R257" s="24">
        <f>IF(O257="","",J257*O257)</f>
        <v/>
      </c>
      <c r="S257" s="24">
        <f>IF(N257="","",Q257+R257)</f>
        <v/>
      </c>
      <c r="T257" s="21" t="n"/>
      <c r="U257" s="19" t="n"/>
      <c r="V257" s="20" t="n"/>
    </row>
    <row r="258">
      <c r="A258" s="18" t="n">
        <v>242</v>
      </c>
      <c r="B258" s="19" t="n"/>
      <c r="C258" s="19" t="n"/>
      <c r="D258" s="19" t="n"/>
      <c r="E258" s="19" t="n"/>
      <c r="F258" s="19" t="n"/>
      <c r="G258" s="20" t="n"/>
      <c r="H258" s="19" t="n"/>
      <c r="I258" s="19" t="n"/>
      <c r="J258" s="19" t="n"/>
      <c r="K258" s="19" t="n"/>
      <c r="L258" s="21" t="n"/>
      <c r="M258" s="22">
        <f>IF(J258="","",L258/J258)</f>
        <v/>
      </c>
      <c r="N258" s="21" t="n"/>
      <c r="O258" s="23" t="n"/>
      <c r="P258" s="24">
        <f>IF(N258="","",N258+O258)</f>
        <v/>
      </c>
      <c r="Q258" s="24">
        <f>IF(N258="","",J258*N258)</f>
        <v/>
      </c>
      <c r="R258" s="24">
        <f>IF(O258="","",J258*O258)</f>
        <v/>
      </c>
      <c r="S258" s="24">
        <f>IF(N258="","",Q258+R258)</f>
        <v/>
      </c>
      <c r="T258" s="21" t="n"/>
      <c r="U258" s="19" t="n"/>
      <c r="V258" s="20" t="n"/>
    </row>
    <row r="259">
      <c r="A259" s="18" t="n">
        <v>243</v>
      </c>
      <c r="B259" s="19" t="n"/>
      <c r="C259" s="19" t="n"/>
      <c r="D259" s="19" t="n"/>
      <c r="E259" s="19" t="n"/>
      <c r="F259" s="19" t="n"/>
      <c r="G259" s="20" t="n"/>
      <c r="H259" s="19" t="n"/>
      <c r="I259" s="19" t="n"/>
      <c r="J259" s="19" t="n"/>
      <c r="K259" s="19" t="n"/>
      <c r="L259" s="21" t="n"/>
      <c r="M259" s="22">
        <f>IF(J259="","",L259/J259)</f>
        <v/>
      </c>
      <c r="N259" s="21" t="n"/>
      <c r="O259" s="23" t="n"/>
      <c r="P259" s="24">
        <f>IF(N259="","",N259+O259)</f>
        <v/>
      </c>
      <c r="Q259" s="24">
        <f>IF(N259="","",J259*N259)</f>
        <v/>
      </c>
      <c r="R259" s="24">
        <f>IF(O259="","",J259*O259)</f>
        <v/>
      </c>
      <c r="S259" s="24">
        <f>IF(N259="","",Q259+R259)</f>
        <v/>
      </c>
      <c r="T259" s="21" t="n"/>
      <c r="U259" s="19" t="n"/>
      <c r="V259" s="20" t="n"/>
    </row>
    <row r="260">
      <c r="A260" s="18" t="n">
        <v>244</v>
      </c>
      <c r="B260" s="19" t="n"/>
      <c r="C260" s="19" t="n"/>
      <c r="D260" s="19" t="n"/>
      <c r="E260" s="19" t="n"/>
      <c r="F260" s="19" t="n"/>
      <c r="G260" s="20" t="n"/>
      <c r="H260" s="19" t="n"/>
      <c r="I260" s="19" t="n"/>
      <c r="J260" s="19" t="n"/>
      <c r="K260" s="19" t="n"/>
      <c r="L260" s="21" t="n"/>
      <c r="M260" s="22">
        <f>IF(J260="","",L260/J260)</f>
        <v/>
      </c>
      <c r="N260" s="21" t="n"/>
      <c r="O260" s="23" t="n"/>
      <c r="P260" s="24">
        <f>IF(N260="","",N260+O260)</f>
        <v/>
      </c>
      <c r="Q260" s="24">
        <f>IF(N260="","",J260*N260)</f>
        <v/>
      </c>
      <c r="R260" s="24">
        <f>IF(O260="","",J260*O260)</f>
        <v/>
      </c>
      <c r="S260" s="24">
        <f>IF(N260="","",Q260+R260)</f>
        <v/>
      </c>
      <c r="T260" s="21" t="n"/>
      <c r="U260" s="19" t="n"/>
      <c r="V260" s="20" t="n"/>
    </row>
    <row r="261">
      <c r="A261" s="18" t="n">
        <v>245</v>
      </c>
      <c r="B261" s="19" t="n"/>
      <c r="C261" s="19" t="n"/>
      <c r="D261" s="19" t="n"/>
      <c r="E261" s="19" t="n"/>
      <c r="F261" s="19" t="n"/>
      <c r="G261" s="20" t="n"/>
      <c r="H261" s="19" t="n"/>
      <c r="I261" s="19" t="n"/>
      <c r="J261" s="19" t="n"/>
      <c r="K261" s="19" t="n"/>
      <c r="L261" s="21" t="n"/>
      <c r="M261" s="22">
        <f>IF(J261="","",L261/J261)</f>
        <v/>
      </c>
      <c r="N261" s="21" t="n"/>
      <c r="O261" s="23" t="n"/>
      <c r="P261" s="24">
        <f>IF(N261="","",N261+O261)</f>
        <v/>
      </c>
      <c r="Q261" s="24">
        <f>IF(N261="","",J261*N261)</f>
        <v/>
      </c>
      <c r="R261" s="24">
        <f>IF(O261="","",J261*O261)</f>
        <v/>
      </c>
      <c r="S261" s="24">
        <f>IF(N261="","",Q261+R261)</f>
        <v/>
      </c>
      <c r="T261" s="21" t="n"/>
      <c r="U261" s="19" t="n"/>
      <c r="V261" s="20" t="n"/>
    </row>
    <row r="262">
      <c r="A262" s="18" t="n">
        <v>246</v>
      </c>
      <c r="B262" s="19" t="n"/>
      <c r="C262" s="19" t="n"/>
      <c r="D262" s="19" t="n"/>
      <c r="E262" s="19" t="n"/>
      <c r="F262" s="19" t="n"/>
      <c r="G262" s="20" t="n"/>
      <c r="H262" s="19" t="n"/>
      <c r="I262" s="19" t="n"/>
      <c r="J262" s="19" t="n"/>
      <c r="K262" s="19" t="n"/>
      <c r="L262" s="21" t="n"/>
      <c r="M262" s="22">
        <f>IF(J262="","",L262/J262)</f>
        <v/>
      </c>
      <c r="N262" s="21" t="n"/>
      <c r="O262" s="23" t="n"/>
      <c r="P262" s="24">
        <f>IF(N262="","",N262+O262)</f>
        <v/>
      </c>
      <c r="Q262" s="24">
        <f>IF(N262="","",J262*N262)</f>
        <v/>
      </c>
      <c r="R262" s="24">
        <f>IF(O262="","",J262*O262)</f>
        <v/>
      </c>
      <c r="S262" s="24">
        <f>IF(N262="","",Q262+R262)</f>
        <v/>
      </c>
      <c r="T262" s="21" t="n"/>
      <c r="U262" s="19" t="n"/>
      <c r="V262" s="20" t="n"/>
    </row>
    <row r="263">
      <c r="A263" s="18" t="n">
        <v>247</v>
      </c>
      <c r="B263" s="19" t="n"/>
      <c r="C263" s="19" t="n"/>
      <c r="D263" s="19" t="n"/>
      <c r="E263" s="19" t="n"/>
      <c r="F263" s="19" t="n"/>
      <c r="G263" s="20" t="n"/>
      <c r="H263" s="19" t="n"/>
      <c r="I263" s="19" t="n"/>
      <c r="J263" s="19" t="n"/>
      <c r="K263" s="19" t="n"/>
      <c r="L263" s="21" t="n"/>
      <c r="M263" s="22">
        <f>IF(J263="","",L263/J263)</f>
        <v/>
      </c>
      <c r="N263" s="21" t="n"/>
      <c r="O263" s="23" t="n"/>
      <c r="P263" s="24">
        <f>IF(N263="","",N263+O263)</f>
        <v/>
      </c>
      <c r="Q263" s="24">
        <f>IF(N263="","",J263*N263)</f>
        <v/>
      </c>
      <c r="R263" s="24">
        <f>IF(O263="","",J263*O263)</f>
        <v/>
      </c>
      <c r="S263" s="24">
        <f>IF(N263="","",Q263+R263)</f>
        <v/>
      </c>
      <c r="T263" s="21" t="n"/>
      <c r="U263" s="19" t="n"/>
      <c r="V263" s="20" t="n"/>
    </row>
    <row r="264">
      <c r="A264" s="18" t="n">
        <v>248</v>
      </c>
      <c r="B264" s="19" t="n"/>
      <c r="C264" s="19" t="n"/>
      <c r="D264" s="19" t="n"/>
      <c r="E264" s="19" t="n"/>
      <c r="F264" s="19" t="n"/>
      <c r="G264" s="20" t="n"/>
      <c r="H264" s="19" t="n"/>
      <c r="I264" s="19" t="n"/>
      <c r="J264" s="19" t="n"/>
      <c r="K264" s="19" t="n"/>
      <c r="L264" s="21" t="n"/>
      <c r="M264" s="22">
        <f>IF(J264="","",L264/J264)</f>
        <v/>
      </c>
      <c r="N264" s="21" t="n"/>
      <c r="O264" s="23" t="n"/>
      <c r="P264" s="24">
        <f>IF(N264="","",N264+O264)</f>
        <v/>
      </c>
      <c r="Q264" s="24">
        <f>IF(N264="","",J264*N264)</f>
        <v/>
      </c>
      <c r="R264" s="24">
        <f>IF(O264="","",J264*O264)</f>
        <v/>
      </c>
      <c r="S264" s="24">
        <f>IF(N264="","",Q264+R264)</f>
        <v/>
      </c>
      <c r="T264" s="21" t="n"/>
      <c r="U264" s="19" t="n"/>
      <c r="V264" s="20" t="n"/>
    </row>
    <row r="265">
      <c r="A265" s="18" t="n">
        <v>249</v>
      </c>
      <c r="B265" s="19" t="n"/>
      <c r="C265" s="19" t="n"/>
      <c r="D265" s="19" t="n"/>
      <c r="E265" s="19" t="n"/>
      <c r="F265" s="19" t="n"/>
      <c r="G265" s="20" t="n"/>
      <c r="H265" s="19" t="n"/>
      <c r="I265" s="19" t="n"/>
      <c r="J265" s="19" t="n"/>
      <c r="K265" s="19" t="n"/>
      <c r="L265" s="21" t="n"/>
      <c r="M265" s="22">
        <f>IF(J265="","",L265/J265)</f>
        <v/>
      </c>
      <c r="N265" s="21" t="n"/>
      <c r="O265" s="23" t="n"/>
      <c r="P265" s="24">
        <f>IF(N265="","",N265+O265)</f>
        <v/>
      </c>
      <c r="Q265" s="24">
        <f>IF(N265="","",J265*N265)</f>
        <v/>
      </c>
      <c r="R265" s="24">
        <f>IF(O265="","",J265*O265)</f>
        <v/>
      </c>
      <c r="S265" s="24">
        <f>IF(N265="","",Q265+R265)</f>
        <v/>
      </c>
      <c r="T265" s="21" t="n"/>
      <c r="U265" s="19" t="n"/>
      <c r="V265" s="20" t="n"/>
    </row>
    <row r="266">
      <c r="A266" s="18" t="n">
        <v>250</v>
      </c>
      <c r="B266" s="19" t="n"/>
      <c r="C266" s="19" t="n"/>
      <c r="D266" s="19" t="n"/>
      <c r="E266" s="19" t="n"/>
      <c r="F266" s="19" t="n"/>
      <c r="G266" s="20" t="n"/>
      <c r="H266" s="19" t="n"/>
      <c r="I266" s="19" t="n"/>
      <c r="J266" s="19" t="n"/>
      <c r="K266" s="19" t="n"/>
      <c r="L266" s="21" t="n"/>
      <c r="M266" s="22">
        <f>IF(J266="","",L266/J266)</f>
        <v/>
      </c>
      <c r="N266" s="21" t="n"/>
      <c r="O266" s="23" t="n"/>
      <c r="P266" s="24">
        <f>IF(N266="","",N266+O266)</f>
        <v/>
      </c>
      <c r="Q266" s="24">
        <f>IF(N266="","",J266*N266)</f>
        <v/>
      </c>
      <c r="R266" s="24">
        <f>IF(O266="","",J266*O266)</f>
        <v/>
      </c>
      <c r="S266" s="24">
        <f>IF(N266="","",Q266+R266)</f>
        <v/>
      </c>
      <c r="T266" s="21" t="n"/>
      <c r="U266" s="19" t="n"/>
      <c r="V266" s="20" t="n"/>
    </row>
    <row r="267">
      <c r="A267" s="18" t="n">
        <v>251</v>
      </c>
      <c r="B267" s="19" t="n"/>
      <c r="C267" s="19" t="n"/>
      <c r="D267" s="19" t="n"/>
      <c r="E267" s="19" t="n"/>
      <c r="F267" s="19" t="n"/>
      <c r="G267" s="20" t="n"/>
      <c r="H267" s="19" t="n"/>
      <c r="I267" s="19" t="n"/>
      <c r="J267" s="19" t="n"/>
      <c r="K267" s="19" t="n"/>
      <c r="L267" s="21" t="n"/>
      <c r="M267" s="22">
        <f>IF(J267="","",L267/J267)</f>
        <v/>
      </c>
      <c r="N267" s="21" t="n"/>
      <c r="O267" s="23" t="n"/>
      <c r="P267" s="24">
        <f>IF(N267="","",N267+O267)</f>
        <v/>
      </c>
      <c r="Q267" s="24">
        <f>IF(N267="","",J267*N267)</f>
        <v/>
      </c>
      <c r="R267" s="24">
        <f>IF(O267="","",J267*O267)</f>
        <v/>
      </c>
      <c r="S267" s="24">
        <f>IF(N267="","",Q267+R267)</f>
        <v/>
      </c>
      <c r="T267" s="21" t="n"/>
      <c r="U267" s="19" t="n"/>
      <c r="V267" s="20" t="n"/>
    </row>
    <row r="268">
      <c r="A268" s="18" t="n">
        <v>252</v>
      </c>
      <c r="B268" s="19" t="n"/>
      <c r="C268" s="19" t="n"/>
      <c r="D268" s="19" t="n"/>
      <c r="E268" s="19" t="n"/>
      <c r="F268" s="19" t="n"/>
      <c r="G268" s="20" t="n"/>
      <c r="H268" s="19" t="n"/>
      <c r="I268" s="19" t="n"/>
      <c r="J268" s="19" t="n"/>
      <c r="K268" s="19" t="n"/>
      <c r="L268" s="21" t="n"/>
      <c r="M268" s="22">
        <f>IF(J268="","",L268/J268)</f>
        <v/>
      </c>
      <c r="N268" s="21" t="n"/>
      <c r="O268" s="23" t="n"/>
      <c r="P268" s="24">
        <f>IF(N268="","",N268+O268)</f>
        <v/>
      </c>
      <c r="Q268" s="24">
        <f>IF(N268="","",J268*N268)</f>
        <v/>
      </c>
      <c r="R268" s="24">
        <f>IF(O268="","",J268*O268)</f>
        <v/>
      </c>
      <c r="S268" s="24">
        <f>IF(N268="","",Q268+R268)</f>
        <v/>
      </c>
      <c r="T268" s="21" t="n"/>
      <c r="U268" s="19" t="n"/>
      <c r="V268" s="20" t="n"/>
    </row>
    <row r="269">
      <c r="A269" s="18" t="n">
        <v>253</v>
      </c>
      <c r="B269" s="19" t="n"/>
      <c r="C269" s="19" t="n"/>
      <c r="D269" s="19" t="n"/>
      <c r="E269" s="19" t="n"/>
      <c r="F269" s="19" t="n"/>
      <c r="G269" s="20" t="n"/>
      <c r="H269" s="19" t="n"/>
      <c r="I269" s="19" t="n"/>
      <c r="J269" s="19" t="n"/>
      <c r="K269" s="19" t="n"/>
      <c r="L269" s="21" t="n"/>
      <c r="M269" s="22">
        <f>IF(J269="","",L269/J269)</f>
        <v/>
      </c>
      <c r="N269" s="21" t="n"/>
      <c r="O269" s="23" t="n"/>
      <c r="P269" s="24">
        <f>IF(N269="","",N269+O269)</f>
        <v/>
      </c>
      <c r="Q269" s="24">
        <f>IF(N269="","",J269*N269)</f>
        <v/>
      </c>
      <c r="R269" s="24">
        <f>IF(O269="","",J269*O269)</f>
        <v/>
      </c>
      <c r="S269" s="24">
        <f>IF(N269="","",Q269+R269)</f>
        <v/>
      </c>
      <c r="T269" s="21" t="n"/>
      <c r="U269" s="19" t="n"/>
      <c r="V269" s="20" t="n"/>
    </row>
    <row r="270">
      <c r="A270" s="18" t="n">
        <v>254</v>
      </c>
      <c r="B270" s="19" t="n"/>
      <c r="C270" s="19" t="n"/>
      <c r="D270" s="19" t="n"/>
      <c r="E270" s="19" t="n"/>
      <c r="F270" s="19" t="n"/>
      <c r="G270" s="20" t="n"/>
      <c r="H270" s="19" t="n"/>
      <c r="I270" s="19" t="n"/>
      <c r="J270" s="19" t="n"/>
      <c r="K270" s="19" t="n"/>
      <c r="L270" s="21" t="n"/>
      <c r="M270" s="22">
        <f>IF(J270="","",L270/J270)</f>
        <v/>
      </c>
      <c r="N270" s="21" t="n"/>
      <c r="O270" s="23" t="n"/>
      <c r="P270" s="24">
        <f>IF(N270="","",N270+O270)</f>
        <v/>
      </c>
      <c r="Q270" s="24">
        <f>IF(N270="","",J270*N270)</f>
        <v/>
      </c>
      <c r="R270" s="24">
        <f>IF(O270="","",J270*O270)</f>
        <v/>
      </c>
      <c r="S270" s="24">
        <f>IF(N270="","",Q270+R270)</f>
        <v/>
      </c>
      <c r="T270" s="21" t="n"/>
      <c r="U270" s="19" t="n"/>
      <c r="V270" s="20" t="n"/>
    </row>
    <row r="271">
      <c r="A271" s="18" t="n">
        <v>255</v>
      </c>
      <c r="B271" s="19" t="n"/>
      <c r="C271" s="19" t="n"/>
      <c r="D271" s="19" t="n"/>
      <c r="E271" s="19" t="n"/>
      <c r="F271" s="19" t="n"/>
      <c r="G271" s="20" t="n"/>
      <c r="H271" s="19" t="n"/>
      <c r="I271" s="19" t="n"/>
      <c r="J271" s="19" t="n"/>
      <c r="K271" s="19" t="n"/>
      <c r="L271" s="21" t="n"/>
      <c r="M271" s="22">
        <f>IF(J271="","",L271/J271)</f>
        <v/>
      </c>
      <c r="N271" s="21" t="n"/>
      <c r="O271" s="23" t="n"/>
      <c r="P271" s="24">
        <f>IF(N271="","",N271+O271)</f>
        <v/>
      </c>
      <c r="Q271" s="24">
        <f>IF(N271="","",J271*N271)</f>
        <v/>
      </c>
      <c r="R271" s="24">
        <f>IF(O271="","",J271*O271)</f>
        <v/>
      </c>
      <c r="S271" s="24">
        <f>IF(N271="","",Q271+R271)</f>
        <v/>
      </c>
      <c r="T271" s="21" t="n"/>
      <c r="U271" s="19" t="n"/>
      <c r="V271" s="20" t="n"/>
    </row>
    <row r="272">
      <c r="A272" s="18" t="n">
        <v>256</v>
      </c>
      <c r="B272" s="19" t="n"/>
      <c r="C272" s="19" t="n"/>
      <c r="D272" s="19" t="n"/>
      <c r="E272" s="19" t="n"/>
      <c r="F272" s="19" t="n"/>
      <c r="G272" s="20" t="n"/>
      <c r="H272" s="19" t="n"/>
      <c r="I272" s="19" t="n"/>
      <c r="J272" s="19" t="n"/>
      <c r="K272" s="19" t="n"/>
      <c r="L272" s="21" t="n"/>
      <c r="M272" s="22">
        <f>IF(J272="","",L272/J272)</f>
        <v/>
      </c>
      <c r="N272" s="21" t="n"/>
      <c r="O272" s="23" t="n"/>
      <c r="P272" s="24">
        <f>IF(N272="","",N272+O272)</f>
        <v/>
      </c>
      <c r="Q272" s="24">
        <f>IF(N272="","",J272*N272)</f>
        <v/>
      </c>
      <c r="R272" s="24">
        <f>IF(O272="","",J272*O272)</f>
        <v/>
      </c>
      <c r="S272" s="24">
        <f>IF(N272="","",Q272+R272)</f>
        <v/>
      </c>
      <c r="T272" s="21" t="n"/>
      <c r="U272" s="19" t="n"/>
      <c r="V272" s="20" t="n"/>
    </row>
    <row r="273">
      <c r="A273" s="18" t="n">
        <v>257</v>
      </c>
      <c r="B273" s="19" t="n"/>
      <c r="C273" s="19" t="n"/>
      <c r="D273" s="19" t="n"/>
      <c r="E273" s="19" t="n"/>
      <c r="F273" s="19" t="n"/>
      <c r="G273" s="20" t="n"/>
      <c r="H273" s="19" t="n"/>
      <c r="I273" s="19" t="n"/>
      <c r="J273" s="19" t="n"/>
      <c r="K273" s="19" t="n"/>
      <c r="L273" s="21" t="n"/>
      <c r="M273" s="22">
        <f>IF(J273="","",L273/J273)</f>
        <v/>
      </c>
      <c r="N273" s="21" t="n"/>
      <c r="O273" s="23" t="n"/>
      <c r="P273" s="24">
        <f>IF(N273="","",N273+O273)</f>
        <v/>
      </c>
      <c r="Q273" s="24">
        <f>IF(N273="","",J273*N273)</f>
        <v/>
      </c>
      <c r="R273" s="24">
        <f>IF(O273="","",J273*O273)</f>
        <v/>
      </c>
      <c r="S273" s="24">
        <f>IF(N273="","",Q273+R273)</f>
        <v/>
      </c>
      <c r="T273" s="21" t="n"/>
      <c r="U273" s="19" t="n"/>
      <c r="V273" s="20" t="n"/>
    </row>
    <row r="274">
      <c r="A274" s="18" t="n">
        <v>258</v>
      </c>
      <c r="B274" s="19" t="n"/>
      <c r="C274" s="19" t="n"/>
      <c r="D274" s="19" t="n"/>
      <c r="E274" s="19" t="n"/>
      <c r="F274" s="19" t="n"/>
      <c r="G274" s="20" t="n"/>
      <c r="H274" s="19" t="n"/>
      <c r="I274" s="19" t="n"/>
      <c r="J274" s="19" t="n"/>
      <c r="K274" s="19" t="n"/>
      <c r="L274" s="21" t="n"/>
      <c r="M274" s="22">
        <f>IF(J274="","",L274/J274)</f>
        <v/>
      </c>
      <c r="N274" s="21" t="n"/>
      <c r="O274" s="23" t="n"/>
      <c r="P274" s="24">
        <f>IF(N274="","",N274+O274)</f>
        <v/>
      </c>
      <c r="Q274" s="24">
        <f>IF(N274="","",J274*N274)</f>
        <v/>
      </c>
      <c r="R274" s="24">
        <f>IF(O274="","",J274*O274)</f>
        <v/>
      </c>
      <c r="S274" s="24">
        <f>IF(N274="","",Q274+R274)</f>
        <v/>
      </c>
      <c r="T274" s="21" t="n"/>
      <c r="U274" s="19" t="n"/>
      <c r="V274" s="20" t="n"/>
    </row>
    <row r="275">
      <c r="A275" s="18" t="n">
        <v>259</v>
      </c>
      <c r="B275" s="19" t="n"/>
      <c r="C275" s="19" t="n"/>
      <c r="D275" s="19" t="n"/>
      <c r="E275" s="19" t="n"/>
      <c r="F275" s="19" t="n"/>
      <c r="G275" s="20" t="n"/>
      <c r="H275" s="19" t="n"/>
      <c r="I275" s="19" t="n"/>
      <c r="J275" s="19" t="n"/>
      <c r="K275" s="19" t="n"/>
      <c r="L275" s="21" t="n"/>
      <c r="M275" s="22">
        <f>IF(J275="","",L275/J275)</f>
        <v/>
      </c>
      <c r="N275" s="21" t="n"/>
      <c r="O275" s="23" t="n"/>
      <c r="P275" s="24">
        <f>IF(N275="","",N275+O275)</f>
        <v/>
      </c>
      <c r="Q275" s="24">
        <f>IF(N275="","",J275*N275)</f>
        <v/>
      </c>
      <c r="R275" s="24">
        <f>IF(O275="","",J275*O275)</f>
        <v/>
      </c>
      <c r="S275" s="24">
        <f>IF(N275="","",Q275+R275)</f>
        <v/>
      </c>
      <c r="T275" s="21" t="n"/>
      <c r="U275" s="19" t="n"/>
      <c r="V275" s="20" t="n"/>
    </row>
    <row r="276">
      <c r="A276" s="18" t="n">
        <v>260</v>
      </c>
      <c r="B276" s="19" t="n"/>
      <c r="C276" s="19" t="n"/>
      <c r="D276" s="19" t="n"/>
      <c r="E276" s="19" t="n"/>
      <c r="F276" s="19" t="n"/>
      <c r="G276" s="20" t="n"/>
      <c r="H276" s="19" t="n"/>
      <c r="I276" s="19" t="n"/>
      <c r="J276" s="19" t="n"/>
      <c r="K276" s="19" t="n"/>
      <c r="L276" s="21" t="n"/>
      <c r="M276" s="22">
        <f>IF(J276="","",L276/J276)</f>
        <v/>
      </c>
      <c r="N276" s="21" t="n"/>
      <c r="O276" s="23" t="n"/>
      <c r="P276" s="24">
        <f>IF(N276="","",N276+O276)</f>
        <v/>
      </c>
      <c r="Q276" s="24">
        <f>IF(N276="","",J276*N276)</f>
        <v/>
      </c>
      <c r="R276" s="24">
        <f>IF(O276="","",J276*O276)</f>
        <v/>
      </c>
      <c r="S276" s="24">
        <f>IF(N276="","",Q276+R276)</f>
        <v/>
      </c>
      <c r="T276" s="21" t="n"/>
      <c r="U276" s="19" t="n"/>
      <c r="V276" s="20" t="n"/>
    </row>
    <row r="277">
      <c r="A277" s="18" t="n">
        <v>261</v>
      </c>
      <c r="B277" s="19" t="n"/>
      <c r="C277" s="19" t="n"/>
      <c r="D277" s="19" t="n"/>
      <c r="E277" s="19" t="n"/>
      <c r="F277" s="19" t="n"/>
      <c r="G277" s="20" t="n"/>
      <c r="H277" s="19" t="n"/>
      <c r="I277" s="19" t="n"/>
      <c r="J277" s="19" t="n"/>
      <c r="K277" s="19" t="n"/>
      <c r="L277" s="21" t="n"/>
      <c r="M277" s="22">
        <f>IF(J277="","",L277/J277)</f>
        <v/>
      </c>
      <c r="N277" s="21" t="n"/>
      <c r="O277" s="23" t="n"/>
      <c r="P277" s="24">
        <f>IF(N277="","",N277+O277)</f>
        <v/>
      </c>
      <c r="Q277" s="24">
        <f>IF(N277="","",J277*N277)</f>
        <v/>
      </c>
      <c r="R277" s="24">
        <f>IF(O277="","",J277*O277)</f>
        <v/>
      </c>
      <c r="S277" s="24">
        <f>IF(N277="","",Q277+R277)</f>
        <v/>
      </c>
      <c r="T277" s="21" t="n"/>
      <c r="U277" s="19" t="n"/>
      <c r="V277" s="20" t="n"/>
    </row>
    <row r="278">
      <c r="A278" s="18" t="n">
        <v>262</v>
      </c>
      <c r="B278" s="19" t="n"/>
      <c r="C278" s="19" t="n"/>
      <c r="D278" s="19" t="n"/>
      <c r="E278" s="19" t="n"/>
      <c r="F278" s="19" t="n"/>
      <c r="G278" s="20" t="n"/>
      <c r="H278" s="19" t="n"/>
      <c r="I278" s="19" t="n"/>
      <c r="J278" s="19" t="n"/>
      <c r="K278" s="19" t="n"/>
      <c r="L278" s="21" t="n"/>
      <c r="M278" s="22">
        <f>IF(J278="","",L278/J278)</f>
        <v/>
      </c>
      <c r="N278" s="21" t="n"/>
      <c r="O278" s="23" t="n"/>
      <c r="P278" s="24">
        <f>IF(N278="","",N278+O278)</f>
        <v/>
      </c>
      <c r="Q278" s="24">
        <f>IF(N278="","",J278*N278)</f>
        <v/>
      </c>
      <c r="R278" s="24">
        <f>IF(O278="","",J278*O278)</f>
        <v/>
      </c>
      <c r="S278" s="24">
        <f>IF(N278="","",Q278+R278)</f>
        <v/>
      </c>
      <c r="T278" s="21" t="n"/>
      <c r="U278" s="19" t="n"/>
      <c r="V278" s="20" t="n"/>
    </row>
    <row r="279">
      <c r="A279" s="18" t="n">
        <v>263</v>
      </c>
      <c r="B279" s="19" t="n"/>
      <c r="C279" s="19" t="n"/>
      <c r="D279" s="19" t="n"/>
      <c r="E279" s="19" t="n"/>
      <c r="F279" s="19" t="n"/>
      <c r="G279" s="20" t="n"/>
      <c r="H279" s="19" t="n"/>
      <c r="I279" s="19" t="n"/>
      <c r="J279" s="19" t="n"/>
      <c r="K279" s="19" t="n"/>
      <c r="L279" s="21" t="n"/>
      <c r="M279" s="22">
        <f>IF(J279="","",L279/J279)</f>
        <v/>
      </c>
      <c r="N279" s="21" t="n"/>
      <c r="O279" s="23" t="n"/>
      <c r="P279" s="24">
        <f>IF(N279="","",N279+O279)</f>
        <v/>
      </c>
      <c r="Q279" s="24">
        <f>IF(N279="","",J279*N279)</f>
        <v/>
      </c>
      <c r="R279" s="24">
        <f>IF(O279="","",J279*O279)</f>
        <v/>
      </c>
      <c r="S279" s="24">
        <f>IF(N279="","",Q279+R279)</f>
        <v/>
      </c>
      <c r="T279" s="21" t="n"/>
      <c r="U279" s="19" t="n"/>
      <c r="V279" s="20" t="n"/>
    </row>
    <row r="280">
      <c r="A280" s="18" t="n">
        <v>264</v>
      </c>
      <c r="B280" s="19" t="n"/>
      <c r="C280" s="19" t="n"/>
      <c r="D280" s="19" t="n"/>
      <c r="E280" s="19" t="n"/>
      <c r="F280" s="19" t="n"/>
      <c r="G280" s="20" t="n"/>
      <c r="H280" s="19" t="n"/>
      <c r="I280" s="19" t="n"/>
      <c r="J280" s="19" t="n"/>
      <c r="K280" s="19" t="n"/>
      <c r="L280" s="21" t="n"/>
      <c r="M280" s="22">
        <f>IF(J280="","",L280/J280)</f>
        <v/>
      </c>
      <c r="N280" s="21" t="n"/>
      <c r="O280" s="23" t="n"/>
      <c r="P280" s="24">
        <f>IF(N280="","",N280+O280)</f>
        <v/>
      </c>
      <c r="Q280" s="24">
        <f>IF(N280="","",J280*N280)</f>
        <v/>
      </c>
      <c r="R280" s="24">
        <f>IF(O280="","",J280*O280)</f>
        <v/>
      </c>
      <c r="S280" s="24">
        <f>IF(N280="","",Q280+R280)</f>
        <v/>
      </c>
      <c r="T280" s="21" t="n"/>
      <c r="U280" s="19" t="n"/>
      <c r="V280" s="20" t="n"/>
    </row>
    <row r="281">
      <c r="A281" s="18" t="n">
        <v>265</v>
      </c>
      <c r="B281" s="19" t="n"/>
      <c r="C281" s="19" t="n"/>
      <c r="D281" s="19" t="n"/>
      <c r="E281" s="19" t="n"/>
      <c r="F281" s="19" t="n"/>
      <c r="G281" s="20" t="n"/>
      <c r="H281" s="19" t="n"/>
      <c r="I281" s="19" t="n"/>
      <c r="J281" s="19" t="n"/>
      <c r="K281" s="19" t="n"/>
      <c r="L281" s="21" t="n"/>
      <c r="M281" s="22">
        <f>IF(J281="","",L281/J281)</f>
        <v/>
      </c>
      <c r="N281" s="21" t="n"/>
      <c r="O281" s="23" t="n"/>
      <c r="P281" s="24">
        <f>IF(N281="","",N281+O281)</f>
        <v/>
      </c>
      <c r="Q281" s="24">
        <f>IF(N281="","",J281*N281)</f>
        <v/>
      </c>
      <c r="R281" s="24">
        <f>IF(O281="","",J281*O281)</f>
        <v/>
      </c>
      <c r="S281" s="24">
        <f>IF(N281="","",Q281+R281)</f>
        <v/>
      </c>
      <c r="T281" s="21" t="n"/>
      <c r="U281" s="19" t="n"/>
      <c r="V281" s="20" t="n"/>
    </row>
    <row r="282">
      <c r="A282" s="18" t="n">
        <v>266</v>
      </c>
      <c r="B282" s="19" t="n"/>
      <c r="C282" s="19" t="n"/>
      <c r="D282" s="19" t="n"/>
      <c r="E282" s="19" t="n"/>
      <c r="F282" s="19" t="n"/>
      <c r="G282" s="20" t="n"/>
      <c r="H282" s="19" t="n"/>
      <c r="I282" s="19" t="n"/>
      <c r="J282" s="19" t="n"/>
      <c r="K282" s="19" t="n"/>
      <c r="L282" s="21" t="n"/>
      <c r="M282" s="22">
        <f>IF(J282="","",L282/J282)</f>
        <v/>
      </c>
      <c r="N282" s="21" t="n"/>
      <c r="O282" s="23" t="n"/>
      <c r="P282" s="24">
        <f>IF(N282="","",N282+O282)</f>
        <v/>
      </c>
      <c r="Q282" s="24">
        <f>IF(N282="","",J282*N282)</f>
        <v/>
      </c>
      <c r="R282" s="24">
        <f>IF(O282="","",J282*O282)</f>
        <v/>
      </c>
      <c r="S282" s="24">
        <f>IF(N282="","",Q282+R282)</f>
        <v/>
      </c>
      <c r="T282" s="21" t="n"/>
      <c r="U282" s="19" t="n"/>
      <c r="V282" s="20" t="n"/>
    </row>
    <row r="283">
      <c r="A283" s="18" t="n">
        <v>267</v>
      </c>
      <c r="B283" s="19" t="n"/>
      <c r="C283" s="19" t="n"/>
      <c r="D283" s="19" t="n"/>
      <c r="E283" s="19" t="n"/>
      <c r="F283" s="19" t="n"/>
      <c r="G283" s="20" t="n"/>
      <c r="H283" s="19" t="n"/>
      <c r="I283" s="19" t="n"/>
      <c r="J283" s="19" t="n"/>
      <c r="K283" s="19" t="n"/>
      <c r="L283" s="21" t="n"/>
      <c r="M283" s="22">
        <f>IF(J283="","",L283/J283)</f>
        <v/>
      </c>
      <c r="N283" s="21" t="n"/>
      <c r="O283" s="23" t="n"/>
      <c r="P283" s="24">
        <f>IF(N283="","",N283+O283)</f>
        <v/>
      </c>
      <c r="Q283" s="24">
        <f>IF(N283="","",J283*N283)</f>
        <v/>
      </c>
      <c r="R283" s="24">
        <f>IF(O283="","",J283*O283)</f>
        <v/>
      </c>
      <c r="S283" s="24">
        <f>IF(N283="","",Q283+R283)</f>
        <v/>
      </c>
      <c r="T283" s="21" t="n"/>
      <c r="U283" s="19" t="n"/>
      <c r="V283" s="20" t="n"/>
    </row>
    <row r="284">
      <c r="A284" s="18" t="n">
        <v>268</v>
      </c>
      <c r="B284" s="19" t="n"/>
      <c r="C284" s="19" t="n"/>
      <c r="D284" s="19" t="n"/>
      <c r="E284" s="19" t="n"/>
      <c r="F284" s="19" t="n"/>
      <c r="G284" s="20" t="n"/>
      <c r="H284" s="19" t="n"/>
      <c r="I284" s="19" t="n"/>
      <c r="J284" s="19" t="n"/>
      <c r="K284" s="19" t="n"/>
      <c r="L284" s="21" t="n"/>
      <c r="M284" s="22">
        <f>IF(J284="","",L284/J284)</f>
        <v/>
      </c>
      <c r="N284" s="21" t="n"/>
      <c r="O284" s="23" t="n"/>
      <c r="P284" s="24">
        <f>IF(N284="","",N284+O284)</f>
        <v/>
      </c>
      <c r="Q284" s="24">
        <f>IF(N284="","",J284*N284)</f>
        <v/>
      </c>
      <c r="R284" s="24">
        <f>IF(O284="","",J284*O284)</f>
        <v/>
      </c>
      <c r="S284" s="24">
        <f>IF(N284="","",Q284+R284)</f>
        <v/>
      </c>
      <c r="T284" s="21" t="n"/>
      <c r="U284" s="19" t="n"/>
      <c r="V284" s="20" t="n"/>
    </row>
    <row r="285">
      <c r="A285" s="18" t="n">
        <v>269</v>
      </c>
      <c r="B285" s="19" t="n"/>
      <c r="C285" s="19" t="n"/>
      <c r="D285" s="19" t="n"/>
      <c r="E285" s="19" t="n"/>
      <c r="F285" s="19" t="n"/>
      <c r="G285" s="20" t="n"/>
      <c r="H285" s="19" t="n"/>
      <c r="I285" s="19" t="n"/>
      <c r="J285" s="19" t="n"/>
      <c r="K285" s="19" t="n"/>
      <c r="L285" s="21" t="n"/>
      <c r="M285" s="22">
        <f>IF(J285="","",L285/J285)</f>
        <v/>
      </c>
      <c r="N285" s="21" t="n"/>
      <c r="O285" s="23" t="n"/>
      <c r="P285" s="24">
        <f>IF(N285="","",N285+O285)</f>
        <v/>
      </c>
      <c r="Q285" s="24">
        <f>IF(N285="","",J285*N285)</f>
        <v/>
      </c>
      <c r="R285" s="24">
        <f>IF(O285="","",J285*O285)</f>
        <v/>
      </c>
      <c r="S285" s="24">
        <f>IF(N285="","",Q285+R285)</f>
        <v/>
      </c>
      <c r="T285" s="21" t="n"/>
      <c r="U285" s="19" t="n"/>
      <c r="V285" s="20" t="n"/>
    </row>
    <row r="286">
      <c r="A286" s="18" t="n">
        <v>270</v>
      </c>
      <c r="B286" s="19" t="n"/>
      <c r="C286" s="19" t="n"/>
      <c r="D286" s="19" t="n"/>
      <c r="E286" s="19" t="n"/>
      <c r="F286" s="19" t="n"/>
      <c r="G286" s="20" t="n"/>
      <c r="H286" s="19" t="n"/>
      <c r="I286" s="19" t="n"/>
      <c r="J286" s="19" t="n"/>
      <c r="K286" s="19" t="n"/>
      <c r="L286" s="21" t="n"/>
      <c r="M286" s="22">
        <f>IF(J286="","",L286/J286)</f>
        <v/>
      </c>
      <c r="N286" s="21" t="n"/>
      <c r="O286" s="23" t="n"/>
      <c r="P286" s="24">
        <f>IF(N286="","",N286+O286)</f>
        <v/>
      </c>
      <c r="Q286" s="24">
        <f>IF(N286="","",J286*N286)</f>
        <v/>
      </c>
      <c r="R286" s="24">
        <f>IF(O286="","",J286*O286)</f>
        <v/>
      </c>
      <c r="S286" s="24">
        <f>IF(N286="","",Q286+R286)</f>
        <v/>
      </c>
      <c r="T286" s="21" t="n"/>
      <c r="U286" s="19" t="n"/>
      <c r="V286" s="20" t="n"/>
    </row>
    <row r="287">
      <c r="A287" s="18" t="n">
        <v>271</v>
      </c>
      <c r="B287" s="19" t="n"/>
      <c r="C287" s="19" t="n"/>
      <c r="D287" s="19" t="n"/>
      <c r="E287" s="19" t="n"/>
      <c r="F287" s="19" t="n"/>
      <c r="G287" s="20" t="n"/>
      <c r="H287" s="19" t="n"/>
      <c r="I287" s="19" t="n"/>
      <c r="J287" s="19" t="n"/>
      <c r="K287" s="19" t="n"/>
      <c r="L287" s="21" t="n"/>
      <c r="M287" s="22">
        <f>IF(J287="","",L287/J287)</f>
        <v/>
      </c>
      <c r="N287" s="21" t="n"/>
      <c r="O287" s="23" t="n"/>
      <c r="P287" s="24">
        <f>IF(N287="","",N287+O287)</f>
        <v/>
      </c>
      <c r="Q287" s="24">
        <f>IF(N287="","",J287*N287)</f>
        <v/>
      </c>
      <c r="R287" s="24">
        <f>IF(O287="","",J287*O287)</f>
        <v/>
      </c>
      <c r="S287" s="24">
        <f>IF(N287="","",Q287+R287)</f>
        <v/>
      </c>
      <c r="T287" s="21" t="n"/>
      <c r="U287" s="19" t="n"/>
      <c r="V287" s="20" t="n"/>
    </row>
    <row r="288">
      <c r="A288" s="18" t="n">
        <v>272</v>
      </c>
      <c r="B288" s="19" t="n"/>
      <c r="C288" s="19" t="n"/>
      <c r="D288" s="19" t="n"/>
      <c r="E288" s="19" t="n"/>
      <c r="F288" s="19" t="n"/>
      <c r="G288" s="20" t="n"/>
      <c r="H288" s="19" t="n"/>
      <c r="I288" s="19" t="n"/>
      <c r="J288" s="19" t="n"/>
      <c r="K288" s="19" t="n"/>
      <c r="L288" s="21" t="n"/>
      <c r="M288" s="22">
        <f>IF(J288="","",L288/J288)</f>
        <v/>
      </c>
      <c r="N288" s="21" t="n"/>
      <c r="O288" s="23" t="n"/>
      <c r="P288" s="24">
        <f>IF(N288="","",N288+O288)</f>
        <v/>
      </c>
      <c r="Q288" s="24">
        <f>IF(N288="","",J288*N288)</f>
        <v/>
      </c>
      <c r="R288" s="24">
        <f>IF(O288="","",J288*O288)</f>
        <v/>
      </c>
      <c r="S288" s="24">
        <f>IF(N288="","",Q288+R288)</f>
        <v/>
      </c>
      <c r="T288" s="21" t="n"/>
      <c r="U288" s="19" t="n"/>
      <c r="V288" s="20" t="n"/>
    </row>
    <row r="289">
      <c r="A289" s="18" t="n">
        <v>273</v>
      </c>
      <c r="B289" s="19" t="n"/>
      <c r="C289" s="19" t="n"/>
      <c r="D289" s="19" t="n"/>
      <c r="E289" s="19" t="n"/>
      <c r="F289" s="19" t="n"/>
      <c r="G289" s="20" t="n"/>
      <c r="H289" s="19" t="n"/>
      <c r="I289" s="19" t="n"/>
      <c r="J289" s="19" t="n"/>
      <c r="K289" s="19" t="n"/>
      <c r="L289" s="21" t="n"/>
      <c r="M289" s="22">
        <f>IF(J289="","",L289/J289)</f>
        <v/>
      </c>
      <c r="N289" s="21" t="n"/>
      <c r="O289" s="23" t="n"/>
      <c r="P289" s="24">
        <f>IF(N289="","",N289+O289)</f>
        <v/>
      </c>
      <c r="Q289" s="24">
        <f>IF(N289="","",J289*N289)</f>
        <v/>
      </c>
      <c r="R289" s="24">
        <f>IF(O289="","",J289*O289)</f>
        <v/>
      </c>
      <c r="S289" s="24">
        <f>IF(N289="","",Q289+R289)</f>
        <v/>
      </c>
      <c r="T289" s="21" t="n"/>
      <c r="U289" s="19" t="n"/>
      <c r="V289" s="20" t="n"/>
    </row>
    <row r="290">
      <c r="A290" s="18" t="n">
        <v>274</v>
      </c>
      <c r="B290" s="19" t="n"/>
      <c r="C290" s="19" t="n"/>
      <c r="D290" s="19" t="n"/>
      <c r="E290" s="19" t="n"/>
      <c r="F290" s="19" t="n"/>
      <c r="G290" s="20" t="n"/>
      <c r="H290" s="19" t="n"/>
      <c r="I290" s="19" t="n"/>
      <c r="J290" s="19" t="n"/>
      <c r="K290" s="19" t="n"/>
      <c r="L290" s="21" t="n"/>
      <c r="M290" s="22">
        <f>IF(J290="","",L290/J290)</f>
        <v/>
      </c>
      <c r="N290" s="21" t="n"/>
      <c r="O290" s="23" t="n"/>
      <c r="P290" s="24">
        <f>IF(N290="","",N290+O290)</f>
        <v/>
      </c>
      <c r="Q290" s="24">
        <f>IF(N290="","",J290*N290)</f>
        <v/>
      </c>
      <c r="R290" s="24">
        <f>IF(O290="","",J290*O290)</f>
        <v/>
      </c>
      <c r="S290" s="24">
        <f>IF(N290="","",Q290+R290)</f>
        <v/>
      </c>
      <c r="T290" s="21" t="n"/>
      <c r="U290" s="19" t="n"/>
      <c r="V290" s="20" t="n"/>
    </row>
    <row r="291">
      <c r="A291" s="18" t="n">
        <v>275</v>
      </c>
      <c r="B291" s="19" t="n"/>
      <c r="C291" s="19" t="n"/>
      <c r="D291" s="19" t="n"/>
      <c r="E291" s="19" t="n"/>
      <c r="F291" s="19" t="n"/>
      <c r="G291" s="20" t="n"/>
      <c r="H291" s="19" t="n"/>
      <c r="I291" s="19" t="n"/>
      <c r="J291" s="19" t="n"/>
      <c r="K291" s="19" t="n"/>
      <c r="L291" s="21" t="n"/>
      <c r="M291" s="22">
        <f>IF(J291="","",L291/J291)</f>
        <v/>
      </c>
      <c r="N291" s="21" t="n"/>
      <c r="O291" s="23" t="n"/>
      <c r="P291" s="24">
        <f>IF(N291="","",N291+O291)</f>
        <v/>
      </c>
      <c r="Q291" s="24">
        <f>IF(N291="","",J291*N291)</f>
        <v/>
      </c>
      <c r="R291" s="24">
        <f>IF(O291="","",J291*O291)</f>
        <v/>
      </c>
      <c r="S291" s="24">
        <f>IF(N291="","",Q291+R291)</f>
        <v/>
      </c>
      <c r="T291" s="21" t="n"/>
      <c r="U291" s="19" t="n"/>
      <c r="V291" s="20" t="n"/>
    </row>
    <row r="292">
      <c r="A292" s="18" t="n">
        <v>276</v>
      </c>
      <c r="B292" s="19" t="n"/>
      <c r="C292" s="19" t="n"/>
      <c r="D292" s="19" t="n"/>
      <c r="E292" s="19" t="n"/>
      <c r="F292" s="19" t="n"/>
      <c r="G292" s="20" t="n"/>
      <c r="H292" s="19" t="n"/>
      <c r="I292" s="19" t="n"/>
      <c r="J292" s="19" t="n"/>
      <c r="K292" s="19" t="n"/>
      <c r="L292" s="21" t="n"/>
      <c r="M292" s="22">
        <f>IF(J292="","",L292/J292)</f>
        <v/>
      </c>
      <c r="N292" s="21" t="n"/>
      <c r="O292" s="23" t="n"/>
      <c r="P292" s="24">
        <f>IF(N292="","",N292+O292)</f>
        <v/>
      </c>
      <c r="Q292" s="24">
        <f>IF(N292="","",J292*N292)</f>
        <v/>
      </c>
      <c r="R292" s="24">
        <f>IF(O292="","",J292*O292)</f>
        <v/>
      </c>
      <c r="S292" s="24">
        <f>IF(N292="","",Q292+R292)</f>
        <v/>
      </c>
      <c r="T292" s="21" t="n"/>
      <c r="U292" s="19" t="n"/>
      <c r="V292" s="20" t="n"/>
    </row>
    <row r="293">
      <c r="A293" s="18" t="n">
        <v>277</v>
      </c>
      <c r="B293" s="19" t="n"/>
      <c r="C293" s="19" t="n"/>
      <c r="D293" s="19" t="n"/>
      <c r="E293" s="19" t="n"/>
      <c r="F293" s="19" t="n"/>
      <c r="G293" s="20" t="n"/>
      <c r="H293" s="19" t="n"/>
      <c r="I293" s="19" t="n"/>
      <c r="J293" s="19" t="n"/>
      <c r="K293" s="19" t="n"/>
      <c r="L293" s="21" t="n"/>
      <c r="M293" s="22">
        <f>IF(J293="","",L293/J293)</f>
        <v/>
      </c>
      <c r="N293" s="21" t="n"/>
      <c r="O293" s="23" t="n"/>
      <c r="P293" s="24">
        <f>IF(N293="","",N293+O293)</f>
        <v/>
      </c>
      <c r="Q293" s="24">
        <f>IF(N293="","",J293*N293)</f>
        <v/>
      </c>
      <c r="R293" s="24">
        <f>IF(O293="","",J293*O293)</f>
        <v/>
      </c>
      <c r="S293" s="24">
        <f>IF(N293="","",Q293+R293)</f>
        <v/>
      </c>
      <c r="T293" s="21" t="n"/>
      <c r="U293" s="19" t="n"/>
      <c r="V293" s="20" t="n"/>
    </row>
    <row r="294">
      <c r="A294" s="18" t="n">
        <v>278</v>
      </c>
      <c r="B294" s="19" t="n"/>
      <c r="C294" s="19" t="n"/>
      <c r="D294" s="19" t="n"/>
      <c r="E294" s="19" t="n"/>
      <c r="F294" s="19" t="n"/>
      <c r="G294" s="20" t="n"/>
      <c r="H294" s="19" t="n"/>
      <c r="I294" s="19" t="n"/>
      <c r="J294" s="19" t="n"/>
      <c r="K294" s="19" t="n"/>
      <c r="L294" s="21" t="n"/>
      <c r="M294" s="22">
        <f>IF(J294="","",L294/J294)</f>
        <v/>
      </c>
      <c r="N294" s="21" t="n"/>
      <c r="O294" s="23" t="n"/>
      <c r="P294" s="24">
        <f>IF(N294="","",N294+O294)</f>
        <v/>
      </c>
      <c r="Q294" s="24">
        <f>IF(N294="","",J294*N294)</f>
        <v/>
      </c>
      <c r="R294" s="24">
        <f>IF(O294="","",J294*O294)</f>
        <v/>
      </c>
      <c r="S294" s="24">
        <f>IF(N294="","",Q294+R294)</f>
        <v/>
      </c>
      <c r="T294" s="21" t="n"/>
      <c r="U294" s="19" t="n"/>
      <c r="V294" s="20" t="n"/>
    </row>
    <row r="295">
      <c r="A295" s="18" t="n">
        <v>279</v>
      </c>
      <c r="B295" s="19" t="n"/>
      <c r="C295" s="19" t="n"/>
      <c r="D295" s="19" t="n"/>
      <c r="E295" s="19" t="n"/>
      <c r="F295" s="19" t="n"/>
      <c r="G295" s="20" t="n"/>
      <c r="H295" s="19" t="n"/>
      <c r="I295" s="19" t="n"/>
      <c r="J295" s="19" t="n"/>
      <c r="K295" s="19" t="n"/>
      <c r="L295" s="21" t="n"/>
      <c r="M295" s="22">
        <f>IF(J295="","",L295/J295)</f>
        <v/>
      </c>
      <c r="N295" s="21" t="n"/>
      <c r="O295" s="23" t="n"/>
      <c r="P295" s="24">
        <f>IF(N295="","",N295+O295)</f>
        <v/>
      </c>
      <c r="Q295" s="24">
        <f>IF(N295="","",J295*N295)</f>
        <v/>
      </c>
      <c r="R295" s="24">
        <f>IF(O295="","",J295*O295)</f>
        <v/>
      </c>
      <c r="S295" s="24">
        <f>IF(N295="","",Q295+R295)</f>
        <v/>
      </c>
      <c r="T295" s="21" t="n"/>
      <c r="U295" s="19" t="n"/>
      <c r="V295" s="20" t="n"/>
    </row>
    <row r="296">
      <c r="A296" s="18" t="n">
        <v>280</v>
      </c>
      <c r="B296" s="19" t="n"/>
      <c r="C296" s="19" t="n"/>
      <c r="D296" s="19" t="n"/>
      <c r="E296" s="19" t="n"/>
      <c r="F296" s="19" t="n"/>
      <c r="G296" s="20" t="n"/>
      <c r="H296" s="19" t="n"/>
      <c r="I296" s="19" t="n"/>
      <c r="J296" s="19" t="n"/>
      <c r="K296" s="19" t="n"/>
      <c r="L296" s="21" t="n"/>
      <c r="M296" s="22">
        <f>IF(J296="","",L296/J296)</f>
        <v/>
      </c>
      <c r="N296" s="21" t="n"/>
      <c r="O296" s="23" t="n"/>
      <c r="P296" s="24">
        <f>IF(N296="","",N296+O296)</f>
        <v/>
      </c>
      <c r="Q296" s="24">
        <f>IF(N296="","",J296*N296)</f>
        <v/>
      </c>
      <c r="R296" s="24">
        <f>IF(O296="","",J296*O296)</f>
        <v/>
      </c>
      <c r="S296" s="24">
        <f>IF(N296="","",Q296+R296)</f>
        <v/>
      </c>
      <c r="T296" s="21" t="n"/>
      <c r="U296" s="19" t="n"/>
      <c r="V296" s="20" t="n"/>
    </row>
    <row r="297">
      <c r="A297" s="18" t="n">
        <v>281</v>
      </c>
      <c r="B297" s="19" t="n"/>
      <c r="C297" s="19" t="n"/>
      <c r="D297" s="19" t="n"/>
      <c r="E297" s="19" t="n"/>
      <c r="F297" s="19" t="n"/>
      <c r="G297" s="20" t="n"/>
      <c r="H297" s="19" t="n"/>
      <c r="I297" s="19" t="n"/>
      <c r="J297" s="19" t="n"/>
      <c r="K297" s="19" t="n"/>
      <c r="L297" s="21" t="n"/>
      <c r="M297" s="22">
        <f>IF(J297="","",L297/J297)</f>
        <v/>
      </c>
      <c r="N297" s="21" t="n"/>
      <c r="O297" s="23" t="n"/>
      <c r="P297" s="24">
        <f>IF(N297="","",N297+O297)</f>
        <v/>
      </c>
      <c r="Q297" s="24">
        <f>IF(N297="","",J297*N297)</f>
        <v/>
      </c>
      <c r="R297" s="24">
        <f>IF(O297="","",J297*O297)</f>
        <v/>
      </c>
      <c r="S297" s="24">
        <f>IF(N297="","",Q297+R297)</f>
        <v/>
      </c>
      <c r="T297" s="21" t="n"/>
      <c r="U297" s="19" t="n"/>
      <c r="V297" s="20" t="n"/>
    </row>
    <row r="298">
      <c r="A298" s="18" t="n">
        <v>282</v>
      </c>
      <c r="B298" s="19" t="n"/>
      <c r="C298" s="19" t="n"/>
      <c r="D298" s="19" t="n"/>
      <c r="E298" s="19" t="n"/>
      <c r="F298" s="19" t="n"/>
      <c r="G298" s="20" t="n"/>
      <c r="H298" s="19" t="n"/>
      <c r="I298" s="19" t="n"/>
      <c r="J298" s="19" t="n"/>
      <c r="K298" s="19" t="n"/>
      <c r="L298" s="21" t="n"/>
      <c r="M298" s="22">
        <f>IF(J298="","",L298/J298)</f>
        <v/>
      </c>
      <c r="N298" s="21" t="n"/>
      <c r="O298" s="23" t="n"/>
      <c r="P298" s="24">
        <f>IF(N298="","",N298+O298)</f>
        <v/>
      </c>
      <c r="Q298" s="24">
        <f>IF(N298="","",J298*N298)</f>
        <v/>
      </c>
      <c r="R298" s="24">
        <f>IF(O298="","",J298*O298)</f>
        <v/>
      </c>
      <c r="S298" s="24">
        <f>IF(N298="","",Q298+R298)</f>
        <v/>
      </c>
      <c r="T298" s="21" t="n"/>
      <c r="U298" s="19" t="n"/>
      <c r="V298" s="20" t="n"/>
    </row>
    <row r="299">
      <c r="A299" s="18" t="n">
        <v>283</v>
      </c>
      <c r="B299" s="19" t="n"/>
      <c r="C299" s="19" t="n"/>
      <c r="D299" s="19" t="n"/>
      <c r="E299" s="19" t="n"/>
      <c r="F299" s="19" t="n"/>
      <c r="G299" s="20" t="n"/>
      <c r="H299" s="19" t="n"/>
      <c r="I299" s="19" t="n"/>
      <c r="J299" s="19" t="n"/>
      <c r="K299" s="19" t="n"/>
      <c r="L299" s="21" t="n"/>
      <c r="M299" s="22">
        <f>IF(J299="","",L299/J299)</f>
        <v/>
      </c>
      <c r="N299" s="21" t="n"/>
      <c r="O299" s="23" t="n"/>
      <c r="P299" s="24">
        <f>IF(N299="","",N299+O299)</f>
        <v/>
      </c>
      <c r="Q299" s="24">
        <f>IF(N299="","",J299*N299)</f>
        <v/>
      </c>
      <c r="R299" s="24">
        <f>IF(O299="","",J299*O299)</f>
        <v/>
      </c>
      <c r="S299" s="24">
        <f>IF(N299="","",Q299+R299)</f>
        <v/>
      </c>
      <c r="T299" s="21" t="n"/>
      <c r="U299" s="19" t="n"/>
      <c r="V299" s="20" t="n"/>
    </row>
    <row r="300">
      <c r="A300" s="18" t="n">
        <v>284</v>
      </c>
      <c r="B300" s="19" t="n"/>
      <c r="C300" s="19" t="n"/>
      <c r="D300" s="19" t="n"/>
      <c r="E300" s="19" t="n"/>
      <c r="F300" s="19" t="n"/>
      <c r="G300" s="20" t="n"/>
      <c r="H300" s="19" t="n"/>
      <c r="I300" s="19" t="n"/>
      <c r="J300" s="19" t="n"/>
      <c r="K300" s="19" t="n"/>
      <c r="L300" s="21" t="n"/>
      <c r="M300" s="22">
        <f>IF(J300="","",L300/J300)</f>
        <v/>
      </c>
      <c r="N300" s="21" t="n"/>
      <c r="O300" s="23" t="n"/>
      <c r="P300" s="24">
        <f>IF(N300="","",N300+O300)</f>
        <v/>
      </c>
      <c r="Q300" s="24">
        <f>IF(N300="","",J300*N300)</f>
        <v/>
      </c>
      <c r="R300" s="24">
        <f>IF(O300="","",J300*O300)</f>
        <v/>
      </c>
      <c r="S300" s="24">
        <f>IF(N300="","",Q300+R300)</f>
        <v/>
      </c>
      <c r="T300" s="21" t="n"/>
      <c r="U300" s="19" t="n"/>
      <c r="V300" s="20" t="n"/>
    </row>
    <row r="301">
      <c r="A301" s="18" t="n">
        <v>285</v>
      </c>
      <c r="B301" s="19" t="n"/>
      <c r="C301" s="19" t="n"/>
      <c r="D301" s="19" t="n"/>
      <c r="E301" s="19" t="n"/>
      <c r="F301" s="19" t="n"/>
      <c r="G301" s="20" t="n"/>
      <c r="H301" s="19" t="n"/>
      <c r="I301" s="19" t="n"/>
      <c r="J301" s="19" t="n"/>
      <c r="K301" s="19" t="n"/>
      <c r="L301" s="21" t="n"/>
      <c r="M301" s="22">
        <f>IF(J301="","",L301/J301)</f>
        <v/>
      </c>
      <c r="N301" s="21" t="n"/>
      <c r="O301" s="23" t="n"/>
      <c r="P301" s="24">
        <f>IF(N301="","",N301+O301)</f>
        <v/>
      </c>
      <c r="Q301" s="24">
        <f>IF(N301="","",J301*N301)</f>
        <v/>
      </c>
      <c r="R301" s="24">
        <f>IF(O301="","",J301*O301)</f>
        <v/>
      </c>
      <c r="S301" s="24">
        <f>IF(N301="","",Q301+R301)</f>
        <v/>
      </c>
      <c r="T301" s="21" t="n"/>
      <c r="U301" s="19" t="n"/>
      <c r="V301" s="20" t="n"/>
    </row>
    <row r="302">
      <c r="A302" s="18" t="n">
        <v>286</v>
      </c>
      <c r="B302" s="19" t="n"/>
      <c r="C302" s="19" t="n"/>
      <c r="D302" s="19" t="n"/>
      <c r="E302" s="19" t="n"/>
      <c r="F302" s="19" t="n"/>
      <c r="G302" s="20" t="n"/>
      <c r="H302" s="19" t="n"/>
      <c r="I302" s="19" t="n"/>
      <c r="J302" s="19" t="n"/>
      <c r="K302" s="19" t="n"/>
      <c r="L302" s="21" t="n"/>
      <c r="M302" s="22">
        <f>IF(J302="","",L302/J302)</f>
        <v/>
      </c>
      <c r="N302" s="21" t="n"/>
      <c r="O302" s="23" t="n"/>
      <c r="P302" s="24">
        <f>IF(N302="","",N302+O302)</f>
        <v/>
      </c>
      <c r="Q302" s="24">
        <f>IF(N302="","",J302*N302)</f>
        <v/>
      </c>
      <c r="R302" s="24">
        <f>IF(O302="","",J302*O302)</f>
        <v/>
      </c>
      <c r="S302" s="24">
        <f>IF(N302="","",Q302+R302)</f>
        <v/>
      </c>
      <c r="T302" s="21" t="n"/>
      <c r="U302" s="19" t="n"/>
      <c r="V302" s="20" t="n"/>
    </row>
    <row r="303">
      <c r="A303" s="18" t="n">
        <v>287</v>
      </c>
      <c r="B303" s="19" t="n"/>
      <c r="C303" s="19" t="n"/>
      <c r="D303" s="19" t="n"/>
      <c r="E303" s="19" t="n"/>
      <c r="F303" s="19" t="n"/>
      <c r="G303" s="20" t="n"/>
      <c r="H303" s="19" t="n"/>
      <c r="I303" s="19" t="n"/>
      <c r="J303" s="19" t="n"/>
      <c r="K303" s="19" t="n"/>
      <c r="L303" s="21" t="n"/>
      <c r="M303" s="22">
        <f>IF(J303="","",L303/J303)</f>
        <v/>
      </c>
      <c r="N303" s="21" t="n"/>
      <c r="O303" s="23" t="n"/>
      <c r="P303" s="24">
        <f>IF(N303="","",N303+O303)</f>
        <v/>
      </c>
      <c r="Q303" s="24">
        <f>IF(N303="","",J303*N303)</f>
        <v/>
      </c>
      <c r="R303" s="24">
        <f>IF(O303="","",J303*O303)</f>
        <v/>
      </c>
      <c r="S303" s="24">
        <f>IF(N303="","",Q303+R303)</f>
        <v/>
      </c>
      <c r="T303" s="21" t="n"/>
      <c r="U303" s="19" t="n"/>
      <c r="V303" s="20" t="n"/>
    </row>
    <row r="304">
      <c r="A304" s="18" t="n">
        <v>288</v>
      </c>
      <c r="B304" s="19" t="n"/>
      <c r="C304" s="19" t="n"/>
      <c r="D304" s="19" t="n"/>
      <c r="E304" s="19" t="n"/>
      <c r="F304" s="19" t="n"/>
      <c r="G304" s="20" t="n"/>
      <c r="H304" s="19" t="n"/>
      <c r="I304" s="19" t="n"/>
      <c r="J304" s="19" t="n"/>
      <c r="K304" s="19" t="n"/>
      <c r="L304" s="21" t="n"/>
      <c r="M304" s="22">
        <f>IF(J304="","",L304/J304)</f>
        <v/>
      </c>
      <c r="N304" s="21" t="n"/>
      <c r="O304" s="23" t="n"/>
      <c r="P304" s="24">
        <f>IF(N304="","",N304+O304)</f>
        <v/>
      </c>
      <c r="Q304" s="24">
        <f>IF(N304="","",J304*N304)</f>
        <v/>
      </c>
      <c r="R304" s="24">
        <f>IF(O304="","",J304*O304)</f>
        <v/>
      </c>
      <c r="S304" s="24">
        <f>IF(N304="","",Q304+R304)</f>
        <v/>
      </c>
      <c r="T304" s="21" t="n"/>
      <c r="U304" s="19" t="n"/>
      <c r="V304" s="20" t="n"/>
    </row>
    <row r="305">
      <c r="A305" s="18" t="n">
        <v>289</v>
      </c>
      <c r="B305" s="19" t="n"/>
      <c r="C305" s="19" t="n"/>
      <c r="D305" s="19" t="n"/>
      <c r="E305" s="19" t="n"/>
      <c r="F305" s="19" t="n"/>
      <c r="G305" s="20" t="n"/>
      <c r="H305" s="19" t="n"/>
      <c r="I305" s="19" t="n"/>
      <c r="J305" s="19" t="n"/>
      <c r="K305" s="19" t="n"/>
      <c r="L305" s="21" t="n"/>
      <c r="M305" s="22">
        <f>IF(J305="","",L305/J305)</f>
        <v/>
      </c>
      <c r="N305" s="21" t="n"/>
      <c r="O305" s="23" t="n"/>
      <c r="P305" s="24">
        <f>IF(N305="","",N305+O305)</f>
        <v/>
      </c>
      <c r="Q305" s="24">
        <f>IF(N305="","",J305*N305)</f>
        <v/>
      </c>
      <c r="R305" s="24">
        <f>IF(O305="","",J305*O305)</f>
        <v/>
      </c>
      <c r="S305" s="24">
        <f>IF(N305="","",Q305+R305)</f>
        <v/>
      </c>
      <c r="T305" s="21" t="n"/>
      <c r="U305" s="19" t="n"/>
      <c r="V305" s="20" t="n"/>
    </row>
    <row r="306">
      <c r="A306" s="18" t="n">
        <v>290</v>
      </c>
      <c r="B306" s="19" t="n"/>
      <c r="C306" s="19" t="n"/>
      <c r="D306" s="19" t="n"/>
      <c r="E306" s="19" t="n"/>
      <c r="F306" s="19" t="n"/>
      <c r="G306" s="20" t="n"/>
      <c r="H306" s="19" t="n"/>
      <c r="I306" s="19" t="n"/>
      <c r="J306" s="19" t="n"/>
      <c r="K306" s="19" t="n"/>
      <c r="L306" s="21" t="n"/>
      <c r="M306" s="22">
        <f>IF(J306="","",L306/J306)</f>
        <v/>
      </c>
      <c r="N306" s="21" t="n"/>
      <c r="O306" s="23" t="n"/>
      <c r="P306" s="24">
        <f>IF(N306="","",N306+O306)</f>
        <v/>
      </c>
      <c r="Q306" s="24">
        <f>IF(N306="","",J306*N306)</f>
        <v/>
      </c>
      <c r="R306" s="24">
        <f>IF(O306="","",J306*O306)</f>
        <v/>
      </c>
      <c r="S306" s="24">
        <f>IF(N306="","",Q306+R306)</f>
        <v/>
      </c>
      <c r="T306" s="21" t="n"/>
      <c r="U306" s="19" t="n"/>
      <c r="V306" s="20" t="n"/>
    </row>
    <row r="307">
      <c r="A307" s="18" t="n">
        <v>291</v>
      </c>
      <c r="B307" s="19" t="n"/>
      <c r="C307" s="19" t="n"/>
      <c r="D307" s="19" t="n"/>
      <c r="E307" s="19" t="n"/>
      <c r="F307" s="19" t="n"/>
      <c r="G307" s="20" t="n"/>
      <c r="H307" s="19" t="n"/>
      <c r="I307" s="19" t="n"/>
      <c r="J307" s="19" t="n"/>
      <c r="K307" s="19" t="n"/>
      <c r="L307" s="21" t="n"/>
      <c r="M307" s="22">
        <f>IF(J307="","",L307/J307)</f>
        <v/>
      </c>
      <c r="N307" s="21" t="n"/>
      <c r="O307" s="23" t="n"/>
      <c r="P307" s="24">
        <f>IF(N307="","",N307+O307)</f>
        <v/>
      </c>
      <c r="Q307" s="24">
        <f>IF(N307="","",J307*N307)</f>
        <v/>
      </c>
      <c r="R307" s="24">
        <f>IF(O307="","",J307*O307)</f>
        <v/>
      </c>
      <c r="S307" s="24">
        <f>IF(N307="","",Q307+R307)</f>
        <v/>
      </c>
      <c r="T307" s="21" t="n"/>
      <c r="U307" s="19" t="n"/>
      <c r="V307" s="20" t="n"/>
    </row>
    <row r="308">
      <c r="A308" s="18" t="n">
        <v>292</v>
      </c>
      <c r="B308" s="19" t="n"/>
      <c r="C308" s="19" t="n"/>
      <c r="D308" s="19" t="n"/>
      <c r="E308" s="19" t="n"/>
      <c r="F308" s="19" t="n"/>
      <c r="G308" s="20" t="n"/>
      <c r="H308" s="19" t="n"/>
      <c r="I308" s="19" t="n"/>
      <c r="J308" s="19" t="n"/>
      <c r="K308" s="19" t="n"/>
      <c r="L308" s="21" t="n"/>
      <c r="M308" s="22">
        <f>IF(J308="","",L308/J308)</f>
        <v/>
      </c>
      <c r="N308" s="21" t="n"/>
      <c r="O308" s="23" t="n"/>
      <c r="P308" s="24">
        <f>IF(N308="","",N308+O308)</f>
        <v/>
      </c>
      <c r="Q308" s="24">
        <f>IF(N308="","",J308*N308)</f>
        <v/>
      </c>
      <c r="R308" s="24">
        <f>IF(O308="","",J308*O308)</f>
        <v/>
      </c>
      <c r="S308" s="24">
        <f>IF(N308="","",Q308+R308)</f>
        <v/>
      </c>
      <c r="T308" s="21" t="n"/>
      <c r="U308" s="19" t="n"/>
      <c r="V308" s="20" t="n"/>
    </row>
    <row r="309">
      <c r="A309" s="18" t="n">
        <v>293</v>
      </c>
      <c r="B309" s="19" t="n"/>
      <c r="C309" s="19" t="n"/>
      <c r="D309" s="19" t="n"/>
      <c r="E309" s="19" t="n"/>
      <c r="F309" s="19" t="n"/>
      <c r="G309" s="20" t="n"/>
      <c r="H309" s="19" t="n"/>
      <c r="I309" s="19" t="n"/>
      <c r="J309" s="19" t="n"/>
      <c r="K309" s="19" t="n"/>
      <c r="L309" s="21" t="n"/>
      <c r="M309" s="22">
        <f>IF(J309="","",L309/J309)</f>
        <v/>
      </c>
      <c r="N309" s="21" t="n"/>
      <c r="O309" s="23" t="n"/>
      <c r="P309" s="24">
        <f>IF(N309="","",N309+O309)</f>
        <v/>
      </c>
      <c r="Q309" s="24">
        <f>IF(N309="","",J309*N309)</f>
        <v/>
      </c>
      <c r="R309" s="24">
        <f>IF(O309="","",J309*O309)</f>
        <v/>
      </c>
      <c r="S309" s="24">
        <f>IF(N309="","",Q309+R309)</f>
        <v/>
      </c>
      <c r="T309" s="21" t="n"/>
      <c r="U309" s="19" t="n"/>
      <c r="V309" s="20" t="n"/>
    </row>
    <row r="310">
      <c r="A310" s="18" t="n">
        <v>294</v>
      </c>
      <c r="B310" s="19" t="n"/>
      <c r="C310" s="19" t="n"/>
      <c r="D310" s="19" t="n"/>
      <c r="E310" s="19" t="n"/>
      <c r="F310" s="19" t="n"/>
      <c r="G310" s="20" t="n"/>
      <c r="H310" s="19" t="n"/>
      <c r="I310" s="19" t="n"/>
      <c r="J310" s="19" t="n"/>
      <c r="K310" s="19" t="n"/>
      <c r="L310" s="21" t="n"/>
      <c r="M310" s="22">
        <f>IF(J310="","",L310/J310)</f>
        <v/>
      </c>
      <c r="N310" s="21" t="n"/>
      <c r="O310" s="23" t="n"/>
      <c r="P310" s="24">
        <f>IF(N310="","",N310+O310)</f>
        <v/>
      </c>
      <c r="Q310" s="24">
        <f>IF(N310="","",J310*N310)</f>
        <v/>
      </c>
      <c r="R310" s="24">
        <f>IF(O310="","",J310*O310)</f>
        <v/>
      </c>
      <c r="S310" s="24">
        <f>IF(N310="","",Q310+R310)</f>
        <v/>
      </c>
      <c r="T310" s="21" t="n"/>
      <c r="U310" s="19" t="n"/>
      <c r="V310" s="20" t="n"/>
    </row>
    <row r="311">
      <c r="A311" s="18" t="n">
        <v>295</v>
      </c>
      <c r="B311" s="19" t="n"/>
      <c r="C311" s="19" t="n"/>
      <c r="D311" s="19" t="n"/>
      <c r="E311" s="19" t="n"/>
      <c r="F311" s="19" t="n"/>
      <c r="G311" s="20" t="n"/>
      <c r="H311" s="19" t="n"/>
      <c r="I311" s="19" t="n"/>
      <c r="J311" s="19" t="n"/>
      <c r="K311" s="19" t="n"/>
      <c r="L311" s="21" t="n"/>
      <c r="M311" s="22">
        <f>IF(J311="","",L311/J311)</f>
        <v/>
      </c>
      <c r="N311" s="21" t="n"/>
      <c r="O311" s="23" t="n"/>
      <c r="P311" s="24">
        <f>IF(N311="","",N311+O311)</f>
        <v/>
      </c>
      <c r="Q311" s="24">
        <f>IF(N311="","",J311*N311)</f>
        <v/>
      </c>
      <c r="R311" s="24">
        <f>IF(O311="","",J311*O311)</f>
        <v/>
      </c>
      <c r="S311" s="24">
        <f>IF(N311="","",Q311+R311)</f>
        <v/>
      </c>
      <c r="T311" s="21" t="n"/>
      <c r="U311" s="19" t="n"/>
      <c r="V311" s="20" t="n"/>
    </row>
    <row r="312">
      <c r="A312" s="18" t="n">
        <v>296</v>
      </c>
      <c r="B312" s="19" t="n"/>
      <c r="C312" s="19" t="n"/>
      <c r="D312" s="19" t="n"/>
      <c r="E312" s="19" t="n"/>
      <c r="F312" s="19" t="n"/>
      <c r="G312" s="20" t="n"/>
      <c r="H312" s="19" t="n"/>
      <c r="I312" s="19" t="n"/>
      <c r="J312" s="19" t="n"/>
      <c r="K312" s="19" t="n"/>
      <c r="L312" s="21" t="n"/>
      <c r="M312" s="22">
        <f>IF(J312="","",L312/J312)</f>
        <v/>
      </c>
      <c r="N312" s="21" t="n"/>
      <c r="O312" s="23" t="n"/>
      <c r="P312" s="24">
        <f>IF(N312="","",N312+O312)</f>
        <v/>
      </c>
      <c r="Q312" s="24">
        <f>IF(N312="","",J312*N312)</f>
        <v/>
      </c>
      <c r="R312" s="24">
        <f>IF(O312="","",J312*O312)</f>
        <v/>
      </c>
      <c r="S312" s="24">
        <f>IF(N312="","",Q312+R312)</f>
        <v/>
      </c>
      <c r="T312" s="21" t="n"/>
      <c r="U312" s="19" t="n"/>
      <c r="V312" s="20" t="n"/>
    </row>
    <row r="313">
      <c r="A313" s="18" t="n">
        <v>297</v>
      </c>
      <c r="B313" s="19" t="n"/>
      <c r="C313" s="19" t="n"/>
      <c r="D313" s="19" t="n"/>
      <c r="E313" s="19" t="n"/>
      <c r="F313" s="19" t="n"/>
      <c r="G313" s="20" t="n"/>
      <c r="H313" s="19" t="n"/>
      <c r="I313" s="19" t="n"/>
      <c r="J313" s="19" t="n"/>
      <c r="K313" s="19" t="n"/>
      <c r="L313" s="21" t="n"/>
      <c r="M313" s="22">
        <f>IF(J313="","",L313/J313)</f>
        <v/>
      </c>
      <c r="N313" s="21" t="n"/>
      <c r="O313" s="23" t="n"/>
      <c r="P313" s="24">
        <f>IF(N313="","",N313+O313)</f>
        <v/>
      </c>
      <c r="Q313" s="24">
        <f>IF(N313="","",J313*N313)</f>
        <v/>
      </c>
      <c r="R313" s="24">
        <f>IF(O313="","",J313*O313)</f>
        <v/>
      </c>
      <c r="S313" s="24">
        <f>IF(N313="","",Q313+R313)</f>
        <v/>
      </c>
      <c r="T313" s="21" t="n"/>
      <c r="U313" s="19" t="n"/>
      <c r="V313" s="20" t="n"/>
    </row>
    <row r="314">
      <c r="A314" s="18" t="n">
        <v>298</v>
      </c>
      <c r="B314" s="19" t="n"/>
      <c r="C314" s="19" t="n"/>
      <c r="D314" s="19" t="n"/>
      <c r="E314" s="19" t="n"/>
      <c r="F314" s="19" t="n"/>
      <c r="G314" s="20" t="n"/>
      <c r="H314" s="19" t="n"/>
      <c r="I314" s="19" t="n"/>
      <c r="J314" s="19" t="n"/>
      <c r="K314" s="19" t="n"/>
      <c r="L314" s="21" t="n"/>
      <c r="M314" s="22">
        <f>IF(J314="","",L314/J314)</f>
        <v/>
      </c>
      <c r="N314" s="21" t="n"/>
      <c r="O314" s="23" t="n"/>
      <c r="P314" s="24">
        <f>IF(N314="","",N314+O314)</f>
        <v/>
      </c>
      <c r="Q314" s="24">
        <f>IF(N314="","",J314*N314)</f>
        <v/>
      </c>
      <c r="R314" s="24">
        <f>IF(O314="","",J314*O314)</f>
        <v/>
      </c>
      <c r="S314" s="24">
        <f>IF(N314="","",Q314+R314)</f>
        <v/>
      </c>
      <c r="T314" s="21" t="n"/>
      <c r="U314" s="19" t="n"/>
      <c r="V314" s="20" t="n"/>
    </row>
    <row r="315">
      <c r="A315" s="18" t="n">
        <v>299</v>
      </c>
      <c r="B315" s="19" t="n"/>
      <c r="C315" s="19" t="n"/>
      <c r="D315" s="19" t="n"/>
      <c r="E315" s="19" t="n"/>
      <c r="F315" s="19" t="n"/>
      <c r="G315" s="20" t="n"/>
      <c r="H315" s="19" t="n"/>
      <c r="I315" s="19" t="n"/>
      <c r="J315" s="19" t="n"/>
      <c r="K315" s="19" t="n"/>
      <c r="L315" s="21" t="n"/>
      <c r="M315" s="22">
        <f>IF(J315="","",L315/J315)</f>
        <v/>
      </c>
      <c r="N315" s="21" t="n"/>
      <c r="O315" s="23" t="n"/>
      <c r="P315" s="24">
        <f>IF(N315="","",N315+O315)</f>
        <v/>
      </c>
      <c r="Q315" s="24">
        <f>IF(N315="","",J315*N315)</f>
        <v/>
      </c>
      <c r="R315" s="24">
        <f>IF(O315="","",J315*O315)</f>
        <v/>
      </c>
      <c r="S315" s="24">
        <f>IF(N315="","",Q315+R315)</f>
        <v/>
      </c>
      <c r="T315" s="21" t="n"/>
      <c r="U315" s="19" t="n"/>
      <c r="V315" s="20" t="n"/>
    </row>
    <row r="316">
      <c r="A316" s="18" t="n">
        <v>300</v>
      </c>
      <c r="B316" s="19" t="n"/>
      <c r="C316" s="19" t="n"/>
      <c r="D316" s="19" t="n"/>
      <c r="E316" s="19" t="n"/>
      <c r="F316" s="19" t="n"/>
      <c r="G316" s="20" t="n"/>
      <c r="H316" s="19" t="n"/>
      <c r="I316" s="19" t="n"/>
      <c r="J316" s="19" t="n"/>
      <c r="K316" s="19" t="n"/>
      <c r="L316" s="21" t="n"/>
      <c r="M316" s="22">
        <f>IF(J316="","",L316/J316)</f>
        <v/>
      </c>
      <c r="N316" s="21" t="n"/>
      <c r="O316" s="23" t="n"/>
      <c r="P316" s="24">
        <f>IF(N316="","",N316+O316)</f>
        <v/>
      </c>
      <c r="Q316" s="24">
        <f>IF(N316="","",J316*N316)</f>
        <v/>
      </c>
      <c r="R316" s="24">
        <f>IF(O316="","",J316*O316)</f>
        <v/>
      </c>
      <c r="S316" s="24">
        <f>IF(N316="","",Q316+R316)</f>
        <v/>
      </c>
      <c r="T316" s="21" t="n"/>
      <c r="U316" s="19" t="n"/>
      <c r="V316" s="20" t="n"/>
    </row>
    <row r="317">
      <c r="G317" s="6" t="inlineStr">
        <is>
          <t>ИТОГО</t>
        </is>
      </c>
      <c r="J317" s="25">
        <f>SUM(J17:J316)</f>
        <v/>
      </c>
      <c r="K317" s="25">
        <f>SUM(K17:K316)</f>
        <v/>
      </c>
      <c r="L317" s="25">
        <f>SUM(L17:L316)</f>
        <v/>
      </c>
      <c r="Q317" s="25">
        <f>SUM(Q17:Q316)</f>
        <v/>
      </c>
      <c r="R317" s="25">
        <f>SUM(R17:R316)</f>
        <v/>
      </c>
      <c r="S317" s="25">
        <f>SUM(S17:S316)</f>
        <v/>
      </c>
      <c r="T317" s="25">
        <f>SUM(T17:T316)</f>
        <v/>
      </c>
      <c r="V317" s="2">
        <f>"строк заполнено: "&amp;COUNTA(G17:G316)</f>
        <v/>
      </c>
    </row>
  </sheetData>
  <autoFilter ref="A16:V316"/>
  <dataValidations count="3">
    <dataValidation sqref="H17:H316" showDropDown="0" showInputMessage="0" showErrorMessage="0" allowBlank="1" type="list">
      <formula1>"шт,компл,кг,м,пара,набор"</formula1>
    </dataValidation>
    <dataValidation sqref="I17:I316" showDropDown="0" showInputMessage="0" showErrorMessage="0" allowBlank="1" type="list">
      <formula1>"Новое,Б/у"</formula1>
    </dataValidation>
    <dataValidation sqref="E17:E316" showDropDown="0" showInputMessage="0" showErrorMessage="0" allowBlank="1" type="list">
      <formula1>"Контейнер,ТК Энергия,Другая ТК,Самовывоз"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20" customWidth="1" min="7" max="7"/>
  </cols>
  <sheetData>
    <row r="1">
      <c r="A1" s="1" t="inlineStr">
        <is>
          <t>Итоги по состоянию и по каналу отгрузки</t>
        </is>
      </c>
    </row>
    <row r="2">
      <c r="A2" s="2" t="inlineStr">
        <is>
          <t>Считается по листу «Отгрузка». Строка «не указано» показывает, что еще не заполнили.</t>
        </is>
      </c>
    </row>
    <row r="4">
      <c r="A4" s="3" t="inlineStr">
        <is>
          <t>Новое и б/у</t>
        </is>
      </c>
    </row>
    <row r="5" ht="28" customHeight="1">
      <c r="A5" s="10" t="inlineStr">
        <is>
          <t>Состояние</t>
        </is>
      </c>
      <c r="B5" s="10" t="inlineStr">
        <is>
          <t>Строк</t>
        </is>
      </c>
      <c r="C5" s="10" t="inlineStr">
        <is>
          <t>Количество</t>
        </is>
      </c>
      <c r="D5" s="10" t="inlineStr">
        <is>
          <t>Вес, кг</t>
        </is>
      </c>
      <c r="E5" s="10" t="inlineStr">
        <is>
          <t>Сумма, руб</t>
        </is>
      </c>
      <c r="F5" s="10" t="inlineStr">
        <is>
          <t>Доставка, руб</t>
        </is>
      </c>
      <c r="G5" s="10" t="inlineStr">
        <is>
          <t>Итого с доставкой, руб</t>
        </is>
      </c>
    </row>
    <row r="6">
      <c r="A6" s="4" t="inlineStr">
        <is>
          <t>Новое</t>
        </is>
      </c>
      <c r="B6" s="4">
        <f>COUNTIF('Отгрузка'!$I$17:$I$316,"Новое")</f>
        <v/>
      </c>
      <c r="C6" s="26">
        <f>SUMIF('Отгрузка'!$I$17:$I$316,"Новое",'Отгрузка'!$J$17:$J$316)</f>
        <v/>
      </c>
      <c r="D6" s="26">
        <f>SUMIF('Отгрузка'!$I$17:$I$316,"Новое",'Отгрузка'!$L$17:$L$316)</f>
        <v/>
      </c>
      <c r="E6" s="26">
        <f>SUMIF('Отгрузка'!$I$17:$I$316,"Новое",'Отгрузка'!$Q$17:$Q$316)</f>
        <v/>
      </c>
      <c r="F6" s="26">
        <f>SUMIF('Отгрузка'!$I$17:$I$316,"Новое",'Отгрузка'!$R$17:$R$316)</f>
        <v/>
      </c>
      <c r="G6" s="26">
        <f>E6+F6</f>
        <v/>
      </c>
    </row>
    <row r="7">
      <c r="A7" s="4" t="inlineStr">
        <is>
          <t>Б/у</t>
        </is>
      </c>
      <c r="B7" s="4">
        <f>COUNTIF('Отгрузка'!$I$17:$I$316,"Б/у")</f>
        <v/>
      </c>
      <c r="C7" s="26">
        <f>SUMIF('Отгрузка'!$I$17:$I$316,"Б/у",'Отгрузка'!$J$17:$J$316)</f>
        <v/>
      </c>
      <c r="D7" s="26">
        <f>SUMIF('Отгрузка'!$I$17:$I$316,"Б/у",'Отгрузка'!$L$17:$L$316)</f>
        <v/>
      </c>
      <c r="E7" s="26">
        <f>SUMIF('Отгрузка'!$I$17:$I$316,"Б/у",'Отгрузка'!$Q$17:$Q$316)</f>
        <v/>
      </c>
      <c r="F7" s="26">
        <f>SUMIF('Отгрузка'!$I$17:$I$316,"Б/у",'Отгрузка'!$R$17:$R$316)</f>
        <v/>
      </c>
      <c r="G7" s="26">
        <f>E7+F7</f>
        <v/>
      </c>
    </row>
    <row r="8">
      <c r="A8" s="4" t="inlineStr">
        <is>
          <t>не указано</t>
        </is>
      </c>
      <c r="B8" s="4">
        <f>COUNTIFS('Отгрузка'!$G$17:$G$316,"&lt;&gt;",'Отгрузка'!$I$17:$I$316,"")</f>
        <v/>
      </c>
      <c r="C8" s="26">
        <f>SUMIF('Отгрузка'!$I$17:$I$316,"",'Отгрузка'!$J$17:$J$316)</f>
        <v/>
      </c>
      <c r="D8" s="26">
        <f>SUMIF('Отгрузка'!$I$17:$I$316,"",'Отгрузка'!$L$17:$L$316)</f>
        <v/>
      </c>
      <c r="E8" s="26">
        <f>SUMIF('Отгрузка'!$I$17:$I$316,"",'Отгрузка'!$Q$17:$Q$316)</f>
        <v/>
      </c>
      <c r="F8" s="26">
        <f>SUMIF('Отгрузка'!$I$17:$I$316,"",'Отгрузка'!$R$17:$R$316)</f>
        <v/>
      </c>
      <c r="G8" s="26">
        <f>E8+F8</f>
        <v/>
      </c>
    </row>
    <row r="9">
      <c r="A9" s="6" t="inlineStr">
        <is>
          <t>ИТОГО</t>
        </is>
      </c>
      <c r="B9" s="25">
        <f>SUM(B6:B8)</f>
        <v/>
      </c>
      <c r="C9" s="25">
        <f>SUM(C6:C8)</f>
        <v/>
      </c>
      <c r="D9" s="25">
        <f>SUM(D6:D8)</f>
        <v/>
      </c>
      <c r="E9" s="25">
        <f>SUM(E6:E8)</f>
        <v/>
      </c>
      <c r="F9" s="25">
        <f>SUM(F6:F8)</f>
        <v/>
      </c>
      <c r="G9" s="25">
        <f>SUM(G6:G8)</f>
        <v/>
      </c>
    </row>
    <row r="11">
      <c r="A11" s="3" t="inlineStr">
        <is>
          <t>По каналу отгрузки</t>
        </is>
      </c>
    </row>
    <row r="12" ht="28" customHeight="1">
      <c r="A12" s="10" t="inlineStr">
        <is>
          <t>Чем отправлено</t>
        </is>
      </c>
      <c r="B12" s="10" t="inlineStr">
        <is>
          <t>Строк</t>
        </is>
      </c>
      <c r="C12" s="10" t="inlineStr">
        <is>
          <t>Количество</t>
        </is>
      </c>
      <c r="D12" s="10" t="inlineStr">
        <is>
          <t>Вес, кг</t>
        </is>
      </c>
      <c r="E12" s="10" t="inlineStr">
        <is>
          <t>Сумма, руб</t>
        </is>
      </c>
      <c r="F12" s="10" t="inlineStr">
        <is>
          <t>Доставка, руб</t>
        </is>
      </c>
      <c r="G12" s="10" t="inlineStr">
        <is>
          <t>Итого с доставкой, руб</t>
        </is>
      </c>
    </row>
    <row r="13">
      <c r="A13" s="4" t="inlineStr">
        <is>
          <t>Контейнер</t>
        </is>
      </c>
      <c r="B13" s="4">
        <f>COUNTIF('Отгрузка'!$E$17:$E$316,"Контейнер")</f>
        <v/>
      </c>
      <c r="C13" s="26">
        <f>SUMIF('Отгрузка'!$E$17:$E$316,"Контейнер",'Отгрузка'!$J$17:$J$316)</f>
        <v/>
      </c>
      <c r="D13" s="26">
        <f>SUMIF('Отгрузка'!$E$17:$E$316,"Контейнер",'Отгрузка'!$L$17:$L$316)</f>
        <v/>
      </c>
      <c r="E13" s="26">
        <f>SUMIF('Отгрузка'!$E$17:$E$316,"Контейнер",'Отгрузка'!$Q$17:$Q$316)</f>
        <v/>
      </c>
      <c r="F13" s="26">
        <f>SUMIF('Отгрузка'!$E$17:$E$316,"Контейнер",'Отгрузка'!$R$17:$R$316)</f>
        <v/>
      </c>
      <c r="G13" s="26">
        <f>E13+F13</f>
        <v/>
      </c>
    </row>
    <row r="14">
      <c r="A14" s="4" t="inlineStr">
        <is>
          <t>ТК Энергия</t>
        </is>
      </c>
      <c r="B14" s="4">
        <f>COUNTIF('Отгрузка'!$E$17:$E$316,"ТК Энергия")</f>
        <v/>
      </c>
      <c r="C14" s="26">
        <f>SUMIF('Отгрузка'!$E$17:$E$316,"ТК Энергия",'Отгрузка'!$J$17:$J$316)</f>
        <v/>
      </c>
      <c r="D14" s="26">
        <f>SUMIF('Отгрузка'!$E$17:$E$316,"ТК Энергия",'Отгрузка'!$L$17:$L$316)</f>
        <v/>
      </c>
      <c r="E14" s="26">
        <f>SUMIF('Отгрузка'!$E$17:$E$316,"ТК Энергия",'Отгрузка'!$Q$17:$Q$316)</f>
        <v/>
      </c>
      <c r="F14" s="26">
        <f>SUMIF('Отгрузка'!$E$17:$E$316,"ТК Энергия",'Отгрузка'!$R$17:$R$316)</f>
        <v/>
      </c>
      <c r="G14" s="26">
        <f>E14+F14</f>
        <v/>
      </c>
    </row>
    <row r="15">
      <c r="A15" s="4" t="inlineStr">
        <is>
          <t>Другая ТК</t>
        </is>
      </c>
      <c r="B15" s="4">
        <f>COUNTIF('Отгрузка'!$E$17:$E$316,"Другая ТК")</f>
        <v/>
      </c>
      <c r="C15" s="26">
        <f>SUMIF('Отгрузка'!$E$17:$E$316,"Другая ТК",'Отгрузка'!$J$17:$J$316)</f>
        <v/>
      </c>
      <c r="D15" s="26">
        <f>SUMIF('Отгрузка'!$E$17:$E$316,"Другая ТК",'Отгрузка'!$L$17:$L$316)</f>
        <v/>
      </c>
      <c r="E15" s="26">
        <f>SUMIF('Отгрузка'!$E$17:$E$316,"Другая ТК",'Отгрузка'!$Q$17:$Q$316)</f>
        <v/>
      </c>
      <c r="F15" s="26">
        <f>SUMIF('Отгрузка'!$E$17:$E$316,"Другая ТК",'Отгрузка'!$R$17:$R$316)</f>
        <v/>
      </c>
      <c r="G15" s="26">
        <f>E15+F15</f>
        <v/>
      </c>
    </row>
    <row r="16">
      <c r="A16" s="4" t="inlineStr">
        <is>
          <t>Самовывоз</t>
        </is>
      </c>
      <c r="B16" s="4">
        <f>COUNTIF('Отгрузка'!$E$17:$E$316,"Самовывоз")</f>
        <v/>
      </c>
      <c r="C16" s="26">
        <f>SUMIF('Отгрузка'!$E$17:$E$316,"Самовывоз",'Отгрузка'!$J$17:$J$316)</f>
        <v/>
      </c>
      <c r="D16" s="26">
        <f>SUMIF('Отгрузка'!$E$17:$E$316,"Самовывоз",'Отгрузка'!$L$17:$L$316)</f>
        <v/>
      </c>
      <c r="E16" s="26">
        <f>SUMIF('Отгрузка'!$E$17:$E$316,"Самовывоз",'Отгрузка'!$Q$17:$Q$316)</f>
        <v/>
      </c>
      <c r="F16" s="26">
        <f>SUMIF('Отгрузка'!$E$17:$E$316,"Самовывоз",'Отгрузка'!$R$17:$R$316)</f>
        <v/>
      </c>
      <c r="G16" s="26">
        <f>E16+F16</f>
        <v/>
      </c>
    </row>
    <row r="17">
      <c r="A17" s="4" t="inlineStr">
        <is>
          <t>не указано</t>
        </is>
      </c>
      <c r="B17" s="4">
        <f>COUNTIFS('Отгрузка'!$G$17:$G$316,"&lt;&gt;",'Отгрузка'!$E$17:$E$316,"")</f>
        <v/>
      </c>
      <c r="C17" s="26">
        <f>SUMIF('Отгрузка'!$E$17:$E$316,"",'Отгрузка'!$J$17:$J$316)</f>
        <v/>
      </c>
      <c r="D17" s="26">
        <f>SUMIF('Отгрузка'!$E$17:$E$316,"",'Отгрузка'!$L$17:$L$316)</f>
        <v/>
      </c>
      <c r="E17" s="26">
        <f>SUMIF('Отгрузка'!$E$17:$E$316,"",'Отгрузка'!$Q$17:$Q$316)</f>
        <v/>
      </c>
      <c r="F17" s="26">
        <f>SUMIF('Отгрузка'!$E$17:$E$316,"",'Отгрузка'!$R$17:$R$316)</f>
        <v/>
      </c>
      <c r="G17" s="26">
        <f>E17+F17</f>
        <v/>
      </c>
    </row>
    <row r="18">
      <c r="A18" s="6" t="inlineStr">
        <is>
          <t>ИТОГО</t>
        </is>
      </c>
      <c r="B18" s="25">
        <f>SUM(B13:B17)</f>
        <v/>
      </c>
      <c r="C18" s="25">
        <f>SUM(C13:C17)</f>
        <v/>
      </c>
      <c r="D18" s="25">
        <f>SUM(D13:D17)</f>
        <v/>
      </c>
      <c r="E18" s="25">
        <f>SUM(E13:E17)</f>
        <v/>
      </c>
      <c r="F18" s="25">
        <f>SUM(F13:F17)</f>
        <v/>
      </c>
      <c r="G18" s="25">
        <f>SUM(G13:G17)</f>
        <v/>
      </c>
    </row>
    <row r="20">
      <c r="A20" s="3" t="inlineStr">
        <is>
          <t>Доля доставки в цене</t>
        </is>
      </c>
    </row>
    <row r="21">
      <c r="A21" s="8" t="inlineStr">
        <is>
          <t>Товар без доставки, руб</t>
        </is>
      </c>
      <c r="B21" s="25">
        <f>SUM('Отгрузка'!$Q$17:$Q$316)</f>
        <v/>
      </c>
    </row>
    <row r="22">
      <c r="A22" s="8" t="inlineStr">
        <is>
          <t>Доставка, руб</t>
        </is>
      </c>
      <c r="B22" s="25">
        <f>SUM('Отгрузка'!$R$17:$R$316)</f>
        <v/>
      </c>
    </row>
    <row r="23">
      <c r="A23" s="8" t="inlineStr">
        <is>
          <t>Доставка в процентах от товара</t>
        </is>
      </c>
      <c r="B23" s="27">
        <f>IFERROR(SUM('Отгрузка'!$R$17:$R$316)/SUM('Отгрузка'!$Q$17:$Q$316),0)</f>
        <v/>
      </c>
    </row>
    <row r="24">
      <c r="A24" s="8" t="inlineStr">
        <is>
          <t>Доставка за килограмм в среднем, руб</t>
        </is>
      </c>
      <c r="B24" s="28">
        <f>IFERROR(SUM('Отгрузка'!$R$17:$R$316)/SUM('Отгрузка'!$L$17:$L$316),0)</f>
        <v/>
      </c>
    </row>
    <row r="25">
      <c r="A25" s="8" t="inlineStr">
        <is>
          <t>Всего с доставкой, руб</t>
        </is>
      </c>
      <c r="B25" s="25">
        <f>SUM('Отгрузка'!$Q$17:$Q$316)+SUM('Отгрузка'!$R$17:$R$316)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6" customWidth="1" min="3" max="3"/>
  </cols>
  <sheetData>
    <row r="1">
      <c r="A1" s="1" t="inlineStr">
        <is>
          <t>Как вести бланк</t>
        </is>
      </c>
    </row>
    <row r="3" ht="22" customHeight="1">
      <c r="A3" s="10" t="inlineStr">
        <is>
          <t>№</t>
        </is>
      </c>
      <c r="B3" s="10" t="inlineStr">
        <is>
          <t>Правило</t>
        </is>
      </c>
      <c r="C3" s="10" t="inlineStr">
        <is>
          <t>Почему так</t>
        </is>
      </c>
    </row>
    <row r="4" ht="50" customHeight="1">
      <c r="A4" s="18" t="n">
        <v>1</v>
      </c>
      <c r="B4" s="29" t="inlineStr">
        <is>
          <t>Одна строка — одна позиция одной отгрузки</t>
        </is>
      </c>
      <c r="C4" s="29" t="inlineStr">
        <is>
          <t>Канал, город и номер расписки стоят в самой строке, поэтому в файле спокойно живут и контейнер, и посылки транспортной компанией. Итоги считаются по каналам отдельно.</t>
        </is>
      </c>
    </row>
    <row r="5" ht="50" customHeight="1">
      <c r="A5" s="18" t="n">
        <v>2</v>
      </c>
      <c r="B5" s="29" t="inlineStr">
        <is>
          <t>Состояние ставим при погрузке</t>
        </is>
      </c>
      <c r="C5" s="29" t="inlineStr">
        <is>
          <t>Новое или б/у видно только тогда, когда позицию берут в руки и кладут в ящик. Потом по памяти это не восстановить. В учетных файлах состояние стоит только у 54 позиций из 810.</t>
        </is>
      </c>
    </row>
    <row r="6" ht="50" customHeight="1">
      <c r="A6" s="18" t="n">
        <v>3</v>
      </c>
      <c r="B6" s="29" t="inlineStr">
        <is>
          <t>Вес пишем по расписке, брутто</t>
        </is>
      </c>
      <c r="C6" s="29" t="inlineStr">
        <is>
          <t>Экспедитор считает деньги от веса вместе с тарой. По этому же весу разносим доставку. Заодно накапливаем настоящие веса: справочные цифры по задвижкам оказались завышены вдвое.</t>
        </is>
      </c>
    </row>
    <row r="7" ht="50" customHeight="1">
      <c r="A7" s="18" t="n">
        <v>4</v>
      </c>
      <c r="B7" s="29" t="inlineStr">
        <is>
          <t>Доставка за штуку считается от веса</t>
        </is>
      </c>
      <c r="C7" s="29" t="inlineStr">
        <is>
          <t>Разделите итог по расписке на общий вес груза — получится цена килограмма, умножьте на вес штуки. Блок для этого счета стоит вверху листа.</t>
        </is>
      </c>
    </row>
    <row r="8" ht="50" customHeight="1">
      <c r="A8" s="18" t="n">
        <v>5</v>
      </c>
      <c r="B8" s="29" t="inlineStr">
        <is>
          <t>Поровну на штуку разносить нельзя</t>
        </is>
      </c>
      <c r="C8" s="29" t="inlineStr">
        <is>
          <t>Задвижка Ду250 весит 220 кг, штуцерный клапан — килограмм. Если разделить доставку поровну, мелочь подорожает в разы, а тяжелая арматура уедет дешевле себестоимости.</t>
        </is>
      </c>
    </row>
    <row r="9" ht="50" customHeight="1">
      <c r="A9" s="18" t="n">
        <v>6</v>
      </c>
      <c r="B9" s="29" t="inlineStr">
        <is>
          <t>Перевозка — это не весь счет</t>
        </is>
      </c>
      <c r="C9" s="29" t="inlineStr">
        <is>
          <t>По расписке в Керчь перевозка 27 000 из 135 912, остальное организация перевозки. В Питер перевозка 7 852 из 47 225, плюс упаковка 6 150 и страховка 1 800. Считать надо по итогу.</t>
        </is>
      </c>
    </row>
    <row r="10" ht="50" customHeight="1">
      <c r="A10" s="18" t="n">
        <v>7</v>
      </c>
      <c r="B10" s="29" t="inlineStr">
        <is>
          <t>Цена с доставкой — это не цена продажи</t>
        </is>
      </c>
      <c r="C10" s="29" t="inlineStr">
        <is>
          <t>Это то, во что позиция обошлась на складе у покупателя. Цену ставим от нее, иначе тяжелое уедет в минус.</t>
        </is>
      </c>
    </row>
    <row r="11" ht="50" customHeight="1">
      <c r="A11" s="18" t="n">
        <v>8</v>
      </c>
      <c r="B11" s="29" t="inlineStr">
        <is>
          <t>Объявленная ценность — от нее страховка</t>
        </is>
      </c>
      <c r="C11" s="29" t="inlineStr">
        <is>
          <t>Занизите — страховка дешевле, но при бое получите гроши. Завысите — переплатите за страхование.</t>
        </is>
      </c>
    </row>
    <row r="12" ht="50" customHeight="1">
      <c r="A12" s="18" t="n">
        <v>9</v>
      </c>
      <c r="B12" s="29" t="inlineStr">
        <is>
          <t>Новое и б/у не смешиваем в одном месте</t>
        </is>
      </c>
      <c r="C12" s="29" t="inlineStr">
        <is>
          <t>Покупатель принимает груз по упаковочному листу. Если в ящике вперемешку, спор о состоянии придет на весь ящик.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2026-09-28T10:25:25Z</dcterms:created>
  <dcterms:modified xsi:type="dcterms:W3CDTF">2026-09-28T10:25:25Z</dcterms:modified>
</cp:coreProperties>
</file>
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считать" sheetId="1" state="visible" r:id="rId1"/>
    <sheet name="Считать первыми" sheetId="2" state="visible" r:id="rId2"/>
    <sheet name="Ведомость полная" sheetId="3" state="visible" r:id="rId3"/>
  </sheets>
  <definedNames>
    <definedName name="_xlnm._FilterDatabase" localSheetId="1" hidden="1">'Считать первыми'!$A$4:$M$83</definedName>
    <definedName name="_xlnm._FilterDatabase" localSheetId="2" hidden="1">'Ведомость полная'!$A$4:$M$749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00"/>
    </font>
    <font>
      <name val="Arial"/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FFFF0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95" customWidth="1" min="3" max="3"/>
  </cols>
  <sheetData>
    <row r="1">
      <c r="A1" s="1" t="inlineStr">
        <is>
          <t>Инвентаризация склада: правила</t>
        </is>
      </c>
    </row>
    <row r="2">
      <c r="A2" s="2" t="inlineStr">
        <is>
          <t>Учетные файлы последний раз сверялись 16.06.2025, прошло 15 месяцев. Все проданное за это время в них не отражено.</t>
        </is>
      </c>
    </row>
    <row r="4" ht="30" customHeight="1">
      <c r="A4" s="3" t="inlineStr">
        <is>
          <t>№</t>
        </is>
      </c>
      <c r="B4" s="3" t="inlineStr">
        <is>
          <t>Правило</t>
        </is>
      </c>
      <c r="C4" s="3" t="inlineStr">
        <is>
          <t>Почему</t>
        </is>
      </c>
    </row>
    <row r="5" ht="46" customHeight="1">
      <c r="A5" s="4" t="n">
        <v>1</v>
      </c>
      <c r="B5" s="5" t="inlineStr">
        <is>
          <t>Считаем по факту, а не по бумаге</t>
        </is>
      </c>
      <c r="C5" s="5" t="inlineStr">
        <is>
          <t>В колонку «Факт» пишем то, что реально лежит и посчитано руками. Если позиции нет — ставим 0, а не оставляем пусто. Пустая ячейка означает «еще не считали».</t>
        </is>
      </c>
    </row>
    <row r="6" ht="46" customHeight="1">
      <c r="A6" s="4" t="n">
        <v>2</v>
      </c>
      <c r="B6" s="5" t="inlineStr">
        <is>
          <t>Начинаем с дорогого</t>
        </is>
      </c>
      <c r="C6" s="5" t="inlineStr">
        <is>
          <t>Лист «Считать первыми» — позиции, которые дают 80% стоимости склада. Их пересчитываем в первую очередь: по ним уже готовятся объявления и коммерческие предложения.</t>
        </is>
      </c>
    </row>
    <row r="7" ht="46" customHeight="1">
      <c r="A7" s="4" t="n">
        <v>3</v>
      </c>
      <c r="B7" s="5" t="inlineStr">
        <is>
          <t>Одна позиция — один человек</t>
        </is>
      </c>
      <c r="C7" s="5" t="inlineStr">
        <is>
          <t>Кто считал и когда — обязательные колонки. Если потом всплывет расхождение, будет понятно, к кому идти с вопросом.</t>
        </is>
      </c>
    </row>
    <row r="8" ht="46" customHeight="1">
      <c r="A8" s="4" t="n">
        <v>4</v>
      </c>
      <c r="B8" s="5" t="inlineStr">
        <is>
          <t>Комплектность отмечаем отдельно</t>
        </is>
      </c>
      <c r="C8" s="5" t="inlineStr">
        <is>
          <t>Если позиция на месте, но разукомплектована или в браке — пишем это в комментарий. Такая позиция стоит дешевле и в КП идет иначе.</t>
        </is>
      </c>
    </row>
    <row r="9" ht="46" customHeight="1">
      <c r="A9" s="4" t="n">
        <v>5</v>
      </c>
      <c r="B9" s="5" t="inlineStr">
        <is>
          <t>Нашли то, чего нет в ведомости</t>
        </is>
      </c>
      <c r="C9" s="5" t="inlineStr">
        <is>
          <t>Дописываем новой строкой внизу: локация, наименование, количество. Учет неполный, часть товара может быть нигде не записана.</t>
        </is>
      </c>
    </row>
    <row r="10" ht="46" customHeight="1">
      <c r="A10" s="4" t="n">
        <v>6</v>
      </c>
      <c r="B10" s="5" t="inlineStr">
        <is>
          <t>Не считаем на глаз</t>
        </is>
      </c>
      <c r="C10" s="5" t="inlineStr">
        <is>
          <t>Светильники и мелкая арматура лежат коробками и ящиками. Пересчитываем коробки и содержимое одной коробки, дальше умножаем, и это отмечаем в комментарии.</t>
        </is>
      </c>
    </row>
    <row r="11" ht="46" customHeight="1">
      <c r="A11" s="4" t="n">
        <v>7</v>
      </c>
      <c r="B11" s="5" t="inlineStr">
        <is>
          <t>После инвентаризации фиксируем каждую отгрузку</t>
        </is>
      </c>
      <c r="C11" s="5" t="inlineStr">
        <is>
          <t>Причина расхождений в том, что продажи не заносились в файлы 15 месяцев. Дальше каждая отгрузка отмечается в тот же день, иначе через год повторится то же самое.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52" customWidth="1" min="4" max="4"/>
    <col width="20" customWidth="1" min="5" max="5"/>
    <col width="10" customWidth="1" min="6" max="6"/>
    <col width="9" customWidth="1" min="7" max="7"/>
    <col width="12" customWidth="1" min="8" max="8"/>
    <col width="14" customWidth="1" min="9" max="9"/>
    <col width="16" customWidth="1" min="10" max="10"/>
    <col width="14" customWidth="1" min="11" max="11"/>
    <col width="12" customWidth="1" min="12" max="12"/>
    <col width="30" customWidth="1" min="13" max="13"/>
  </cols>
  <sheetData>
    <row r="1">
      <c r="A1" s="1" t="inlineStr">
        <is>
          <t>Считать первыми: 80% стоимости склада</t>
        </is>
      </c>
    </row>
    <row r="2">
      <c r="A2" s="2" t="inlineStr">
        <is>
          <t>По этим позициям готовятся объявления и КП. Пока они не пересчитаны, публиковать нельзя.</t>
        </is>
      </c>
    </row>
    <row r="4" ht="30" customHeight="1">
      <c r="A4" s="3" t="inlineStr">
        <is>
          <t>№</t>
        </is>
      </c>
      <c r="B4" s="3" t="inlineStr">
        <is>
          <t>Локация</t>
        </is>
      </c>
      <c r="C4" s="3" t="inlineStr">
        <is>
          <t>Место в файле</t>
        </is>
      </c>
      <c r="D4" s="3" t="inlineStr">
        <is>
          <t>Наименование</t>
        </is>
      </c>
      <c r="E4" s="3" t="inlineStr">
        <is>
          <t>Чертеж</t>
        </is>
      </c>
      <c r="F4" s="3" t="inlineStr">
        <is>
          <t>Числится</t>
        </is>
      </c>
      <c r="G4" s="3" t="inlineStr">
        <is>
          <t>Факт</t>
        </is>
      </c>
      <c r="H4" s="3" t="inlineStr">
        <is>
          <t>Расхождение</t>
        </is>
      </c>
      <c r="I4" s="3" t="inlineStr">
        <is>
          <t>Цена за ед., руб</t>
        </is>
      </c>
      <c r="J4" s="3" t="inlineStr">
        <is>
          <t>Сумма расхождения</t>
        </is>
      </c>
      <c r="K4" s="3" t="inlineStr">
        <is>
          <t>Кто считал</t>
        </is>
      </c>
      <c r="L4" s="3" t="inlineStr">
        <is>
          <t>Дата</t>
        </is>
      </c>
      <c r="M4" s="3" t="inlineStr">
        <is>
          <t>Комментарий</t>
        </is>
      </c>
    </row>
    <row r="5">
      <c r="A5" s="4" t="n">
        <v>1</v>
      </c>
      <c r="B5" s="6" t="inlineStr">
        <is>
          <t>Менеджерская</t>
        </is>
      </c>
      <c r="C5" s="4" t="inlineStr">
        <is>
          <t>Клапан штуцерный проходной Ду6 Ру100</t>
        </is>
      </c>
      <c r="D5" s="7" t="inlineStr">
        <is>
          <t>Клапан штуцерный проходной Ду 10 Ру40 (СУНДУК)</t>
        </is>
      </c>
      <c r="E5" s="4" t="inlineStr">
        <is>
          <t>521-01.471-01</t>
        </is>
      </c>
      <c r="F5" s="4" t="n">
        <v>798</v>
      </c>
      <c r="G5" s="8" t="n"/>
      <c r="H5" s="4">
        <f>IF(G5="","",G5-F5)</f>
        <v/>
      </c>
      <c r="I5" s="9" t="n">
        <v>9000</v>
      </c>
      <c r="J5" s="9">
        <f>IF(G5="","",H5*I5)</f>
        <v/>
      </c>
      <c r="K5" s="8" t="inlineStr"/>
      <c r="L5" s="8" t="inlineStr"/>
      <c r="M5" s="10" t="inlineStr"/>
    </row>
    <row r="6">
      <c r="A6" s="4" t="n">
        <v>2</v>
      </c>
      <c r="B6" s="6" t="inlineStr">
        <is>
          <t>Контейнер 2</t>
        </is>
      </c>
      <c r="C6" s="4" t="inlineStr"/>
      <c r="D6" s="7" t="inlineStr">
        <is>
          <t>Иллюминатор круглый в сборе Ф300мм створчатый</t>
        </is>
      </c>
      <c r="E6" s="4" t="inlineStr"/>
      <c r="F6" s="4" t="n">
        <v>70</v>
      </c>
      <c r="G6" s="8" t="n"/>
      <c r="H6" s="4">
        <f>IF(G6="","",G6-F6)</f>
        <v/>
      </c>
      <c r="I6" s="9" t="n">
        <v>90000</v>
      </c>
      <c r="J6" s="9">
        <f>IF(G6="","",H6*I6)</f>
        <v/>
      </c>
      <c r="K6" s="8" t="inlineStr"/>
      <c r="L6" s="8" t="inlineStr"/>
      <c r="M6" s="10" t="inlineStr"/>
    </row>
    <row r="7">
      <c r="A7" s="4" t="n">
        <v>3</v>
      </c>
      <c r="B7" s="6" t="inlineStr">
        <is>
          <t>Фойе</t>
        </is>
      </c>
      <c r="C7" s="4" t="inlineStr">
        <is>
          <t>Клапан проходной штуцерный Ду32</t>
        </is>
      </c>
      <c r="D7" s="7" t="inlineStr">
        <is>
          <t>Клинкет Ду 300</t>
        </is>
      </c>
      <c r="E7" s="4" t="inlineStr"/>
      <c r="F7" s="4" t="n">
        <v>16</v>
      </c>
      <c r="G7" s="8" t="n"/>
      <c r="H7" s="4">
        <f>IF(G7="","",G7-F7)</f>
        <v/>
      </c>
      <c r="I7" s="9" t="n">
        <v>250000</v>
      </c>
      <c r="J7" s="9">
        <f>IF(G7="","",H7*I7)</f>
        <v/>
      </c>
      <c r="K7" s="8" t="inlineStr"/>
      <c r="L7" s="8" t="inlineStr"/>
      <c r="M7" s="10" t="inlineStr"/>
    </row>
    <row r="8">
      <c r="A8" s="4" t="n">
        <v>4</v>
      </c>
      <c r="B8" s="6" t="inlineStr">
        <is>
          <t>Склад 2</t>
        </is>
      </c>
      <c r="C8" s="4" t="inlineStr">
        <is>
          <t>Регулятор РТНД</t>
        </is>
      </c>
      <c r="D8" s="7" t="inlineStr">
        <is>
          <t>Регулятор РТНД-150</t>
        </is>
      </c>
      <c r="E8" s="4" t="inlineStr"/>
      <c r="F8" s="4" t="n">
        <v>3</v>
      </c>
      <c r="G8" s="8" t="n"/>
      <c r="H8" s="4">
        <f>IF(G8="","",G8-F8)</f>
        <v/>
      </c>
      <c r="I8" s="9" t="n">
        <v>1150000</v>
      </c>
      <c r="J8" s="9">
        <f>IF(G8="","",H8*I8)</f>
        <v/>
      </c>
      <c r="K8" s="8" t="inlineStr"/>
      <c r="L8" s="8" t="inlineStr"/>
      <c r="M8" s="10" t="inlineStr"/>
    </row>
    <row r="9">
      <c r="A9" s="4" t="n">
        <v>5</v>
      </c>
      <c r="B9" s="6" t="inlineStr">
        <is>
          <t>Фойе</t>
        </is>
      </c>
      <c r="C9" s="4" t="inlineStr"/>
      <c r="D9" s="7" t="inlineStr">
        <is>
          <t>Светильник СС328 220V без амортизаторов (китай) 2-й приход</t>
        </is>
      </c>
      <c r="E9" s="4" t="inlineStr"/>
      <c r="F9" s="4" t="n">
        <v>1857</v>
      </c>
      <c r="G9" s="8" t="n"/>
      <c r="H9" s="4">
        <f>IF(G9="","",G9-F9)</f>
        <v/>
      </c>
      <c r="I9" s="9" t="n">
        <v>1533</v>
      </c>
      <c r="J9" s="9">
        <f>IF(G9="","",H9*I9)</f>
        <v/>
      </c>
      <c r="K9" s="8" t="inlineStr"/>
      <c r="L9" s="8" t="inlineStr"/>
      <c r="M9" s="10" t="inlineStr"/>
    </row>
    <row r="10">
      <c r="A10" s="4" t="n">
        <v>6</v>
      </c>
      <c r="B10" s="6" t="inlineStr">
        <is>
          <t>Склад 1А/1Б</t>
        </is>
      </c>
      <c r="C10" s="4" t="inlineStr"/>
      <c r="D10" s="7" t="inlineStr">
        <is>
          <t>Задвижка клинкетная Ду 250</t>
        </is>
      </c>
      <c r="E10" s="4" t="inlineStr"/>
      <c r="F10" s="4" t="n">
        <v>17</v>
      </c>
      <c r="G10" s="8" t="n"/>
      <c r="H10" s="4">
        <f>IF(G10="","",G10-F10)</f>
        <v/>
      </c>
      <c r="I10" s="9" t="n">
        <v>150000</v>
      </c>
      <c r="J10" s="9">
        <f>IF(G10="","",H10*I10)</f>
        <v/>
      </c>
      <c r="K10" s="8" t="inlineStr"/>
      <c r="L10" s="8" t="inlineStr"/>
      <c r="M10" s="10" t="inlineStr"/>
    </row>
    <row r="11">
      <c r="A11" s="4" t="n">
        <v>7</v>
      </c>
      <c r="B11" s="6" t="inlineStr">
        <is>
          <t>Гараж 1</t>
        </is>
      </c>
      <c r="C11" s="4" t="inlineStr"/>
      <c r="D11" s="7" t="inlineStr">
        <is>
          <t>Насос НЦВ 100/80</t>
        </is>
      </c>
      <c r="E11" s="4" t="inlineStr"/>
      <c r="F11" s="4" t="n">
        <v>1</v>
      </c>
      <c r="G11" s="8" t="n"/>
      <c r="H11" s="4">
        <f>IF(G11="","",G11-F11)</f>
        <v/>
      </c>
      <c r="I11" s="9" t="n">
        <v>2000000</v>
      </c>
      <c r="J11" s="9">
        <f>IF(G11="","",H11*I11)</f>
        <v/>
      </c>
      <c r="K11" s="8" t="inlineStr"/>
      <c r="L11" s="8" t="inlineStr"/>
      <c r="M11" s="10" t="inlineStr"/>
    </row>
    <row r="12">
      <c r="A12" s="4" t="n">
        <v>8</v>
      </c>
      <c r="B12" s="6" t="inlineStr">
        <is>
          <t>Фойе</t>
        </is>
      </c>
      <c r="C12" s="4" t="inlineStr">
        <is>
          <t>Клапан проходной штуцерный Ду32</t>
        </is>
      </c>
      <c r="D12" s="7" t="inlineStr">
        <is>
          <t>Фильтр забортной воды Ду200 Большой</t>
        </is>
      </c>
      <c r="E12" s="4" t="inlineStr"/>
      <c r="F12" s="4" t="n">
        <v>8</v>
      </c>
      <c r="G12" s="8" t="n"/>
      <c r="H12" s="4">
        <f>IF(G12="","",G12-F12)</f>
        <v/>
      </c>
      <c r="I12" s="9" t="n">
        <v>250000</v>
      </c>
      <c r="J12" s="9">
        <f>IF(G12="","",H12*I12)</f>
        <v/>
      </c>
      <c r="K12" s="8" t="inlineStr"/>
      <c r="L12" s="8" t="inlineStr"/>
      <c r="M12" s="10" t="inlineStr"/>
    </row>
    <row r="13">
      <c r="A13" s="4" t="n">
        <v>9</v>
      </c>
      <c r="B13" s="6" t="inlineStr">
        <is>
          <t>Склад 1А/1Б</t>
        </is>
      </c>
      <c r="C13" s="4" t="inlineStr"/>
      <c r="D13" s="7" t="inlineStr">
        <is>
          <t>Клапан фланцевый проходной Ду50 Ру 10 + ДУ 50 Ру 25</t>
        </is>
      </c>
      <c r="E13" s="4" t="inlineStr"/>
      <c r="F13" s="4" t="n">
        <v>98</v>
      </c>
      <c r="G13" s="8" t="n"/>
      <c r="H13" s="4">
        <f>IF(G13="","",G13-F13)</f>
        <v/>
      </c>
      <c r="I13" s="9" t="n">
        <v>20000</v>
      </c>
      <c r="J13" s="9">
        <f>IF(G13="","",H13*I13)</f>
        <v/>
      </c>
      <c r="K13" s="8" t="inlineStr"/>
      <c r="L13" s="8" t="inlineStr"/>
      <c r="M13" s="10" t="inlineStr"/>
    </row>
    <row r="14">
      <c r="A14" s="4" t="n">
        <v>10</v>
      </c>
      <c r="B14" s="6" t="inlineStr">
        <is>
          <t>Фойе</t>
        </is>
      </c>
      <c r="C14" s="4" t="inlineStr">
        <is>
          <t>Клапан проходной штуцерный Ду32</t>
        </is>
      </c>
      <c r="D14" s="7" t="inlineStr">
        <is>
          <t>Клинкет Ду 200</t>
        </is>
      </c>
      <c r="E14" s="4" t="inlineStr"/>
      <c r="F14" s="4" t="n">
        <v>11</v>
      </c>
      <c r="G14" s="8" t="n"/>
      <c r="H14" s="4">
        <f>IF(G14="","",G14-F14)</f>
        <v/>
      </c>
      <c r="I14" s="9" t="n">
        <v>150000</v>
      </c>
      <c r="J14" s="9">
        <f>IF(G14="","",H14*I14)</f>
        <v/>
      </c>
      <c r="K14" s="8" t="inlineStr"/>
      <c r="L14" s="8" t="inlineStr"/>
      <c r="M14" s="10" t="inlineStr"/>
    </row>
    <row r="15">
      <c r="A15" s="4" t="n">
        <v>11</v>
      </c>
      <c r="B15" s="6" t="inlineStr">
        <is>
          <t>Склад 3</t>
        </is>
      </c>
      <c r="C15" s="4" t="inlineStr">
        <is>
          <t>Задвижка клинкетная(бронза)</t>
        </is>
      </c>
      <c r="D15" s="7" t="inlineStr">
        <is>
          <t>Задвижка клинкетная Ду100</t>
        </is>
      </c>
      <c r="E15" s="4" t="inlineStr"/>
      <c r="F15" s="4" t="n">
        <v>43</v>
      </c>
      <c r="G15" s="8" t="n"/>
      <c r="H15" s="4">
        <f>IF(G15="","",G15-F15)</f>
        <v/>
      </c>
      <c r="I15" s="9" t="n">
        <v>38000</v>
      </c>
      <c r="J15" s="9">
        <f>IF(G15="","",H15*I15)</f>
        <v/>
      </c>
      <c r="K15" s="8" t="inlineStr"/>
      <c r="L15" s="8" t="inlineStr"/>
      <c r="M15" s="10" t="inlineStr"/>
    </row>
    <row r="16">
      <c r="A16" s="4" t="n">
        <v>12</v>
      </c>
      <c r="B16" s="6" t="inlineStr">
        <is>
          <t>Фойе</t>
        </is>
      </c>
      <c r="C16" s="4" t="inlineStr">
        <is>
          <t>Насосы</t>
        </is>
      </c>
      <c r="D16" s="7" t="inlineStr">
        <is>
          <t>Насос НЦВ 40/20</t>
        </is>
      </c>
      <c r="E16" s="4" t="inlineStr"/>
      <c r="F16" s="4" t="n">
        <v>4</v>
      </c>
      <c r="G16" s="8" t="n"/>
      <c r="H16" s="4">
        <f>IF(G16="","",G16-F16)</f>
        <v/>
      </c>
      <c r="I16" s="9" t="n">
        <v>400000</v>
      </c>
      <c r="J16" s="9">
        <f>IF(G16="","",H16*I16)</f>
        <v/>
      </c>
      <c r="K16" s="8" t="inlineStr"/>
      <c r="L16" s="8" t="inlineStr"/>
      <c r="M16" s="10" t="inlineStr"/>
    </row>
    <row r="17">
      <c r="A17" s="4" t="n">
        <v>13</v>
      </c>
      <c r="B17" s="6" t="inlineStr">
        <is>
          <t>Фойе</t>
        </is>
      </c>
      <c r="C17" s="4" t="inlineStr"/>
      <c r="D17" s="7" t="inlineStr">
        <is>
          <t>Светильник СС328 с амортизаторами (китай) 1-й приход</t>
        </is>
      </c>
      <c r="E17" s="4" t="inlineStr"/>
      <c r="F17" s="4" t="n">
        <v>967</v>
      </c>
      <c r="G17" s="8" t="n"/>
      <c r="H17" s="4">
        <f>IF(G17="","",G17-F17)</f>
        <v/>
      </c>
      <c r="I17" s="9" t="n">
        <v>1600</v>
      </c>
      <c r="J17" s="9">
        <f>IF(G17="","",H17*I17)</f>
        <v/>
      </c>
      <c r="K17" s="8" t="inlineStr"/>
      <c r="L17" s="8" t="inlineStr"/>
      <c r="M17" s="10" t="inlineStr"/>
    </row>
    <row r="18">
      <c r="A18" s="4" t="n">
        <v>14</v>
      </c>
      <c r="B18" s="6" t="inlineStr">
        <is>
          <t>Склад 3</t>
        </is>
      </c>
      <c r="C18" s="4" t="inlineStr">
        <is>
          <t>Клапана фланцевые проходные</t>
        </is>
      </c>
      <c r="D18" s="7" t="inlineStr">
        <is>
          <t>Клапан фланцевый проходной Ду50</t>
        </is>
      </c>
      <c r="E18" s="4" t="inlineStr"/>
      <c r="F18" s="4" t="n">
        <v>66</v>
      </c>
      <c r="G18" s="8" t="n"/>
      <c r="H18" s="4">
        <f>IF(G18="","",G18-F18)</f>
        <v/>
      </c>
      <c r="I18" s="9" t="n">
        <v>22500</v>
      </c>
      <c r="J18" s="9">
        <f>IF(G18="","",H18*I18)</f>
        <v/>
      </c>
      <c r="K18" s="8" t="inlineStr"/>
      <c r="L18" s="8" t="inlineStr"/>
      <c r="M18" s="10" t="inlineStr"/>
    </row>
    <row r="19">
      <c r="A19" s="4" t="n">
        <v>15</v>
      </c>
      <c r="B19" s="6" t="inlineStr">
        <is>
          <t>Фойе</t>
        </is>
      </c>
      <c r="C19" s="4" t="inlineStr">
        <is>
          <t>Насосы</t>
        </is>
      </c>
      <c r="D19" s="7" t="inlineStr">
        <is>
          <t>НЦВС 40/20</t>
        </is>
      </c>
      <c r="E19" s="4" t="inlineStr"/>
      <c r="F19" s="4" t="n">
        <v>3</v>
      </c>
      <c r="G19" s="8" t="n"/>
      <c r="H19" s="4">
        <f>IF(G19="","",G19-F19)</f>
        <v/>
      </c>
      <c r="I19" s="9" t="n">
        <v>400000</v>
      </c>
      <c r="J19" s="9">
        <f>IF(G19="","",H19*I19)</f>
        <v/>
      </c>
      <c r="K19" s="8" t="inlineStr"/>
      <c r="L19" s="8" t="inlineStr"/>
      <c r="M19" s="10" t="inlineStr"/>
    </row>
    <row r="20">
      <c r="A20" s="4" t="n">
        <v>16</v>
      </c>
      <c r="B20" s="6" t="inlineStr">
        <is>
          <t>Фойе</t>
        </is>
      </c>
      <c r="C20" s="4" t="inlineStr">
        <is>
          <t>Насосы</t>
        </is>
      </c>
      <c r="D20" s="7" t="inlineStr">
        <is>
          <t>НЦВ 100/20 двиг. 2ДМШН 160МА2 11кВт 2880об/м</t>
        </is>
      </c>
      <c r="E20" s="4" t="inlineStr"/>
      <c r="F20" s="4" t="n">
        <v>2</v>
      </c>
      <c r="G20" s="8" t="n"/>
      <c r="H20" s="4">
        <f>IF(G20="","",G20-F20)</f>
        <v/>
      </c>
      <c r="I20" s="9" t="n">
        <v>550000</v>
      </c>
      <c r="J20" s="9">
        <f>IF(G20="","",H20*I20)</f>
        <v/>
      </c>
      <c r="K20" s="8" t="inlineStr"/>
      <c r="L20" s="8" t="inlineStr"/>
      <c r="M20" s="10" t="inlineStr"/>
    </row>
    <row r="21">
      <c r="A21" s="4" t="n">
        <v>17</v>
      </c>
      <c r="B21" s="6" t="inlineStr">
        <is>
          <t>Фойе</t>
        </is>
      </c>
      <c r="C21" s="4" t="inlineStr"/>
      <c r="D21" s="7" t="inlineStr">
        <is>
          <t>Светильник СС328 127V без амортизаторов (китай) 2-й приход</t>
        </is>
      </c>
      <c r="E21" s="4" t="inlineStr"/>
      <c r="F21" s="4" t="n">
        <v>715</v>
      </c>
      <c r="G21" s="8" t="n"/>
      <c r="H21" s="4">
        <f>IF(G21="","",G21-F21)</f>
        <v/>
      </c>
      <c r="I21" s="9" t="n">
        <v>1533</v>
      </c>
      <c r="J21" s="9">
        <f>IF(G21="","",H21*I21)</f>
        <v/>
      </c>
      <c r="K21" s="8" t="inlineStr"/>
      <c r="L21" s="8" t="inlineStr"/>
      <c r="M21" s="10" t="inlineStr"/>
    </row>
    <row r="22">
      <c r="A22" s="4" t="n">
        <v>18</v>
      </c>
      <c r="B22" s="6" t="inlineStr">
        <is>
          <t>Склад 1А/1Б</t>
        </is>
      </c>
      <c r="C22" s="4" t="inlineStr"/>
      <c r="D22" s="7" t="inlineStr">
        <is>
          <t>Задвижка клинкетная Ду 80 БРОНЗА</t>
        </is>
      </c>
      <c r="E22" s="4" t="inlineStr"/>
      <c r="F22" s="4" t="n">
        <v>44</v>
      </c>
      <c r="G22" s="8" t="n"/>
      <c r="H22" s="4">
        <f>IF(G22="","",G22-F22)</f>
        <v/>
      </c>
      <c r="I22" s="9" t="n">
        <v>24000</v>
      </c>
      <c r="J22" s="9">
        <f>IF(G22="","",H22*I22)</f>
        <v/>
      </c>
      <c r="K22" s="8" t="inlineStr"/>
      <c r="L22" s="8" t="inlineStr"/>
      <c r="M22" s="10" t="inlineStr"/>
    </row>
    <row r="23">
      <c r="A23" s="4" t="n">
        <v>19</v>
      </c>
      <c r="B23" s="6" t="inlineStr">
        <is>
          <t>Склад 3</t>
        </is>
      </c>
      <c r="C23" s="4" t="inlineStr">
        <is>
          <t>Клапан штуцерный проходной</t>
        </is>
      </c>
      <c r="D23" s="7" t="inlineStr">
        <is>
          <t>Клапан штуцерный проходной Ду 25 (Китай)</t>
        </is>
      </c>
      <c r="E23" s="4" t="inlineStr"/>
      <c r="F23" s="4" t="n">
        <v>79</v>
      </c>
      <c r="G23" s="8" t="n"/>
      <c r="H23" s="4">
        <f>IF(G23="","",G23-F23)</f>
        <v/>
      </c>
      <c r="I23" s="9" t="n">
        <v>10000</v>
      </c>
      <c r="J23" s="9">
        <f>IF(G23="","",H23*I23)</f>
        <v/>
      </c>
      <c r="K23" s="8" t="inlineStr"/>
      <c r="L23" s="8" t="inlineStr"/>
      <c r="M23" s="10" t="inlineStr"/>
    </row>
    <row r="24">
      <c r="A24" s="4" t="n">
        <v>20</v>
      </c>
      <c r="B24" s="6" t="inlineStr">
        <is>
          <t>Контейнер 2</t>
        </is>
      </c>
      <c r="C24" s="4" t="inlineStr"/>
      <c r="D24" s="7" t="inlineStr">
        <is>
          <t>Блокформы LBH немец.круглые (отверстие посредине)</t>
        </is>
      </c>
      <c r="E24" s="4" t="inlineStr"/>
      <c r="F24" s="4" t="n">
        <v>71</v>
      </c>
      <c r="G24" s="8" t="n"/>
      <c r="H24" s="4">
        <f>IF(G24="","",G24-F24)</f>
        <v/>
      </c>
      <c r="I24" s="9" t="n">
        <v>11000</v>
      </c>
      <c r="J24" s="9">
        <f>IF(G24="","",H24*I24)</f>
        <v/>
      </c>
      <c r="K24" s="8" t="inlineStr"/>
      <c r="L24" s="8" t="inlineStr"/>
      <c r="M24" s="10" t="inlineStr"/>
    </row>
    <row r="25">
      <c r="A25" s="4" t="n">
        <v>21</v>
      </c>
      <c r="B25" s="6" t="inlineStr">
        <is>
          <t>Склад 2</t>
        </is>
      </c>
      <c r="C25" s="4" t="inlineStr">
        <is>
          <t>Барабан</t>
        </is>
      </c>
      <c r="D25" s="7" t="inlineStr">
        <is>
          <t>Барабан СЦ-1,5 (новые)</t>
        </is>
      </c>
      <c r="E25" s="4" t="inlineStr"/>
      <c r="F25" s="4" t="n">
        <v>5</v>
      </c>
      <c r="G25" s="8" t="n"/>
      <c r="H25" s="4">
        <f>IF(G25="","",G25-F25)</f>
        <v/>
      </c>
      <c r="I25" s="9" t="n">
        <v>156000</v>
      </c>
      <c r="J25" s="9">
        <f>IF(G25="","",H25*I25)</f>
        <v/>
      </c>
      <c r="K25" s="8" t="inlineStr"/>
      <c r="L25" s="8" t="inlineStr"/>
      <c r="M25" s="10" t="inlineStr"/>
    </row>
    <row r="26">
      <c r="A26" s="4" t="n">
        <v>22</v>
      </c>
      <c r="B26" s="6" t="inlineStr">
        <is>
          <t>Склад 2</t>
        </is>
      </c>
      <c r="C26" s="4" t="inlineStr">
        <is>
          <t>Клапан педальный</t>
        </is>
      </c>
      <c r="D26" s="7" t="inlineStr">
        <is>
          <t>Клапан педальный Ду25 Китай</t>
        </is>
      </c>
      <c r="E26" s="4" t="inlineStr">
        <is>
          <t>М528-03.001</t>
        </is>
      </c>
      <c r="F26" s="4" t="n">
        <v>62</v>
      </c>
      <c r="G26" s="8" t="n"/>
      <c r="H26" s="4">
        <f>IF(G26="","",G26-F26)</f>
        <v/>
      </c>
      <c r="I26" s="9" t="n">
        <v>12500</v>
      </c>
      <c r="J26" s="9">
        <f>IF(G26="","",H26*I26)</f>
        <v/>
      </c>
      <c r="K26" s="8" t="inlineStr"/>
      <c r="L26" s="8" t="inlineStr"/>
      <c r="M26" s="10" t="inlineStr"/>
    </row>
    <row r="27">
      <c r="A27" s="4" t="n">
        <v>23</v>
      </c>
      <c r="B27" s="6" t="inlineStr">
        <is>
          <t>Менеджерская</t>
        </is>
      </c>
      <c r="C27" s="4" t="inlineStr">
        <is>
          <t>Клапан штуцерный угловой Ду6Ру100</t>
        </is>
      </c>
      <c r="D27" s="7" t="inlineStr">
        <is>
          <t>Датчик ДТ-6</t>
        </is>
      </c>
      <c r="E27" s="4" t="inlineStr"/>
      <c r="F27" s="4" t="n">
        <v>3</v>
      </c>
      <c r="G27" s="8" t="n"/>
      <c r="H27" s="4">
        <f>IF(G27="","",G27-F27)</f>
        <v/>
      </c>
      <c r="I27" s="9" t="n">
        <v>250000</v>
      </c>
      <c r="J27" s="9">
        <f>IF(G27="","",H27*I27)</f>
        <v/>
      </c>
      <c r="K27" s="8" t="inlineStr"/>
      <c r="L27" s="8" t="inlineStr"/>
      <c r="M27" s="10" t="inlineStr"/>
    </row>
    <row r="28">
      <c r="A28" s="4" t="n">
        <v>24</v>
      </c>
      <c r="B28" s="6" t="inlineStr">
        <is>
          <t>Склад 3</t>
        </is>
      </c>
      <c r="C28" s="4" t="inlineStr">
        <is>
          <t>Клапан штуцерный проходной</t>
        </is>
      </c>
      <c r="D28" s="7" t="inlineStr">
        <is>
          <t>Клапан штуцерный проходной Ду 20</t>
        </is>
      </c>
      <c r="E28" s="4" t="inlineStr"/>
      <c r="F28" s="4" t="n">
        <v>100</v>
      </c>
      <c r="G28" s="8" t="n"/>
      <c r="H28" s="4">
        <f>IF(G28="","",G28-F28)</f>
        <v/>
      </c>
      <c r="I28" s="9" t="n">
        <v>7500</v>
      </c>
      <c r="J28" s="9">
        <f>IF(G28="","",H28*I28)</f>
        <v/>
      </c>
      <c r="K28" s="8" t="inlineStr"/>
      <c r="L28" s="8" t="inlineStr"/>
      <c r="M28" s="10" t="inlineStr"/>
    </row>
    <row r="29">
      <c r="A29" s="4" t="n">
        <v>25</v>
      </c>
      <c r="B29" s="6" t="inlineStr">
        <is>
          <t>Фойе</t>
        </is>
      </c>
      <c r="C29" s="4" t="inlineStr">
        <is>
          <t>Клапан проходной штуцерный Ду32</t>
        </is>
      </c>
      <c r="D29" s="7" t="inlineStr">
        <is>
          <t>Фильтр заборной воды ДУ 150</t>
        </is>
      </c>
      <c r="E29" s="4" t="inlineStr"/>
      <c r="F29" s="4" t="n">
        <v>5</v>
      </c>
      <c r="G29" s="8" t="n"/>
      <c r="H29" s="4">
        <f>IF(G29="","",G29-F29)</f>
        <v/>
      </c>
      <c r="I29" s="9" t="n">
        <v>150000</v>
      </c>
      <c r="J29" s="9">
        <f>IF(G29="","",H29*I29)</f>
        <v/>
      </c>
      <c r="K29" s="8" t="inlineStr"/>
      <c r="L29" s="8" t="inlineStr"/>
      <c r="M29" s="10" t="inlineStr"/>
    </row>
    <row r="30">
      <c r="A30" s="4" t="n">
        <v>26</v>
      </c>
      <c r="B30" s="6" t="inlineStr">
        <is>
          <t>Гараж 2</t>
        </is>
      </c>
      <c r="C30" s="4" t="inlineStr"/>
      <c r="D30" s="7" t="inlineStr">
        <is>
          <t>Дверь легкая 1750*650 левая без иллюминатора</t>
        </is>
      </c>
      <c r="E30" s="4" t="inlineStr"/>
      <c r="F30" s="4" t="n">
        <v>23</v>
      </c>
      <c r="G30" s="8" t="n"/>
      <c r="H30" s="4">
        <f>IF(G30="","",G30-F30)</f>
        <v/>
      </c>
      <c r="I30" s="9" t="n">
        <v>30000</v>
      </c>
      <c r="J30" s="9">
        <f>IF(G30="","",H30*I30)</f>
        <v/>
      </c>
      <c r="K30" s="8" t="inlineStr"/>
      <c r="L30" s="8" t="inlineStr"/>
      <c r="M30" s="10" t="inlineStr"/>
    </row>
    <row r="31">
      <c r="A31" s="4" t="n">
        <v>27</v>
      </c>
      <c r="B31" s="6" t="inlineStr">
        <is>
          <t>Склад 3</t>
        </is>
      </c>
      <c r="C31" s="4" t="inlineStr">
        <is>
          <t>Клапана фланцевые проходные</t>
        </is>
      </c>
      <c r="D31" s="7" t="inlineStr">
        <is>
          <t>Клапан фланцевый проходной Ду65</t>
        </is>
      </c>
      <c r="E31" s="4" t="inlineStr"/>
      <c r="F31" s="4" t="n">
        <v>25</v>
      </c>
      <c r="G31" s="8" t="n"/>
      <c r="H31" s="4">
        <f>IF(G31="","",G31-F31)</f>
        <v/>
      </c>
      <c r="I31" s="9" t="n">
        <v>27000</v>
      </c>
      <c r="J31" s="9">
        <f>IF(G31="","",H31*I31)</f>
        <v/>
      </c>
      <c r="K31" s="8" t="inlineStr"/>
      <c r="L31" s="8" t="inlineStr"/>
      <c r="M31" s="10" t="inlineStr"/>
    </row>
    <row r="32">
      <c r="A32" s="4" t="n">
        <v>28</v>
      </c>
      <c r="B32" s="6" t="inlineStr">
        <is>
          <t>Склад 3</t>
        </is>
      </c>
      <c r="C32" s="4" t="inlineStr">
        <is>
          <t>Коробка 2-х клапановая фланцевая</t>
        </is>
      </c>
      <c r="D32" s="7" t="inlineStr">
        <is>
          <t>Коробка 2-х клапановая фланцевая Ду80</t>
        </is>
      </c>
      <c r="E32" s="4" t="inlineStr"/>
      <c r="F32" s="4" t="n">
        <v>15</v>
      </c>
      <c r="G32" s="8" t="n"/>
      <c r="H32" s="4">
        <f>IF(G32="","",G32-F32)</f>
        <v/>
      </c>
      <c r="I32" s="9" t="n">
        <v>44000</v>
      </c>
      <c r="J32" s="9">
        <f>IF(G32="","",H32*I32)</f>
        <v/>
      </c>
      <c r="K32" s="8" t="inlineStr"/>
      <c r="L32" s="8" t="inlineStr"/>
      <c r="M32" s="10" t="inlineStr"/>
    </row>
    <row r="33">
      <c r="A33" s="4" t="n">
        <v>29</v>
      </c>
      <c r="B33" s="6" t="inlineStr">
        <is>
          <t>Склад 3</t>
        </is>
      </c>
      <c r="C33" s="4" t="inlineStr">
        <is>
          <t>ЭЛЕКТРИКА</t>
        </is>
      </c>
      <c r="D33" s="7" t="inlineStr">
        <is>
          <t>Автомат.выключ. АК 50 3МГ 10А</t>
        </is>
      </c>
      <c r="E33" s="4" t="inlineStr">
        <is>
          <t>140</t>
        </is>
      </c>
      <c r="F33" s="4" t="n">
        <v>140</v>
      </c>
      <c r="G33" s="8" t="n"/>
      <c r="H33" s="4">
        <f>IF(G33="","",G33-F33)</f>
        <v/>
      </c>
      <c r="I33" s="9" t="n">
        <v>4682</v>
      </c>
      <c r="J33" s="9">
        <f>IF(G33="","",H33*I33)</f>
        <v/>
      </c>
      <c r="K33" s="8" t="inlineStr"/>
      <c r="L33" s="8" t="inlineStr"/>
      <c r="M33" s="10" t="inlineStr"/>
    </row>
    <row r="34">
      <c r="A34" s="4" t="n">
        <v>30</v>
      </c>
      <c r="B34" s="6" t="inlineStr">
        <is>
          <t>Фойе</t>
        </is>
      </c>
      <c r="C34" s="4" t="inlineStr"/>
      <c r="D34" s="7" t="inlineStr">
        <is>
          <t>Сепаратор СЦ -3 с двигателем б/у</t>
        </is>
      </c>
      <c r="E34" s="4" t="inlineStr"/>
      <c r="F34" s="4" t="n">
        <v>1</v>
      </c>
      <c r="G34" s="8" t="n"/>
      <c r="H34" s="4">
        <f>IF(G34="","",G34-F34)</f>
        <v/>
      </c>
      <c r="I34" s="9" t="n">
        <v>650000</v>
      </c>
      <c r="J34" s="9">
        <f>IF(G34="","",H34*I34)</f>
        <v/>
      </c>
      <c r="K34" s="8" t="inlineStr"/>
      <c r="L34" s="8" t="inlineStr"/>
      <c r="M34" s="10" t="inlineStr"/>
    </row>
    <row r="35">
      <c r="A35" s="4" t="n">
        <v>31</v>
      </c>
      <c r="B35" s="6" t="inlineStr">
        <is>
          <t>Склад 1А/1Б</t>
        </is>
      </c>
      <c r="C35" s="4" t="inlineStr"/>
      <c r="D35" s="7" t="inlineStr">
        <is>
          <t>Крышка цилиндра 8НВД48А2У (голые)</t>
        </is>
      </c>
      <c r="E35" s="4" t="inlineStr"/>
      <c r="F35" s="4" t="n">
        <v>8</v>
      </c>
      <c r="G35" s="8" t="n"/>
      <c r="H35" s="4">
        <f>IF(G35="","",G35-F35)</f>
        <v/>
      </c>
      <c r="I35" s="9" t="n">
        <v>80000</v>
      </c>
      <c r="J35" s="9">
        <f>IF(G35="","",H35*I35)</f>
        <v/>
      </c>
      <c r="K35" s="8" t="inlineStr"/>
      <c r="L35" s="8" t="inlineStr"/>
      <c r="M35" s="10" t="inlineStr"/>
    </row>
    <row r="36">
      <c r="A36" s="4" t="n">
        <v>32</v>
      </c>
      <c r="B36" s="6" t="inlineStr">
        <is>
          <t>Менеджерская</t>
        </is>
      </c>
      <c r="C36" s="4" t="inlineStr">
        <is>
          <t>Клапан штуцерный проходной Ду6 Ру100</t>
        </is>
      </c>
      <c r="D36" s="7" t="inlineStr">
        <is>
          <t>Клапан штуцерный проходной Ду 20 Ру 100</t>
        </is>
      </c>
      <c r="E36" s="4" t="inlineStr">
        <is>
          <t>521-01.470-03</t>
        </is>
      </c>
      <c r="F36" s="4" t="n">
        <v>102</v>
      </c>
      <c r="G36" s="8" t="n"/>
      <c r="H36" s="4">
        <f>IF(G36="","",G36-F36)</f>
        <v/>
      </c>
      <c r="I36" s="9" t="n">
        <v>6000</v>
      </c>
      <c r="J36" s="9">
        <f>IF(G36="","",H36*I36)</f>
        <v/>
      </c>
      <c r="K36" s="8" t="inlineStr"/>
      <c r="L36" s="8" t="inlineStr"/>
      <c r="M36" s="10" t="inlineStr"/>
    </row>
    <row r="37">
      <c r="A37" s="4" t="n">
        <v>33</v>
      </c>
      <c r="B37" s="6" t="inlineStr">
        <is>
          <t>Фойе</t>
        </is>
      </c>
      <c r="C37" s="4" t="inlineStr"/>
      <c r="D37" s="7" t="inlineStr">
        <is>
          <t>Сепаратор СЦ-1,5 в разборе б/у</t>
        </is>
      </c>
      <c r="E37" s="4" t="inlineStr"/>
      <c r="F37" s="4" t="n">
        <v>2</v>
      </c>
      <c r="G37" s="8" t="n"/>
      <c r="H37" s="4">
        <f>IF(G37="","",G37-F37)</f>
        <v/>
      </c>
      <c r="I37" s="9" t="n">
        <v>300000</v>
      </c>
      <c r="J37" s="9">
        <f>IF(G37="","",H37*I37)</f>
        <v/>
      </c>
      <c r="K37" s="8" t="inlineStr"/>
      <c r="L37" s="8" t="inlineStr"/>
      <c r="M37" s="10" t="inlineStr"/>
    </row>
    <row r="38">
      <c r="A38" s="4" t="n">
        <v>34</v>
      </c>
      <c r="B38" s="6" t="inlineStr">
        <is>
          <t>Фойе</t>
        </is>
      </c>
      <c r="C38" s="4" t="inlineStr"/>
      <c r="D38" s="7" t="inlineStr">
        <is>
          <t>Сепаратор СЦ-3 в разборе (без станины) б/у</t>
        </is>
      </c>
      <c r="E38" s="4" t="inlineStr"/>
      <c r="F38" s="4" t="n">
        <v>1</v>
      </c>
      <c r="G38" s="8" t="n"/>
      <c r="H38" s="4">
        <f>IF(G38="","",G38-F38)</f>
        <v/>
      </c>
      <c r="I38" s="9" t="n">
        <v>600000</v>
      </c>
      <c r="J38" s="9">
        <f>IF(G38="","",H38*I38)</f>
        <v/>
      </c>
      <c r="K38" s="8" t="inlineStr"/>
      <c r="L38" s="8" t="inlineStr"/>
      <c r="M38" s="10" t="inlineStr"/>
    </row>
    <row r="39">
      <c r="A39" s="4" t="n">
        <v>35</v>
      </c>
      <c r="B39" s="6" t="inlineStr">
        <is>
          <t>Склад 3</t>
        </is>
      </c>
      <c r="C39" s="4" t="inlineStr">
        <is>
          <t>Задвижка клинкетная(бронза)</t>
        </is>
      </c>
      <c r="D39" s="7" t="inlineStr">
        <is>
          <t>Задвижка клинкетная фланцевая Ду80 Ру6</t>
        </is>
      </c>
      <c r="E39" s="4" t="inlineStr"/>
      <c r="F39" s="4" t="n">
        <v>18</v>
      </c>
      <c r="G39" s="8" t="n"/>
      <c r="H39" s="4">
        <f>IF(G39="","",G39-F39)</f>
        <v/>
      </c>
      <c r="I39" s="9" t="n">
        <v>32000</v>
      </c>
      <c r="J39" s="9">
        <f>IF(G39="","",H39*I39)</f>
        <v/>
      </c>
      <c r="K39" s="8" t="inlineStr"/>
      <c r="L39" s="8" t="inlineStr"/>
      <c r="M39" s="10" t="inlineStr"/>
    </row>
    <row r="40">
      <c r="A40" s="4" t="n">
        <v>36</v>
      </c>
      <c r="B40" s="6" t="inlineStr">
        <is>
          <t>Склад 1А/1Б</t>
        </is>
      </c>
      <c r="C40" s="4" t="inlineStr"/>
      <c r="D40" s="7" t="inlineStr">
        <is>
          <t>Крышка цилиндра Пилстик (зеленая) на входе</t>
        </is>
      </c>
      <c r="E40" s="4" t="inlineStr"/>
      <c r="F40" s="4" t="n">
        <v>1</v>
      </c>
      <c r="G40" s="8" t="n"/>
      <c r="H40" s="4">
        <f>IF(G40="","",G40-F40)</f>
        <v/>
      </c>
      <c r="I40" s="9" t="n">
        <v>550000</v>
      </c>
      <c r="J40" s="9">
        <f>IF(G40="","",H40*I40)</f>
        <v/>
      </c>
      <c r="K40" s="8" t="inlineStr"/>
      <c r="L40" s="8" t="inlineStr"/>
      <c r="M40" s="10" t="inlineStr"/>
    </row>
    <row r="41">
      <c r="A41" s="4" t="n">
        <v>37</v>
      </c>
      <c r="B41" s="6" t="inlineStr">
        <is>
          <t>Гараж 2</t>
        </is>
      </c>
      <c r="C41" s="4" t="inlineStr"/>
      <c r="D41" s="7" t="inlineStr">
        <is>
          <t>иллюминатор б/у д. 300, 350</t>
        </is>
      </c>
      <c r="E41" s="4" t="inlineStr"/>
      <c r="F41" s="4" t="n">
        <v>27</v>
      </c>
      <c r="G41" s="8" t="n"/>
      <c r="H41" s="4">
        <f>IF(G41="","",G41-F41)</f>
        <v/>
      </c>
      <c r="I41" s="9" t="n">
        <v>20000</v>
      </c>
      <c r="J41" s="9">
        <f>IF(G41="","",H41*I41)</f>
        <v/>
      </c>
      <c r="K41" s="8" t="inlineStr"/>
      <c r="L41" s="8" t="inlineStr"/>
      <c r="M41" s="10" t="inlineStr"/>
    </row>
    <row r="42">
      <c r="A42" s="4" t="n">
        <v>38</v>
      </c>
      <c r="B42" s="6" t="inlineStr">
        <is>
          <t>Фойе</t>
        </is>
      </c>
      <c r="C42" s="4" t="inlineStr">
        <is>
          <t>Насосы</t>
        </is>
      </c>
      <c r="D42" s="7" t="inlineStr">
        <is>
          <t>НЦВ 40/80 двиг.АМ70-2 19кВт 2900об/м</t>
        </is>
      </c>
      <c r="E42" s="4" t="inlineStr"/>
      <c r="F42" s="4" t="n">
        <v>1</v>
      </c>
      <c r="G42" s="8" t="n"/>
      <c r="H42" s="4">
        <f>IF(G42="","",G42-F42)</f>
        <v/>
      </c>
      <c r="I42" s="9" t="n">
        <v>510000</v>
      </c>
      <c r="J42" s="9">
        <f>IF(G42="","",H42*I42)</f>
        <v/>
      </c>
      <c r="K42" s="8" t="inlineStr"/>
      <c r="L42" s="8" t="inlineStr"/>
      <c r="M42" s="10" t="inlineStr"/>
    </row>
    <row r="43">
      <c r="A43" s="4" t="n">
        <v>39</v>
      </c>
      <c r="B43" s="6" t="inlineStr">
        <is>
          <t>Контейнер 1</t>
        </is>
      </c>
      <c r="C43" s="4" t="inlineStr"/>
      <c r="D43" s="7" t="inlineStr">
        <is>
          <t>Насос НЦВ 40/20 ?</t>
        </is>
      </c>
      <c r="E43" s="4" t="inlineStr"/>
      <c r="F43" s="4" t="n">
        <v>1</v>
      </c>
      <c r="G43" s="8" t="n"/>
      <c r="H43" s="4">
        <f>IF(G43="","",G43-F43)</f>
        <v/>
      </c>
      <c r="I43" s="9" t="n">
        <v>500000</v>
      </c>
      <c r="J43" s="9">
        <f>IF(G43="","",H43*I43)</f>
        <v/>
      </c>
      <c r="K43" s="8" t="inlineStr"/>
      <c r="L43" s="8" t="inlineStr"/>
      <c r="M43" s="10" t="inlineStr"/>
    </row>
    <row r="44">
      <c r="A44" s="4" t="n">
        <v>40</v>
      </c>
      <c r="B44" s="6" t="inlineStr">
        <is>
          <t>Контейнер 2</t>
        </is>
      </c>
      <c r="C44" s="4" t="inlineStr"/>
      <c r="D44" s="7" t="inlineStr">
        <is>
          <t>Насос НЦВС 63/30 новый</t>
        </is>
      </c>
      <c r="E44" s="4" t="inlineStr"/>
      <c r="F44" s="4" t="n">
        <v>1</v>
      </c>
      <c r="G44" s="8" t="n"/>
      <c r="H44" s="4">
        <f>IF(G44="","",G44-F44)</f>
        <v/>
      </c>
      <c r="I44" s="9" t="n">
        <v>500000</v>
      </c>
      <c r="J44" s="9">
        <f>IF(G44="","",H44*I44)</f>
        <v/>
      </c>
      <c r="K44" s="8" t="inlineStr"/>
      <c r="L44" s="8" t="inlineStr"/>
      <c r="M44" s="10" t="inlineStr"/>
    </row>
    <row r="45">
      <c r="A45" s="4" t="n">
        <v>41</v>
      </c>
      <c r="B45" s="6" t="inlineStr">
        <is>
          <t>Фойе</t>
        </is>
      </c>
      <c r="C45" s="4" t="inlineStr">
        <is>
          <t>Клапан проходной штуцерный Ду32</t>
        </is>
      </c>
      <c r="D45" s="7" t="inlineStr">
        <is>
          <t>Дверь легкая 1600*600</t>
        </is>
      </c>
      <c r="E45" s="4" t="inlineStr"/>
      <c r="F45" s="4" t="n">
        <v>10</v>
      </c>
      <c r="G45" s="8" t="n"/>
      <c r="H45" s="4">
        <f>IF(G45="","",G45-F45)</f>
        <v/>
      </c>
      <c r="I45" s="9" t="n">
        <v>50000</v>
      </c>
      <c r="J45" s="9">
        <f>IF(G45="","",H45*I45)</f>
        <v/>
      </c>
      <c r="K45" s="8" t="inlineStr"/>
      <c r="L45" s="8" t="inlineStr"/>
      <c r="M45" s="10" t="inlineStr"/>
    </row>
    <row r="46">
      <c r="A46" s="4" t="n">
        <v>42</v>
      </c>
      <c r="B46" s="6" t="inlineStr">
        <is>
          <t>Фойе</t>
        </is>
      </c>
      <c r="C46" s="4" t="inlineStr">
        <is>
          <t>Насосы</t>
        </is>
      </c>
      <c r="D46" s="7" t="inlineStr">
        <is>
          <t>НЦВ 25/80 или НЦВС 40/65 двиг.АМ62-2 14кВт 2850об/м</t>
        </is>
      </c>
      <c r="E46" s="4" t="inlineStr"/>
      <c r="F46" s="4" t="n">
        <v>1</v>
      </c>
      <c r="G46" s="8" t="n"/>
      <c r="H46" s="4">
        <f>IF(G46="","",G46-F46)</f>
        <v/>
      </c>
      <c r="I46" s="9" t="n">
        <v>500000</v>
      </c>
      <c r="J46" s="9">
        <f>IF(G46="","",H46*I46)</f>
        <v/>
      </c>
      <c r="K46" s="8" t="inlineStr"/>
      <c r="L46" s="8" t="inlineStr"/>
      <c r="M46" s="10" t="inlineStr"/>
    </row>
    <row r="47">
      <c r="A47" s="4" t="n">
        <v>43</v>
      </c>
      <c r="B47" s="6" t="inlineStr">
        <is>
          <t>Фойе</t>
        </is>
      </c>
      <c r="C47" s="4" t="inlineStr">
        <is>
          <t>Насосы</t>
        </is>
      </c>
      <c r="D47" s="7" t="inlineStr">
        <is>
          <t>НЦВ 63/20 двиг. ДМ32В2 7,5кВт 2900об/м</t>
        </is>
      </c>
      <c r="E47" s="4" t="inlineStr"/>
      <c r="F47" s="4" t="n">
        <v>1</v>
      </c>
      <c r="G47" s="8" t="n"/>
      <c r="H47" s="4">
        <f>IF(G47="","",G47-F47)</f>
        <v/>
      </c>
      <c r="I47" s="9" t="n">
        <v>500000</v>
      </c>
      <c r="J47" s="9">
        <f>IF(G47="","",H47*I47)</f>
        <v/>
      </c>
      <c r="K47" s="8" t="inlineStr"/>
      <c r="L47" s="8" t="inlineStr"/>
      <c r="M47" s="10" t="inlineStr"/>
    </row>
    <row r="48">
      <c r="A48" s="4" t="n">
        <v>44</v>
      </c>
      <c r="B48" s="6" t="inlineStr">
        <is>
          <t>Фойе</t>
        </is>
      </c>
      <c r="C48" s="4" t="inlineStr">
        <is>
          <t>Насосы</t>
        </is>
      </c>
      <c r="D48" s="7" t="inlineStr">
        <is>
          <t>НЦВ 63/20 или НЦВ 40/30 двиг. АМ52-2 8кВт 2850об/м</t>
        </is>
      </c>
      <c r="E48" s="4" t="inlineStr"/>
      <c r="F48" s="4" t="n">
        <v>1</v>
      </c>
      <c r="G48" s="8" t="n"/>
      <c r="H48" s="4">
        <f>IF(G48="","",G48-F48)</f>
        <v/>
      </c>
      <c r="I48" s="9" t="n">
        <v>500000</v>
      </c>
      <c r="J48" s="9">
        <f>IF(G48="","",H48*I48)</f>
        <v/>
      </c>
      <c r="K48" s="8" t="inlineStr"/>
      <c r="L48" s="8" t="inlineStr"/>
      <c r="M48" s="10" t="inlineStr"/>
    </row>
    <row r="49">
      <c r="A49" s="4" t="n">
        <v>45</v>
      </c>
      <c r="B49" s="6" t="inlineStr">
        <is>
          <t>Фойе</t>
        </is>
      </c>
      <c r="C49" s="4" t="inlineStr">
        <is>
          <t>Насосы</t>
        </is>
      </c>
      <c r="D49" s="7" t="inlineStr">
        <is>
          <t>Насос НЦВ 63/20 с двигателем 14кВт</t>
        </is>
      </c>
      <c r="E49" s="4" t="inlineStr"/>
      <c r="F49" s="4" t="n">
        <v>1</v>
      </c>
      <c r="G49" s="8" t="n"/>
      <c r="H49" s="4">
        <f>IF(G49="","",G49-F49)</f>
        <v/>
      </c>
      <c r="I49" s="9" t="n">
        <v>500000</v>
      </c>
      <c r="J49" s="9">
        <f>IF(G49="","",H49*I49)</f>
        <v/>
      </c>
      <c r="K49" s="8" t="inlineStr"/>
      <c r="L49" s="8" t="inlineStr"/>
      <c r="M49" s="10" t="inlineStr"/>
    </row>
    <row r="50">
      <c r="A50" s="4" t="n">
        <v>46</v>
      </c>
      <c r="B50" s="6" t="inlineStr">
        <is>
          <t>Фойе</t>
        </is>
      </c>
      <c r="C50" s="4" t="inlineStr">
        <is>
          <t>Насосы</t>
        </is>
      </c>
      <c r="D50" s="7" t="inlineStr">
        <is>
          <t>Насос НЦВС 63/20 с трубками</t>
        </is>
      </c>
      <c r="E50" s="4" t="inlineStr"/>
      <c r="F50" s="4" t="n">
        <v>1</v>
      </c>
      <c r="G50" s="8" t="n"/>
      <c r="H50" s="4">
        <f>IF(G50="","",G50-F50)</f>
        <v/>
      </c>
      <c r="I50" s="9" t="n">
        <v>500000</v>
      </c>
      <c r="J50" s="9">
        <f>IF(G50="","",H50*I50)</f>
        <v/>
      </c>
      <c r="K50" s="8" t="inlineStr"/>
      <c r="L50" s="8" t="inlineStr"/>
      <c r="M50" s="10" t="inlineStr"/>
    </row>
    <row r="51">
      <c r="A51" s="4" t="n">
        <v>47</v>
      </c>
      <c r="B51" s="6" t="inlineStr">
        <is>
          <t>Склад 3</t>
        </is>
      </c>
      <c r="C51" s="4" t="inlineStr">
        <is>
          <t>ЭЛЕКТРИКА</t>
        </is>
      </c>
      <c r="D51" s="7" t="inlineStr">
        <is>
          <t>РШВ2-41</t>
        </is>
      </c>
      <c r="E51" s="4" t="inlineStr">
        <is>
          <t>83</t>
        </is>
      </c>
      <c r="F51" s="4" t="n">
        <v>83</v>
      </c>
      <c r="G51" s="8" t="n"/>
      <c r="H51" s="4">
        <f>IF(G51="","",G51-F51)</f>
        <v/>
      </c>
      <c r="I51" s="9" t="n">
        <v>5980</v>
      </c>
      <c r="J51" s="9">
        <f>IF(G51="","",H51*I51)</f>
        <v/>
      </c>
      <c r="K51" s="8" t="inlineStr"/>
      <c r="L51" s="8" t="inlineStr"/>
      <c r="M51" s="10" t="inlineStr"/>
    </row>
    <row r="52">
      <c r="A52" s="4" t="n">
        <v>48</v>
      </c>
      <c r="B52" s="6" t="inlineStr">
        <is>
          <t>Контейнер 2</t>
        </is>
      </c>
      <c r="C52" s="4" t="inlineStr"/>
      <c r="D52" s="7" t="inlineStr">
        <is>
          <t>Блокформы LBH русск.овальные</t>
        </is>
      </c>
      <c r="E52" s="4" t="inlineStr"/>
      <c r="F52" s="4" t="n">
        <v>45</v>
      </c>
      <c r="G52" s="8" t="n"/>
      <c r="H52" s="4">
        <f>IF(G52="","",G52-F52)</f>
        <v/>
      </c>
      <c r="I52" s="9" t="n">
        <v>11000</v>
      </c>
      <c r="J52" s="9">
        <f>IF(G52="","",H52*I52)</f>
        <v/>
      </c>
      <c r="K52" s="8" t="inlineStr"/>
      <c r="L52" s="8" t="inlineStr"/>
      <c r="M52" s="10" t="inlineStr"/>
    </row>
    <row r="53">
      <c r="A53" s="4" t="n">
        <v>49</v>
      </c>
      <c r="B53" s="6" t="inlineStr">
        <is>
          <t>Гараж 2</t>
        </is>
      </c>
      <c r="C53" s="4" t="inlineStr"/>
      <c r="D53" s="7" t="inlineStr">
        <is>
          <t>Плита камбузная ПКЭ-300-ОМ4 3-127V; 25,2kw ;№1108; 460кг; 04/92г</t>
        </is>
      </c>
      <c r="E53" s="4" t="inlineStr"/>
      <c r="F53" s="4" t="n">
        <v>1</v>
      </c>
      <c r="G53" s="8" t="n"/>
      <c r="H53" s="4">
        <f>IF(G53="","",G53-F53)</f>
        <v/>
      </c>
      <c r="I53" s="9" t="n">
        <v>480000</v>
      </c>
      <c r="J53" s="9">
        <f>IF(G53="","",H53*I53)</f>
        <v/>
      </c>
      <c r="K53" s="8" t="inlineStr"/>
      <c r="L53" s="8" t="inlineStr"/>
      <c r="M53" s="10" t="inlineStr"/>
    </row>
    <row r="54">
      <c r="A54" s="4" t="n">
        <v>50</v>
      </c>
      <c r="B54" s="6" t="inlineStr">
        <is>
          <t>Гараж 2</t>
        </is>
      </c>
      <c r="C54" s="4" t="inlineStr"/>
      <c r="D54" s="7" t="inlineStr">
        <is>
          <t>Плита камбузная ПКЭ-300-ОМ4 3-220V; 25,2kw ;№672; 460кг; 11/91г</t>
        </is>
      </c>
      <c r="E54" s="4" t="inlineStr"/>
      <c r="F54" s="4" t="n">
        <v>1</v>
      </c>
      <c r="G54" s="8" t="n"/>
      <c r="H54" s="4">
        <f>IF(G54="","",G54-F54)</f>
        <v/>
      </c>
      <c r="I54" s="9" t="n">
        <v>480000</v>
      </c>
      <c r="J54" s="9">
        <f>IF(G54="","",H54*I54)</f>
        <v/>
      </c>
      <c r="K54" s="8" t="inlineStr"/>
      <c r="L54" s="8" t="inlineStr"/>
      <c r="M54" s="10" t="inlineStr"/>
    </row>
    <row r="55">
      <c r="A55" s="4" t="n">
        <v>51</v>
      </c>
      <c r="B55" s="6" t="inlineStr">
        <is>
          <t>Склад 3</t>
        </is>
      </c>
      <c r="C55" s="4" t="inlineStr">
        <is>
          <t>Коробка 3-х клапановая фланцевая невозврат.</t>
        </is>
      </c>
      <c r="D55" s="7" t="inlineStr">
        <is>
          <t>Коробка 3-х клап.фланцевая невозврат.Ду80 Ру6</t>
        </is>
      </c>
      <c r="E55" s="4" t="inlineStr">
        <is>
          <t>526-03.097</t>
        </is>
      </c>
      <c r="F55" s="4" t="n">
        <v>6</v>
      </c>
      <c r="G55" s="8" t="n"/>
      <c r="H55" s="4">
        <f>IF(G55="","",G55-F55)</f>
        <v/>
      </c>
      <c r="I55" s="9" t="n">
        <v>80000</v>
      </c>
      <c r="J55" s="9">
        <f>IF(G55="","",H55*I55)</f>
        <v/>
      </c>
      <c r="K55" s="8" t="inlineStr"/>
      <c r="L55" s="8" t="inlineStr"/>
      <c r="M55" s="10" t="inlineStr"/>
    </row>
    <row r="56">
      <c r="A56" s="4" t="n">
        <v>52</v>
      </c>
      <c r="B56" s="6" t="inlineStr">
        <is>
          <t>Склад 3</t>
        </is>
      </c>
      <c r="C56" s="4" t="inlineStr">
        <is>
          <t>ЭЛЕКТРИКА</t>
        </is>
      </c>
      <c r="D56" s="7" t="inlineStr">
        <is>
          <t>Автомат.выключ. АК 50 2МГ 10А</t>
        </is>
      </c>
      <c r="E56" s="4" t="inlineStr">
        <is>
          <t>115</t>
        </is>
      </c>
      <c r="F56" s="4" t="n">
        <v>115</v>
      </c>
      <c r="G56" s="8" t="n"/>
      <c r="H56" s="4">
        <f>IF(G56="","",G56-F56)</f>
        <v/>
      </c>
      <c r="I56" s="9" t="n">
        <v>4004</v>
      </c>
      <c r="J56" s="9">
        <f>IF(G56="","",H56*I56)</f>
        <v/>
      </c>
      <c r="K56" s="8" t="inlineStr"/>
      <c r="L56" s="8" t="inlineStr"/>
      <c r="M56" s="10" t="inlineStr"/>
    </row>
    <row r="57">
      <c r="A57" s="4" t="n">
        <v>53</v>
      </c>
      <c r="B57" s="6" t="inlineStr">
        <is>
          <t>Гараж 2</t>
        </is>
      </c>
      <c r="C57" s="4" t="inlineStr"/>
      <c r="D57" s="7" t="inlineStr">
        <is>
          <t>Компрессор 2ОК1 синий</t>
        </is>
      </c>
      <c r="E57" s="4" t="inlineStr"/>
      <c r="F57" s="4" t="n">
        <v>1</v>
      </c>
      <c r="G57" s="8" t="n"/>
      <c r="H57" s="4">
        <f>IF(G57="","",G57-F57)</f>
        <v/>
      </c>
      <c r="I57" s="9" t="n">
        <v>450000</v>
      </c>
      <c r="J57" s="9">
        <f>IF(G57="","",H57*I57)</f>
        <v/>
      </c>
      <c r="K57" s="8" t="inlineStr"/>
      <c r="L57" s="8" t="inlineStr"/>
      <c r="M57" s="10" t="inlineStr"/>
    </row>
    <row r="58">
      <c r="A58" s="4" t="n">
        <v>54</v>
      </c>
      <c r="B58" s="6" t="inlineStr">
        <is>
          <t>Склад 1А/1Б</t>
        </is>
      </c>
      <c r="C58" s="4" t="inlineStr"/>
      <c r="D58" s="7" t="inlineStr">
        <is>
          <t>Клапан фланцевый проходной Ду200</t>
        </is>
      </c>
      <c r="E58" s="4" t="inlineStr"/>
      <c r="F58" s="4" t="n">
        <v>3</v>
      </c>
      <c r="G58" s="8" t="n"/>
      <c r="H58" s="4">
        <f>IF(G58="","",G58-F58)</f>
        <v/>
      </c>
      <c r="I58" s="9" t="n">
        <v>150000</v>
      </c>
      <c r="J58" s="9">
        <f>IF(G58="","",H58*I58)</f>
        <v/>
      </c>
      <c r="K58" s="8" t="inlineStr"/>
      <c r="L58" s="8" t="inlineStr"/>
      <c r="M58" s="10" t="inlineStr"/>
    </row>
    <row r="59">
      <c r="A59" s="4" t="n">
        <v>55</v>
      </c>
      <c r="B59" s="6" t="inlineStr">
        <is>
          <t>Менеджерская</t>
        </is>
      </c>
      <c r="C59" s="4" t="inlineStr">
        <is>
          <t>Клапан штуцерный проходной Ду6 Ру100</t>
        </is>
      </c>
      <c r="D59" s="7" t="inlineStr">
        <is>
          <t>Клапан штуцерный проходной Ду 20 Ру 40</t>
        </is>
      </c>
      <c r="E59" s="4" t="inlineStr">
        <is>
          <t>522-01.501-02</t>
        </is>
      </c>
      <c r="F59" s="4" t="n">
        <v>72</v>
      </c>
      <c r="G59" s="8" t="n"/>
      <c r="H59" s="4">
        <f>IF(G59="","",G59-F59)</f>
        <v/>
      </c>
      <c r="I59" s="9" t="n">
        <v>6000</v>
      </c>
      <c r="J59" s="9">
        <f>IF(G59="","",H59*I59)</f>
        <v/>
      </c>
      <c r="K59" s="8" t="inlineStr"/>
      <c r="L59" s="8" t="inlineStr"/>
      <c r="M59" s="10" t="inlineStr"/>
    </row>
    <row r="60">
      <c r="A60" s="4" t="n">
        <v>56</v>
      </c>
      <c r="B60" s="6" t="inlineStr">
        <is>
          <t>Склад 3</t>
        </is>
      </c>
      <c r="C60" s="4" t="inlineStr">
        <is>
          <t>Задвижка клинкетная(бронза)</t>
        </is>
      </c>
      <c r="D60" s="7" t="inlineStr">
        <is>
          <t>Задвижка клинкетная Ду65</t>
        </is>
      </c>
      <c r="E60" s="4" t="inlineStr"/>
      <c r="F60" s="4" t="n">
        <v>16</v>
      </c>
      <c r="G60" s="8" t="n"/>
      <c r="H60" s="4">
        <f>IF(G60="","",G60-F60)</f>
        <v/>
      </c>
      <c r="I60" s="9" t="n">
        <v>27000</v>
      </c>
      <c r="J60" s="9">
        <f>IF(G60="","",H60*I60)</f>
        <v/>
      </c>
      <c r="K60" s="8" t="inlineStr"/>
      <c r="L60" s="8" t="inlineStr"/>
      <c r="M60" s="10" t="inlineStr"/>
    </row>
    <row r="61">
      <c r="A61" s="4" t="n">
        <v>57</v>
      </c>
      <c r="B61" s="6" t="inlineStr">
        <is>
          <t>Склад 2</t>
        </is>
      </c>
      <c r="C61" s="4" t="inlineStr">
        <is>
          <t>Клапан для манометра штущерный сальниковый</t>
        </is>
      </c>
      <c r="D61" s="7" t="inlineStr">
        <is>
          <t>Клапан для манометра штущерный сальниковый Ду6Ру100 новый</t>
        </is>
      </c>
      <c r="E61" s="4" t="inlineStr">
        <is>
          <t>521-02.013</t>
        </is>
      </c>
      <c r="F61" s="4" t="n">
        <v>95</v>
      </c>
      <c r="G61" s="8" t="n"/>
      <c r="H61" s="4">
        <f>IF(G61="","",G61-F61)</f>
        <v/>
      </c>
      <c r="I61" s="9" t="n">
        <v>4500</v>
      </c>
      <c r="J61" s="9">
        <f>IF(G61="","",H61*I61)</f>
        <v/>
      </c>
      <c r="K61" s="8" t="inlineStr"/>
      <c r="L61" s="8" t="inlineStr"/>
      <c r="M61" s="10" t="inlineStr"/>
    </row>
    <row r="62">
      <c r="A62" s="4" t="n">
        <v>58</v>
      </c>
      <c r="B62" s="6" t="inlineStr">
        <is>
          <t>Склад 3</t>
        </is>
      </c>
      <c r="C62" s="4" t="inlineStr">
        <is>
          <t>Клапан штуцерный проходной</t>
        </is>
      </c>
      <c r="D62" s="7" t="inlineStr">
        <is>
          <t>Клапан штущерный проходной Ду15</t>
        </is>
      </c>
      <c r="E62" s="4" t="inlineStr"/>
      <c r="F62" s="4" t="n">
        <v>44</v>
      </c>
      <c r="G62" s="8" t="n"/>
      <c r="H62" s="4">
        <f>IF(G62="","",G62-F62)</f>
        <v/>
      </c>
      <c r="I62" s="9" t="n">
        <v>9500</v>
      </c>
      <c r="J62" s="9">
        <f>IF(G62="","",H62*I62)</f>
        <v/>
      </c>
      <c r="K62" s="8" t="inlineStr"/>
      <c r="L62" s="8" t="inlineStr"/>
      <c r="M62" s="10" t="inlineStr"/>
    </row>
    <row r="63">
      <c r="A63" s="4" t="n">
        <v>59</v>
      </c>
      <c r="B63" s="6" t="inlineStr">
        <is>
          <t>Гараж 1</t>
        </is>
      </c>
      <c r="C63" s="4" t="inlineStr"/>
      <c r="D63" s="7" t="inlineStr">
        <is>
          <t>Коленвал 18/22</t>
        </is>
      </c>
      <c r="E63" s="4" t="inlineStr"/>
      <c r="F63" s="4" t="n">
        <v>1</v>
      </c>
      <c r="G63" s="8" t="n"/>
      <c r="H63" s="4">
        <f>IF(G63="","",G63-F63)</f>
        <v/>
      </c>
      <c r="I63" s="9" t="n">
        <v>400000</v>
      </c>
      <c r="J63" s="9">
        <f>IF(G63="","",H63*I63)</f>
        <v/>
      </c>
      <c r="K63" s="8" t="inlineStr"/>
      <c r="L63" s="8" t="inlineStr"/>
      <c r="M63" s="10" t="inlineStr"/>
    </row>
    <row r="64">
      <c r="A64" s="4" t="n">
        <v>60</v>
      </c>
      <c r="B64" s="6" t="inlineStr">
        <is>
          <t>Гараж 2</t>
        </is>
      </c>
      <c r="C64" s="4" t="inlineStr"/>
      <c r="D64" s="7" t="inlineStr">
        <is>
          <t>Весы для ЛБАШ ( похоже на вентиляцию )</t>
        </is>
      </c>
      <c r="E64" s="4" t="inlineStr"/>
      <c r="F64" s="4" t="n">
        <v>4</v>
      </c>
      <c r="G64" s="8" t="n"/>
      <c r="H64" s="4">
        <f>IF(G64="","",G64-F64)</f>
        <v/>
      </c>
      <c r="I64" s="9" t="n">
        <v>100000</v>
      </c>
      <c r="J64" s="9">
        <f>IF(G64="","",H64*I64)</f>
        <v/>
      </c>
      <c r="K64" s="8" t="inlineStr"/>
      <c r="L64" s="8" t="inlineStr"/>
      <c r="M64" s="10" t="inlineStr"/>
    </row>
    <row r="65">
      <c r="A65" s="4" t="n">
        <v>61</v>
      </c>
      <c r="B65" s="6" t="inlineStr">
        <is>
          <t>Фойе</t>
        </is>
      </c>
      <c r="C65" s="4" t="inlineStr">
        <is>
          <t>Клапан проходной штуцерный Ду32</t>
        </is>
      </c>
      <c r="D65" s="7" t="inlineStr">
        <is>
          <t>Клинкет Ду 250</t>
        </is>
      </c>
      <c r="E65" s="4" t="inlineStr"/>
      <c r="F65" s="4" t="n">
        <v>2</v>
      </c>
      <c r="G65" s="8" t="n"/>
      <c r="H65" s="4">
        <f>IF(G65="","",G65-F65)</f>
        <v/>
      </c>
      <c r="I65" s="9" t="n">
        <v>200000</v>
      </c>
      <c r="J65" s="9">
        <f>IF(G65="","",H65*I65)</f>
        <v/>
      </c>
      <c r="K65" s="8" t="inlineStr"/>
      <c r="L65" s="8" t="inlineStr"/>
      <c r="M65" s="10" t="inlineStr"/>
    </row>
    <row r="66">
      <c r="A66" s="4" t="n">
        <v>62</v>
      </c>
      <c r="B66" s="6" t="inlineStr">
        <is>
          <t>Фойе</t>
        </is>
      </c>
      <c r="C66" s="4" t="inlineStr">
        <is>
          <t>Клапан проходной штуцерный Ду32</t>
        </is>
      </c>
      <c r="D66" s="7" t="inlineStr">
        <is>
          <t>Клинкет Ду 250 не комплект</t>
        </is>
      </c>
      <c r="E66" s="4" t="inlineStr"/>
      <c r="F66" s="4" t="n">
        <v>2</v>
      </c>
      <c r="G66" s="8" t="n"/>
      <c r="H66" s="4">
        <f>IF(G66="","",G66-F66)</f>
        <v/>
      </c>
      <c r="I66" s="9" t="n">
        <v>200000</v>
      </c>
      <c r="J66" s="9">
        <f>IF(G66="","",H66*I66)</f>
        <v/>
      </c>
      <c r="K66" s="8" t="inlineStr"/>
      <c r="L66" s="8" t="inlineStr"/>
      <c r="M66" s="10" t="inlineStr"/>
    </row>
    <row r="67">
      <c r="A67" s="4" t="n">
        <v>63</v>
      </c>
      <c r="B67" s="6" t="inlineStr">
        <is>
          <t>Фойе</t>
        </is>
      </c>
      <c r="C67" s="4" t="inlineStr">
        <is>
          <t>Клапан проходной штуцерный Ду32</t>
        </is>
      </c>
      <c r="D67" s="7" t="inlineStr">
        <is>
          <t>Фильтр забортной воды Ду 300</t>
        </is>
      </c>
      <c r="E67" s="4" t="inlineStr"/>
      <c r="F67" s="4" t="n">
        <v>1</v>
      </c>
      <c r="G67" s="8" t="n"/>
      <c r="H67" s="4">
        <f>IF(G67="","",G67-F67)</f>
        <v/>
      </c>
      <c r="I67" s="9" t="n">
        <v>400000</v>
      </c>
      <c r="J67" s="9">
        <f>IF(G67="","",H67*I67)</f>
        <v/>
      </c>
      <c r="K67" s="8" t="inlineStr"/>
      <c r="L67" s="8" t="inlineStr"/>
      <c r="M67" s="10" t="inlineStr"/>
    </row>
    <row r="68">
      <c r="A68" s="4" t="n">
        <v>64</v>
      </c>
      <c r="B68" s="6" t="inlineStr">
        <is>
          <t>Гараж 2</t>
        </is>
      </c>
      <c r="C68" s="4" t="inlineStr"/>
      <c r="D68" s="7" t="inlineStr">
        <is>
          <t>Дверь легкая 1750*650 левая с иллюминатором</t>
        </is>
      </c>
      <c r="E68" s="4" t="inlineStr"/>
      <c r="F68" s="4" t="n">
        <v>13</v>
      </c>
      <c r="G68" s="8" t="n"/>
      <c r="H68" s="4">
        <f>IF(G68="","",G68-F68)</f>
        <v/>
      </c>
      <c r="I68" s="9" t="n">
        <v>30000</v>
      </c>
      <c r="J68" s="9">
        <f>IF(G68="","",H68*I68)</f>
        <v/>
      </c>
      <c r="K68" s="8" t="inlineStr"/>
      <c r="L68" s="8" t="inlineStr"/>
      <c r="M68" s="10" t="inlineStr"/>
    </row>
    <row r="69">
      <c r="A69" s="4" t="n">
        <v>65</v>
      </c>
      <c r="B69" s="6" t="inlineStr">
        <is>
          <t>Фойе</t>
        </is>
      </c>
      <c r="C69" s="4" t="inlineStr"/>
      <c r="D69" s="7" t="inlineStr">
        <is>
          <t>Сепаратор СЦ-1,5 с двигателем б/у</t>
        </is>
      </c>
      <c r="E69" s="4" t="inlineStr"/>
      <c r="F69" s="4" t="n">
        <v>1</v>
      </c>
      <c r="G69" s="8" t="n"/>
      <c r="H69" s="4">
        <f>IF(G69="","",G69-F69)</f>
        <v/>
      </c>
      <c r="I69" s="9" t="n">
        <v>380000</v>
      </c>
      <c r="J69" s="9">
        <f>IF(G69="","",H69*I69)</f>
        <v/>
      </c>
      <c r="K69" s="8" t="inlineStr"/>
      <c r="L69" s="8" t="inlineStr"/>
      <c r="M69" s="10" t="inlineStr"/>
    </row>
    <row r="70">
      <c r="A70" s="4" t="n">
        <v>66</v>
      </c>
      <c r="B70" s="6" t="inlineStr">
        <is>
          <t>Менеджерская</t>
        </is>
      </c>
      <c r="C70" s="4" t="inlineStr">
        <is>
          <t>Клапан штуцерный угловой Ду6Ру100</t>
        </is>
      </c>
      <c r="D70" s="7" t="inlineStr">
        <is>
          <t>Клапан штуцерный угловой Ду32 Ру100</t>
        </is>
      </c>
      <c r="E70" s="4" t="inlineStr">
        <is>
          <t>521-01.468-07</t>
        </is>
      </c>
      <c r="F70" s="4" t="n">
        <v>39</v>
      </c>
      <c r="G70" s="8" t="n"/>
      <c r="H70" s="4">
        <f>IF(G70="","",G70-F70)</f>
        <v/>
      </c>
      <c r="I70" s="9" t="n">
        <v>9600</v>
      </c>
      <c r="J70" s="9">
        <f>IF(G70="","",H70*I70)</f>
        <v/>
      </c>
      <c r="K70" s="8" t="inlineStr"/>
      <c r="L70" s="8" t="inlineStr"/>
      <c r="M70" s="10" t="inlineStr"/>
    </row>
    <row r="71">
      <c r="A71" s="4" t="n">
        <v>67</v>
      </c>
      <c r="B71" s="6" t="inlineStr">
        <is>
          <t>Склад 2</t>
        </is>
      </c>
      <c r="C71" s="4" t="inlineStr">
        <is>
          <t>Фильтр фланц.прох. забортной воды Ду80</t>
        </is>
      </c>
      <c r="D71" s="7" t="inlineStr">
        <is>
          <t>Фильтр фланц.прох. забортной воды Ду100 Ру4</t>
        </is>
      </c>
      <c r="E71" s="4" t="inlineStr">
        <is>
          <t>427-03-109-2</t>
        </is>
      </c>
      <c r="F71" s="4" t="n">
        <v>3</v>
      </c>
      <c r="G71" s="8" t="n"/>
      <c r="H71" s="4">
        <f>IF(G71="","",G71-F71)</f>
        <v/>
      </c>
      <c r="I71" s="9" t="n">
        <v>120000</v>
      </c>
      <c r="J71" s="9">
        <f>IF(G71="","",H71*I71)</f>
        <v/>
      </c>
      <c r="K71" s="8" t="inlineStr"/>
      <c r="L71" s="8" t="inlineStr"/>
      <c r="M71" s="10" t="inlineStr"/>
    </row>
    <row r="72">
      <c r="A72" s="4" t="n">
        <v>68</v>
      </c>
      <c r="B72" s="6" t="inlineStr">
        <is>
          <t>Гараж 2</t>
        </is>
      </c>
      <c r="C72" s="4" t="inlineStr"/>
      <c r="D72" s="7" t="inlineStr">
        <is>
          <t>Дверь ВГН 1400*600 КИТАЙ правая</t>
        </is>
      </c>
      <c r="E72" s="4" t="inlineStr"/>
      <c r="F72" s="4" t="n">
        <v>5</v>
      </c>
      <c r="G72" s="8" t="n"/>
      <c r="H72" s="4">
        <f>IF(G72="","",G72-F72)</f>
        <v/>
      </c>
      <c r="I72" s="9" t="n">
        <v>70000</v>
      </c>
      <c r="J72" s="9">
        <f>IF(G72="","",H72*I72)</f>
        <v/>
      </c>
      <c r="K72" s="8" t="inlineStr"/>
      <c r="L72" s="8" t="inlineStr"/>
      <c r="M72" s="10" t="inlineStr"/>
    </row>
    <row r="73">
      <c r="A73" s="4" t="n">
        <v>69</v>
      </c>
      <c r="B73" s="6" t="inlineStr">
        <is>
          <t>Склад 2</t>
        </is>
      </c>
      <c r="C73" s="4" t="inlineStr">
        <is>
          <t>Кран штуцерный спусковой самозапорный проходной</t>
        </is>
      </c>
      <c r="D73" s="7" t="inlineStr">
        <is>
          <t>Кран штуцерный спусковой самозапорный проходной Ду20 Ру10</t>
        </is>
      </c>
      <c r="E73" s="4" t="inlineStr">
        <is>
          <t>528-3М129</t>
        </is>
      </c>
      <c r="F73" s="4" t="n">
        <v>36</v>
      </c>
      <c r="G73" s="8" t="n"/>
      <c r="H73" s="4">
        <f>IF(G73="","",G73-F73)</f>
        <v/>
      </c>
      <c r="I73" s="9" t="n">
        <v>9000</v>
      </c>
      <c r="J73" s="9">
        <f>IF(G73="","",H73*I73)</f>
        <v/>
      </c>
      <c r="K73" s="8" t="inlineStr"/>
      <c r="L73" s="8" t="inlineStr"/>
      <c r="M73" s="10" t="inlineStr"/>
    </row>
    <row r="74">
      <c r="A74" s="4" t="n">
        <v>70</v>
      </c>
      <c r="B74" s="6" t="inlineStr">
        <is>
          <t>Склад 3</t>
        </is>
      </c>
      <c r="C74" s="4" t="inlineStr">
        <is>
          <t>Клапан фланцевый угловой (бронза)</t>
        </is>
      </c>
      <c r="D74" s="7" t="inlineStr">
        <is>
          <t>Клапан фланцевый угловой Ду65 Ру10</t>
        </is>
      </c>
      <c r="E74" s="4" t="inlineStr">
        <is>
          <t>521-03.195</t>
        </is>
      </c>
      <c r="F74" s="4" t="n">
        <v>12</v>
      </c>
      <c r="G74" s="8" t="n"/>
      <c r="H74" s="4">
        <f>IF(G74="","",G74-F74)</f>
        <v/>
      </c>
      <c r="I74" s="9" t="n">
        <v>27000</v>
      </c>
      <c r="J74" s="9">
        <f>IF(G74="","",H74*I74)</f>
        <v/>
      </c>
      <c r="K74" s="8" t="inlineStr"/>
      <c r="L74" s="8" t="inlineStr"/>
      <c r="M74" s="10" t="inlineStr"/>
    </row>
    <row r="75">
      <c r="A75" s="4" t="n">
        <v>71</v>
      </c>
      <c r="B75" s="6" t="inlineStr">
        <is>
          <t>Фойе</t>
        </is>
      </c>
      <c r="C75" s="4" t="inlineStr">
        <is>
          <t>Клапан проходной штуцерный Ду32</t>
        </is>
      </c>
      <c r="D75" s="7" t="inlineStr">
        <is>
          <t>Клинкет Ду 350</t>
        </is>
      </c>
      <c r="E75" s="4" t="inlineStr"/>
      <c r="F75" s="4" t="n">
        <v>1</v>
      </c>
      <c r="G75" s="8" t="n"/>
      <c r="H75" s="4">
        <f>IF(G75="","",G75-F75)</f>
        <v/>
      </c>
      <c r="I75" s="9" t="n">
        <v>300000</v>
      </c>
      <c r="J75" s="9">
        <f>IF(G75="","",H75*I75)</f>
        <v/>
      </c>
      <c r="K75" s="8" t="inlineStr"/>
      <c r="L75" s="8" t="inlineStr"/>
      <c r="M75" s="10" t="inlineStr"/>
    </row>
    <row r="76">
      <c r="A76" s="4" t="n">
        <v>72</v>
      </c>
      <c r="B76" s="6" t="inlineStr">
        <is>
          <t>Склад 2</t>
        </is>
      </c>
      <c r="C76" s="4" t="inlineStr">
        <is>
          <t>Клапан штуцерный угловой Ду10 Ру100</t>
        </is>
      </c>
      <c r="D76" s="7" t="inlineStr">
        <is>
          <t>Клапан штуцерный угловой Ду32Ру100 (Яшик мет.)</t>
        </is>
      </c>
      <c r="E76" s="4" t="inlineStr">
        <is>
          <t>521-01.468-07</t>
        </is>
      </c>
      <c r="F76" s="4" t="n">
        <v>31</v>
      </c>
      <c r="G76" s="8" t="n"/>
      <c r="H76" s="4">
        <f>IF(G76="","",G76-F76)</f>
        <v/>
      </c>
      <c r="I76" s="9" t="n">
        <v>9600</v>
      </c>
      <c r="J76" s="9">
        <f>IF(G76="","",H76*I76)</f>
        <v/>
      </c>
      <c r="K76" s="8" t="inlineStr"/>
      <c r="L76" s="8" t="inlineStr"/>
      <c r="M76" s="10" t="inlineStr"/>
    </row>
    <row r="77">
      <c r="A77" s="4" t="n">
        <v>73</v>
      </c>
      <c r="B77" s="6" t="inlineStr">
        <is>
          <t>Склад 3</t>
        </is>
      </c>
      <c r="C77" s="4" t="inlineStr">
        <is>
          <t>Клапан штуцерный проходной</t>
        </is>
      </c>
      <c r="D77" s="7" t="inlineStr">
        <is>
          <t>Клапан штуцерный проходной Ду 10</t>
        </is>
      </c>
      <c r="E77" s="4" t="inlineStr"/>
      <c r="F77" s="4" t="n">
        <v>83</v>
      </c>
      <c r="G77" s="8" t="n"/>
      <c r="H77" s="4">
        <f>IF(G77="","",G77-F77)</f>
        <v/>
      </c>
      <c r="I77" s="9" t="n">
        <v>3500</v>
      </c>
      <c r="J77" s="9">
        <f>IF(G77="","",H77*I77)</f>
        <v/>
      </c>
      <c r="K77" s="8" t="inlineStr"/>
      <c r="L77" s="8" t="inlineStr"/>
      <c r="M77" s="10" t="inlineStr"/>
    </row>
    <row r="78">
      <c r="A78" s="4" t="n">
        <v>74</v>
      </c>
      <c r="B78" s="6" t="inlineStr">
        <is>
          <t>Склад 3</t>
        </is>
      </c>
      <c r="C78" s="4" t="inlineStr">
        <is>
          <t>ЭЛЕКТРИКА</t>
        </is>
      </c>
      <c r="D78" s="7" t="inlineStr">
        <is>
          <t>Водонагреватель ВЭС-300 ОМ5 220 V (щит управ+провода+термометр)</t>
        </is>
      </c>
      <c r="E78" s="4" t="inlineStr">
        <is>
          <t>1</t>
        </is>
      </c>
      <c r="F78" s="4" t="n">
        <v>1</v>
      </c>
      <c r="G78" s="8" t="n"/>
      <c r="H78" s="4">
        <f>IF(G78="","",G78-F78)</f>
        <v/>
      </c>
      <c r="I78" s="9" t="n">
        <v>285000</v>
      </c>
      <c r="J78" s="9">
        <f>IF(G78="","",H78*I78)</f>
        <v/>
      </c>
      <c r="K78" s="8" t="inlineStr"/>
      <c r="L78" s="8" t="inlineStr"/>
      <c r="M78" s="10" t="inlineStr"/>
    </row>
    <row r="79">
      <c r="A79" s="4" t="n">
        <v>75</v>
      </c>
      <c r="B79" s="6" t="inlineStr">
        <is>
          <t>Гараж 2</t>
        </is>
      </c>
      <c r="C79" s="4" t="inlineStr"/>
      <c r="D79" s="7" t="inlineStr">
        <is>
          <t>Дверь ВГН 1400*600 КИТАЙ левая</t>
        </is>
      </c>
      <c r="E79" s="4" t="inlineStr"/>
      <c r="F79" s="4" t="n">
        <v>4</v>
      </c>
      <c r="G79" s="8" t="n"/>
      <c r="H79" s="4">
        <f>IF(G79="","",G79-F79)</f>
        <v/>
      </c>
      <c r="I79" s="9" t="n">
        <v>70000</v>
      </c>
      <c r="J79" s="9">
        <f>IF(G79="","",H79*I79)</f>
        <v/>
      </c>
      <c r="K79" s="8" t="inlineStr"/>
      <c r="L79" s="8" t="inlineStr"/>
      <c r="M79" s="10" t="inlineStr"/>
    </row>
    <row r="80">
      <c r="A80" s="4" t="n">
        <v>76</v>
      </c>
      <c r="B80" s="6" t="inlineStr">
        <is>
          <t>Склад 3</t>
        </is>
      </c>
      <c r="C80" s="4" t="inlineStr">
        <is>
          <t>ЭЛЕКТРИКА</t>
        </is>
      </c>
      <c r="D80" s="7" t="inlineStr">
        <is>
          <t>Диски тормозные ТДП-6А Ф400</t>
        </is>
      </c>
      <c r="E80" s="4" t="inlineStr">
        <is>
          <t>7</t>
        </is>
      </c>
      <c r="F80" s="4" t="n">
        <v>7</v>
      </c>
      <c r="G80" s="8" t="n"/>
      <c r="H80" s="4">
        <f>IF(G80="","",G80-F80)</f>
        <v/>
      </c>
      <c r="I80" s="9" t="n">
        <v>40000</v>
      </c>
      <c r="J80" s="9">
        <f>IF(G80="","",H80*I80)</f>
        <v/>
      </c>
      <c r="K80" s="8" t="inlineStr"/>
      <c r="L80" s="8" t="inlineStr"/>
      <c r="M80" s="10" t="inlineStr"/>
    </row>
    <row r="81">
      <c r="A81" s="4" t="n">
        <v>77</v>
      </c>
      <c r="B81" s="6" t="inlineStr">
        <is>
          <t>Склад 3</t>
        </is>
      </c>
      <c r="C81" s="4" t="inlineStr">
        <is>
          <t>Клапана фланцевые проходные</t>
        </is>
      </c>
      <c r="D81" s="7" t="inlineStr">
        <is>
          <t>Клапан фланцевый проходной Ду125</t>
        </is>
      </c>
      <c r="E81" s="4" t="inlineStr"/>
      <c r="F81" s="4" t="n">
        <v>6</v>
      </c>
      <c r="G81" s="8" t="n"/>
      <c r="H81" s="4">
        <f>IF(G81="","",G81-F81)</f>
        <v/>
      </c>
      <c r="I81" s="9" t="n">
        <v>46000</v>
      </c>
      <c r="J81" s="9">
        <f>IF(G81="","",H81*I81)</f>
        <v/>
      </c>
      <c r="K81" s="8" t="inlineStr"/>
      <c r="L81" s="8" t="inlineStr"/>
      <c r="M81" s="10" t="inlineStr"/>
    </row>
    <row r="82">
      <c r="A82" s="4" t="n">
        <v>78</v>
      </c>
      <c r="B82" s="6" t="inlineStr">
        <is>
          <t>Склад 1А/1Б</t>
        </is>
      </c>
      <c r="C82" s="4" t="inlineStr"/>
      <c r="D82" s="7" t="inlineStr">
        <is>
          <t>Головка воздушно-квадрат.(поплавковая) Ду80 (541-03.218)</t>
        </is>
      </c>
      <c r="E82" s="4" t="inlineStr"/>
      <c r="F82" s="4" t="n">
        <v>19</v>
      </c>
      <c r="G82" s="8" t="n"/>
      <c r="H82" s="4">
        <f>IF(G82="","",G82-F82)</f>
        <v/>
      </c>
      <c r="I82" s="9" t="n">
        <v>14000</v>
      </c>
      <c r="J82" s="9">
        <f>IF(G82="","",H82*I82)</f>
        <v/>
      </c>
      <c r="K82" s="8" t="inlineStr"/>
      <c r="L82" s="8" t="inlineStr"/>
      <c r="M82" s="10" t="inlineStr"/>
    </row>
    <row r="83">
      <c r="A83" s="4" t="n">
        <v>79</v>
      </c>
      <c r="B83" s="6" t="inlineStr">
        <is>
          <t>Склад 1А/1Б</t>
        </is>
      </c>
      <c r="C83" s="4" t="inlineStr"/>
      <c r="D83" s="7" t="inlineStr">
        <is>
          <t>Грибки АМГ Ду 175 (541-03.316-03)</t>
        </is>
      </c>
      <c r="E83" s="4" t="inlineStr"/>
      <c r="F83" s="4" t="n">
        <v>10</v>
      </c>
      <c r="G83" s="8" t="n"/>
      <c r="H83" s="4">
        <f>IF(G83="","",G83-F83)</f>
        <v/>
      </c>
      <c r="I83" s="9" t="n">
        <v>25000</v>
      </c>
      <c r="J83" s="9">
        <f>IF(G83="","",H83*I83)</f>
        <v/>
      </c>
      <c r="K83" s="8" t="inlineStr"/>
      <c r="L83" s="8" t="inlineStr"/>
      <c r="M83" s="10" t="inlineStr"/>
    </row>
    <row r="85">
      <c r="C85" s="11" t="inlineStr">
        <is>
          <t>Позиций в ведомости</t>
        </is>
      </c>
      <c r="D85" s="12">
        <f>COUNTA(D5:D83)</f>
        <v/>
      </c>
    </row>
    <row r="86">
      <c r="C86" s="11" t="inlineStr">
        <is>
          <t>Пересчитано</t>
        </is>
      </c>
      <c r="D86" s="12">
        <f>COUNT(G5:G83)</f>
        <v/>
      </c>
    </row>
    <row r="87">
      <c r="C87" s="11" t="inlineStr">
        <is>
          <t>Осталось пересчитать</t>
        </is>
      </c>
      <c r="D87" s="12">
        <f>D85-D86</f>
        <v/>
      </c>
    </row>
    <row r="88">
      <c r="C88" s="11" t="inlineStr">
        <is>
          <t>Позиций с расхождением</t>
        </is>
      </c>
      <c r="D88" s="13">
        <f>COUNTIF(H5:H83,"&lt;&gt;0")-COUNTBLANK(H5:H83)</f>
        <v/>
      </c>
    </row>
    <row r="89">
      <c r="C89" s="11" t="inlineStr">
        <is>
          <t>Сумма расхождений, руб</t>
        </is>
      </c>
      <c r="D89" s="14">
        <f>SUM(J5:J83)</f>
        <v/>
      </c>
    </row>
  </sheetData>
  <autoFilter ref="A4:M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52" customWidth="1" min="4" max="4"/>
    <col width="20" customWidth="1" min="5" max="5"/>
    <col width="10" customWidth="1" min="6" max="6"/>
    <col width="9" customWidth="1" min="7" max="7"/>
    <col width="12" customWidth="1" min="8" max="8"/>
    <col width="14" customWidth="1" min="9" max="9"/>
    <col width="16" customWidth="1" min="10" max="10"/>
    <col width="14" customWidth="1" min="11" max="11"/>
    <col width="12" customWidth="1" min="12" max="12"/>
    <col width="30" customWidth="1" min="13" max="13"/>
  </cols>
  <sheetData>
    <row r="1">
      <c r="A1" s="1" t="inlineStr">
        <is>
          <t>Инвентаризационная ведомость: все позиции</t>
        </is>
      </c>
    </row>
    <row r="2">
      <c r="A2" s="2" t="inlineStr">
        <is>
          <t>Заполняем желтые колонки. Расхождение и сумма считаются сами. Позиции нет — ставим 0, а не пустую ячейку.</t>
        </is>
      </c>
    </row>
    <row r="4" ht="30" customHeight="1">
      <c r="A4" s="3" t="inlineStr">
        <is>
          <t>№</t>
        </is>
      </c>
      <c r="B4" s="3" t="inlineStr">
        <is>
          <t>Локация</t>
        </is>
      </c>
      <c r="C4" s="3" t="inlineStr">
        <is>
          <t>Место в файле</t>
        </is>
      </c>
      <c r="D4" s="3" t="inlineStr">
        <is>
          <t>Наименование</t>
        </is>
      </c>
      <c r="E4" s="3" t="inlineStr">
        <is>
          <t>Чертеж</t>
        </is>
      </c>
      <c r="F4" s="3" t="inlineStr">
        <is>
          <t>Числится</t>
        </is>
      </c>
      <c r="G4" s="3" t="inlineStr">
        <is>
          <t>Факт</t>
        </is>
      </c>
      <c r="H4" s="3" t="inlineStr">
        <is>
          <t>Расхождение</t>
        </is>
      </c>
      <c r="I4" s="3" t="inlineStr">
        <is>
          <t>Цена за ед., руб</t>
        </is>
      </c>
      <c r="J4" s="3" t="inlineStr">
        <is>
          <t>Сумма расхождения</t>
        </is>
      </c>
      <c r="K4" s="3" t="inlineStr">
        <is>
          <t>Кто считал</t>
        </is>
      </c>
      <c r="L4" s="3" t="inlineStr">
        <is>
          <t>Дата</t>
        </is>
      </c>
      <c r="M4" s="3" t="inlineStr">
        <is>
          <t>Комментарий</t>
        </is>
      </c>
    </row>
    <row r="5">
      <c r="A5" s="4" t="n">
        <v>1</v>
      </c>
      <c r="B5" s="6" t="inlineStr">
        <is>
          <t>Гараж 1</t>
        </is>
      </c>
      <c r="C5" s="4" t="inlineStr"/>
      <c r="D5" s="5" t="inlineStr">
        <is>
          <t>Двери АМГ 1400*600 с иллюминат. б/у правая</t>
        </is>
      </c>
      <c r="E5" s="4" t="inlineStr"/>
      <c r="F5" s="4" t="n">
        <v>1</v>
      </c>
      <c r="G5" s="8" t="n"/>
      <c r="H5" s="4">
        <f>IF(G5="","",G5-F5)</f>
        <v/>
      </c>
      <c r="I5" s="9" t="n">
        <v>70000</v>
      </c>
      <c r="J5" s="9">
        <f>IF(G5="","",H5*I5)</f>
        <v/>
      </c>
      <c r="K5" s="8" t="inlineStr"/>
      <c r="L5" s="8" t="inlineStr"/>
      <c r="M5" s="10" t="inlineStr"/>
    </row>
    <row r="6">
      <c r="A6" s="4" t="n">
        <v>2</v>
      </c>
      <c r="B6" s="6" t="inlineStr">
        <is>
          <t>Гараж 1</t>
        </is>
      </c>
      <c r="C6" s="4" t="inlineStr"/>
      <c r="D6" s="5" t="inlineStr">
        <is>
          <t>Дверь ВГН 1300*500 правая</t>
        </is>
      </c>
      <c r="E6" s="4" t="inlineStr"/>
      <c r="F6" s="4" t="n">
        <v>1</v>
      </c>
      <c r="G6" s="8" t="n"/>
      <c r="H6" s="4">
        <f>IF(G6="","",G6-F6)</f>
        <v/>
      </c>
      <c r="I6" s="9" t="n">
        <v>65000</v>
      </c>
      <c r="J6" s="9">
        <f>IF(G6="","",H6*I6)</f>
        <v/>
      </c>
      <c r="K6" s="8" t="inlineStr"/>
      <c r="L6" s="8" t="inlineStr"/>
      <c r="M6" s="10" t="inlineStr"/>
    </row>
    <row r="7">
      <c r="A7" s="4" t="n">
        <v>3</v>
      </c>
      <c r="B7" s="6" t="inlineStr">
        <is>
          <t>Гараж 1</t>
        </is>
      </c>
      <c r="C7" s="4" t="inlineStr"/>
      <c r="D7" s="5" t="inlineStr">
        <is>
          <t>Дверь ВГН 1400*600 КИТАЙ левая</t>
        </is>
      </c>
      <c r="E7" s="4" t="inlineStr"/>
      <c r="F7" s="4" t="n">
        <v>1</v>
      </c>
      <c r="G7" s="8" t="n"/>
      <c r="H7" s="4">
        <f>IF(G7="","",G7-F7)</f>
        <v/>
      </c>
      <c r="I7" s="9" t="n">
        <v>50000</v>
      </c>
      <c r="J7" s="9">
        <f>IF(G7="","",H7*I7)</f>
        <v/>
      </c>
      <c r="K7" s="8" t="inlineStr"/>
      <c r="L7" s="8" t="inlineStr"/>
      <c r="M7" s="10" t="inlineStr"/>
    </row>
    <row r="8">
      <c r="A8" s="4" t="n">
        <v>4</v>
      </c>
      <c r="B8" s="6" t="inlineStr">
        <is>
          <t>Гараж 1</t>
        </is>
      </c>
      <c r="C8" s="4" t="inlineStr"/>
      <c r="D8" s="5" t="inlineStr">
        <is>
          <t>Дверь ВГН 1400*600 КИТАЙ правая</t>
        </is>
      </c>
      <c r="E8" s="4" t="inlineStr"/>
      <c r="F8" s="4" t="n">
        <v>2</v>
      </c>
      <c r="G8" s="8" t="n"/>
      <c r="H8" s="4">
        <f>IF(G8="","",G8-F8)</f>
        <v/>
      </c>
      <c r="I8" s="9" t="n">
        <v>50000</v>
      </c>
      <c r="J8" s="9">
        <f>IF(G8="","",H8*I8)</f>
        <v/>
      </c>
      <c r="K8" s="8" t="inlineStr"/>
      <c r="L8" s="8" t="inlineStr"/>
      <c r="M8" s="10" t="inlineStr"/>
    </row>
    <row r="9">
      <c r="A9" s="4" t="n">
        <v>5</v>
      </c>
      <c r="B9" s="6" t="inlineStr">
        <is>
          <t>Гараж 1</t>
        </is>
      </c>
      <c r="C9" s="4" t="inlineStr"/>
      <c r="D9" s="5" t="inlineStr">
        <is>
          <t>Дверь ВГН 1400*600 б/у левая</t>
        </is>
      </c>
      <c r="E9" s="4" t="inlineStr"/>
      <c r="F9" s="4" t="n">
        <v>1</v>
      </c>
      <c r="G9" s="8" t="n"/>
      <c r="H9" s="4">
        <f>IF(G9="","",G9-F9)</f>
        <v/>
      </c>
      <c r="I9" s="9" t="n">
        <v>10000</v>
      </c>
      <c r="J9" s="9">
        <f>IF(G9="","",H9*I9)</f>
        <v/>
      </c>
      <c r="K9" s="8" t="inlineStr"/>
      <c r="L9" s="8" t="inlineStr"/>
      <c r="M9" s="10" t="inlineStr"/>
    </row>
    <row r="10">
      <c r="A10" s="4" t="n">
        <v>6</v>
      </c>
      <c r="B10" s="6" t="inlineStr">
        <is>
          <t>Гараж 1</t>
        </is>
      </c>
      <c r="C10" s="4" t="inlineStr"/>
      <c r="D10" s="5" t="inlineStr">
        <is>
          <t>Дверь ВГН 1600х750 правая</t>
        </is>
      </c>
      <c r="E10" s="4" t="inlineStr"/>
      <c r="F10" s="4" t="n">
        <v>1</v>
      </c>
      <c r="G10" s="8" t="n"/>
      <c r="H10" s="4">
        <f>IF(G10="","",G10-F10)</f>
        <v/>
      </c>
      <c r="I10" s="9" t="n">
        <v>120000</v>
      </c>
      <c r="J10" s="9">
        <f>IF(G10="","",H10*I10)</f>
        <v/>
      </c>
      <c r="K10" s="8" t="inlineStr"/>
      <c r="L10" s="8" t="inlineStr"/>
      <c r="M10" s="10" t="inlineStr"/>
    </row>
    <row r="11">
      <c r="A11" s="4" t="n">
        <v>7</v>
      </c>
      <c r="B11" s="6" t="inlineStr">
        <is>
          <t>Гараж 1</t>
        </is>
      </c>
      <c r="C11" s="4" t="inlineStr"/>
      <c r="D11" s="5" t="inlineStr">
        <is>
          <t>Дверь ВГН 1800х750 правая черт.262-01-002.26</t>
        </is>
      </c>
      <c r="E11" s="4" t="inlineStr"/>
      <c r="F11" s="4" t="n">
        <v>1</v>
      </c>
      <c r="G11" s="8" t="n"/>
      <c r="H11" s="4">
        <f>IF(G11="","",G11-F11)</f>
        <v/>
      </c>
      <c r="I11" s="9" t="n">
        <v>120000</v>
      </c>
      <c r="J11" s="9">
        <f>IF(G11="","",H11*I11)</f>
        <v/>
      </c>
      <c r="K11" s="8" t="inlineStr"/>
      <c r="L11" s="8" t="inlineStr"/>
      <c r="M11" s="10" t="inlineStr"/>
    </row>
    <row r="12">
      <c r="A12" s="4" t="n">
        <v>8</v>
      </c>
      <c r="B12" s="6" t="inlineStr">
        <is>
          <t>Гараж 1</t>
        </is>
      </c>
      <c r="C12" s="4" t="inlineStr"/>
      <c r="D12" s="5" t="inlineStr">
        <is>
          <t>Коленвал 18/22</t>
        </is>
      </c>
      <c r="E12" s="4" t="inlineStr"/>
      <c r="F12" s="4" t="n">
        <v>1</v>
      </c>
      <c r="G12" s="8" t="n"/>
      <c r="H12" s="4">
        <f>IF(G12="","",G12-F12)</f>
        <v/>
      </c>
      <c r="I12" s="9" t="n">
        <v>400000</v>
      </c>
      <c r="J12" s="9">
        <f>IF(G12="","",H12*I12)</f>
        <v/>
      </c>
      <c r="K12" s="8" t="inlineStr"/>
      <c r="L12" s="8" t="inlineStr"/>
      <c r="M12" s="10" t="inlineStr"/>
    </row>
    <row r="13">
      <c r="A13" s="4" t="n">
        <v>9</v>
      </c>
      <c r="B13" s="6" t="inlineStr">
        <is>
          <t>Гараж 1</t>
        </is>
      </c>
      <c r="C13" s="4" t="inlineStr"/>
      <c r="D13" s="5" t="inlineStr">
        <is>
          <t>Крышка ВГН 450*600 (задрайка) РОССИЯ б/у</t>
        </is>
      </c>
      <c r="E13" s="4" t="inlineStr"/>
      <c r="F13" s="4" t="n">
        <v>1</v>
      </c>
      <c r="G13" s="8" t="n"/>
      <c r="H13" s="4">
        <f>IF(G13="","",G13-F13)</f>
        <v/>
      </c>
      <c r="I13" s="9" t="n">
        <v>50000</v>
      </c>
      <c r="J13" s="9">
        <f>IF(G13="","",H13*I13)</f>
        <v/>
      </c>
      <c r="K13" s="8" t="inlineStr"/>
      <c r="L13" s="8" t="inlineStr"/>
      <c r="M13" s="10" t="inlineStr"/>
    </row>
    <row r="14">
      <c r="A14" s="4" t="n">
        <v>10</v>
      </c>
      <c r="B14" s="6" t="inlineStr">
        <is>
          <t>Гараж 1</t>
        </is>
      </c>
      <c r="C14" s="4" t="inlineStr"/>
      <c r="D14" s="5" t="inlineStr">
        <is>
          <t>Крышка ВГН 800*800 (Проницаемая)</t>
        </is>
      </c>
      <c r="E14" s="4" t="inlineStr"/>
      <c r="F14" s="4" t="n">
        <v>1</v>
      </c>
      <c r="G14" s="8" t="n"/>
      <c r="H14" s="4">
        <f>IF(G14="","",G14-F14)</f>
        <v/>
      </c>
      <c r="I14" s="9" t="n">
        <v>75000</v>
      </c>
      <c r="J14" s="9">
        <f>IF(G14="","",H14*I14)</f>
        <v/>
      </c>
      <c r="K14" s="8" t="inlineStr"/>
      <c r="L14" s="8" t="inlineStr"/>
      <c r="M14" s="10" t="inlineStr"/>
    </row>
    <row r="15">
      <c r="A15" s="4" t="n">
        <v>11</v>
      </c>
      <c r="B15" s="6" t="inlineStr">
        <is>
          <t>Гараж 1</t>
        </is>
      </c>
      <c r="C15" s="4" t="inlineStr"/>
      <c r="D15" s="5" t="inlineStr">
        <is>
          <t>Насос НЦВ 100/80</t>
        </is>
      </c>
      <c r="E15" s="4" t="inlineStr"/>
      <c r="F15" s="4" t="n">
        <v>1</v>
      </c>
      <c r="G15" s="8" t="n"/>
      <c r="H15" s="4">
        <f>IF(G15="","",G15-F15)</f>
        <v/>
      </c>
      <c r="I15" s="9" t="n">
        <v>2000000</v>
      </c>
      <c r="J15" s="9">
        <f>IF(G15="","",H15*I15)</f>
        <v/>
      </c>
      <c r="K15" s="8" t="inlineStr"/>
      <c r="L15" s="8" t="inlineStr"/>
      <c r="M15" s="10" t="inlineStr"/>
    </row>
    <row r="16">
      <c r="A16" s="4" t="n">
        <v>12</v>
      </c>
      <c r="B16" s="6" t="inlineStr">
        <is>
          <t>Гараж 1</t>
        </is>
      </c>
      <c r="C16" s="4" t="inlineStr"/>
      <c r="D16" s="5" t="inlineStr">
        <is>
          <t>Пульт 1-маленький 1-большой</t>
        </is>
      </c>
      <c r="E16" s="4" t="inlineStr"/>
      <c r="F16" s="4" t="n">
        <v>2</v>
      </c>
      <c r="G16" s="8" t="n"/>
      <c r="H16" s="4">
        <f>IF(G16="","",G16-F16)</f>
        <v/>
      </c>
      <c r="I16" s="9" t="n">
        <v>50000</v>
      </c>
      <c r="J16" s="9">
        <f>IF(G16="","",H16*I16)</f>
        <v/>
      </c>
      <c r="K16" s="8" t="inlineStr"/>
      <c r="L16" s="8" t="inlineStr"/>
      <c r="M16" s="10" t="inlineStr"/>
    </row>
    <row r="17">
      <c r="A17" s="4" t="n">
        <v>13</v>
      </c>
      <c r="B17" s="6" t="inlineStr">
        <is>
          <t>Гараж 1</t>
        </is>
      </c>
      <c r="C17" s="4" t="inlineStr"/>
      <c r="D17" s="5" t="inlineStr">
        <is>
          <t>РНП- 1А 230 Ампер</t>
        </is>
      </c>
      <c r="E17" s="4" t="inlineStr"/>
      <c r="F17" s="4" t="n">
        <v>2</v>
      </c>
      <c r="G17" s="8" t="n"/>
      <c r="H17" s="4">
        <f>IF(G17="","",G17-F17)</f>
        <v/>
      </c>
      <c r="I17" s="9" t="n">
        <v>5000</v>
      </c>
      <c r="J17" s="9">
        <f>IF(G17="","",H17*I17)</f>
        <v/>
      </c>
      <c r="K17" s="8" t="inlineStr"/>
      <c r="L17" s="8" t="inlineStr"/>
      <c r="M17" s="10" t="inlineStr"/>
    </row>
    <row r="18">
      <c r="A18" s="4" t="n">
        <v>14</v>
      </c>
      <c r="B18" s="6" t="inlineStr">
        <is>
          <t>Гараж 1</t>
        </is>
      </c>
      <c r="C18" s="4" t="inlineStr"/>
      <c r="D18" s="5" t="inlineStr">
        <is>
          <t>Трансформатор ОСВ-0,5 50Hz</t>
        </is>
      </c>
      <c r="E18" s="4" t="inlineStr"/>
      <c r="F18" s="4" t="n">
        <v>1</v>
      </c>
      <c r="G18" s="8" t="n"/>
      <c r="H18" s="4">
        <f>IF(G18="","",G18-F18)</f>
        <v/>
      </c>
      <c r="I18" s="9" t="n">
        <v>5500</v>
      </c>
      <c r="J18" s="9">
        <f>IF(G18="","",H18*I18)</f>
        <v/>
      </c>
      <c r="K18" s="8" t="inlineStr"/>
      <c r="L18" s="8" t="inlineStr"/>
      <c r="M18" s="10" t="inlineStr"/>
    </row>
    <row r="19">
      <c r="A19" s="4" t="n">
        <v>15</v>
      </c>
      <c r="B19" s="6" t="inlineStr">
        <is>
          <t>Гараж 1</t>
        </is>
      </c>
      <c r="C19" s="4" t="inlineStr"/>
      <c r="D19" s="5" t="inlineStr">
        <is>
          <t>Трансформатор ОСВМ-0,63-74</t>
        </is>
      </c>
      <c r="E19" s="4" t="inlineStr"/>
      <c r="F19" s="4" t="n">
        <v>1</v>
      </c>
      <c r="G19" s="8" t="n"/>
      <c r="H19" s="4">
        <f>IF(G19="","",G19-F19)</f>
        <v/>
      </c>
      <c r="I19" s="9" t="n">
        <v>10000</v>
      </c>
      <c r="J19" s="9">
        <f>IF(G19="","",H19*I19)</f>
        <v/>
      </c>
      <c r="K19" s="8" t="inlineStr"/>
      <c r="L19" s="8" t="inlineStr"/>
      <c r="M19" s="10" t="inlineStr"/>
    </row>
    <row r="20">
      <c r="A20" s="4" t="n">
        <v>16</v>
      </c>
      <c r="B20" s="6" t="inlineStr">
        <is>
          <t>Гараж 1</t>
        </is>
      </c>
      <c r="C20" s="4" t="inlineStr"/>
      <c r="D20" s="5" t="inlineStr">
        <is>
          <t>Трансформатор ОСВМ-2,5-74 50Hz</t>
        </is>
      </c>
      <c r="E20" s="4" t="inlineStr"/>
      <c r="F20" s="4" t="n">
        <v>1</v>
      </c>
      <c r="G20" s="8" t="n"/>
      <c r="H20" s="4">
        <f>IF(G20="","",G20-F20)</f>
        <v/>
      </c>
      <c r="I20" s="9" t="n">
        <v>10000</v>
      </c>
      <c r="J20" s="9">
        <f>IF(G20="","",H20*I20)</f>
        <v/>
      </c>
      <c r="K20" s="8" t="inlineStr"/>
      <c r="L20" s="8" t="inlineStr"/>
      <c r="M20" s="10" t="inlineStr"/>
    </row>
    <row r="21">
      <c r="A21" s="4" t="n">
        <v>17</v>
      </c>
      <c r="B21" s="6" t="inlineStr">
        <is>
          <t>Гараж 1</t>
        </is>
      </c>
      <c r="C21" s="4" t="inlineStr"/>
      <c r="D21" s="5" t="inlineStr">
        <is>
          <t>Трансформатор ОСЗ-10/0,5 10кВт 50Hz</t>
        </is>
      </c>
      <c r="E21" s="4" t="inlineStr"/>
      <c r="F21" s="4" t="n">
        <v>2</v>
      </c>
      <c r="G21" s="8" t="n"/>
      <c r="H21" s="4">
        <f>IF(G21="","",G21-F21)</f>
        <v/>
      </c>
      <c r="I21" s="9" t="n">
        <v>57445</v>
      </c>
      <c r="J21" s="9">
        <f>IF(G21="","",H21*I21)</f>
        <v/>
      </c>
      <c r="K21" s="8" t="inlineStr"/>
      <c r="L21" s="8" t="inlineStr"/>
      <c r="M21" s="10" t="inlineStr"/>
    </row>
    <row r="22">
      <c r="A22" s="4" t="n">
        <v>18</v>
      </c>
      <c r="B22" s="6" t="inlineStr">
        <is>
          <t>Гараж 1</t>
        </is>
      </c>
      <c r="C22" s="4" t="inlineStr"/>
      <c r="D22" s="5" t="inlineStr">
        <is>
          <t>Ящик с ЗИП</t>
        </is>
      </c>
      <c r="E22" s="4" t="inlineStr"/>
      <c r="F22" s="4" t="n">
        <v>1</v>
      </c>
      <c r="G22" s="8" t="n"/>
      <c r="H22" s="4">
        <f>IF(G22="","",G22-F22)</f>
        <v/>
      </c>
      <c r="I22" s="9" t="n">
        <v>10000</v>
      </c>
      <c r="J22" s="9">
        <f>IF(G22="","",H22*I22)</f>
        <v/>
      </c>
      <c r="K22" s="8" t="inlineStr"/>
      <c r="L22" s="8" t="inlineStr"/>
      <c r="M22" s="10" t="inlineStr"/>
    </row>
    <row r="23">
      <c r="A23" s="4" t="n">
        <v>19</v>
      </c>
      <c r="B23" s="6" t="inlineStr">
        <is>
          <t>Гараж 2</t>
        </is>
      </c>
      <c r="C23" s="4" t="inlineStr"/>
      <c r="D23" s="5" t="inlineStr">
        <is>
          <t>Весы для ЛБАШ ( похоже на вентиляцию )</t>
        </is>
      </c>
      <c r="E23" s="4" t="inlineStr"/>
      <c r="F23" s="4" t="n">
        <v>4</v>
      </c>
      <c r="G23" s="8" t="n"/>
      <c r="H23" s="4">
        <f>IF(G23="","",G23-F23)</f>
        <v/>
      </c>
      <c r="I23" s="9" t="n">
        <v>100000</v>
      </c>
      <c r="J23" s="9">
        <f>IF(G23="","",H23*I23)</f>
        <v/>
      </c>
      <c r="K23" s="8" t="inlineStr"/>
      <c r="L23" s="8" t="inlineStr"/>
      <c r="M23" s="10" t="inlineStr"/>
    </row>
    <row r="24">
      <c r="A24" s="4" t="n">
        <v>20</v>
      </c>
      <c r="B24" s="6" t="inlineStr">
        <is>
          <t>Гараж 2</t>
        </is>
      </c>
      <c r="C24" s="4" t="inlineStr"/>
      <c r="D24" s="5" t="inlineStr">
        <is>
          <t>Дверь ВГН 1400*600 КИТАЙ левая</t>
        </is>
      </c>
      <c r="E24" s="4" t="inlineStr"/>
      <c r="F24" s="4" t="n">
        <v>4</v>
      </c>
      <c r="G24" s="8" t="n"/>
      <c r="H24" s="4">
        <f>IF(G24="","",G24-F24)</f>
        <v/>
      </c>
      <c r="I24" s="9" t="n">
        <v>70000</v>
      </c>
      <c r="J24" s="9">
        <f>IF(G24="","",H24*I24)</f>
        <v/>
      </c>
      <c r="K24" s="8" t="inlineStr"/>
      <c r="L24" s="8" t="inlineStr"/>
      <c r="M24" s="10" t="inlineStr"/>
    </row>
    <row r="25">
      <c r="A25" s="4" t="n">
        <v>21</v>
      </c>
      <c r="B25" s="6" t="inlineStr">
        <is>
          <t>Гараж 2</t>
        </is>
      </c>
      <c r="C25" s="4" t="inlineStr"/>
      <c r="D25" s="5" t="inlineStr">
        <is>
          <t>Дверь ВГН 1400*600 КИТАЙ правая</t>
        </is>
      </c>
      <c r="E25" s="4" t="inlineStr"/>
      <c r="F25" s="4" t="n">
        <v>5</v>
      </c>
      <c r="G25" s="8" t="n"/>
      <c r="H25" s="4">
        <f>IF(G25="","",G25-F25)</f>
        <v/>
      </c>
      <c r="I25" s="9" t="n">
        <v>70000</v>
      </c>
      <c r="J25" s="9">
        <f>IF(G25="","",H25*I25)</f>
        <v/>
      </c>
      <c r="K25" s="8" t="inlineStr"/>
      <c r="L25" s="8" t="inlineStr"/>
      <c r="M25" s="10" t="inlineStr"/>
    </row>
    <row r="26">
      <c r="A26" s="4" t="n">
        <v>22</v>
      </c>
      <c r="B26" s="6" t="inlineStr">
        <is>
          <t>Гараж 2</t>
        </is>
      </c>
      <c r="C26" s="4" t="inlineStr"/>
      <c r="D26" s="5" t="inlineStr">
        <is>
          <t>Дверь легкая 1750*650 левая без иллюминатора</t>
        </is>
      </c>
      <c r="E26" s="4" t="inlineStr"/>
      <c r="F26" s="4" t="n">
        <v>23</v>
      </c>
      <c r="G26" s="8" t="n"/>
      <c r="H26" s="4">
        <f>IF(G26="","",G26-F26)</f>
        <v/>
      </c>
      <c r="I26" s="9" t="n">
        <v>30000</v>
      </c>
      <c r="J26" s="9">
        <f>IF(G26="","",H26*I26)</f>
        <v/>
      </c>
      <c r="K26" s="8" t="inlineStr"/>
      <c r="L26" s="8" t="inlineStr"/>
      <c r="M26" s="10" t="inlineStr"/>
    </row>
    <row r="27">
      <c r="A27" s="4" t="n">
        <v>23</v>
      </c>
      <c r="B27" s="6" t="inlineStr">
        <is>
          <t>Гараж 2</t>
        </is>
      </c>
      <c r="C27" s="4" t="inlineStr"/>
      <c r="D27" s="5" t="inlineStr">
        <is>
          <t>Дверь легкая 1750*650 левая с иллюминатором</t>
        </is>
      </c>
      <c r="E27" s="4" t="inlineStr"/>
      <c r="F27" s="4" t="n">
        <v>13</v>
      </c>
      <c r="G27" s="8" t="n"/>
      <c r="H27" s="4">
        <f>IF(G27="","",G27-F27)</f>
        <v/>
      </c>
      <c r="I27" s="9" t="n">
        <v>30000</v>
      </c>
      <c r="J27" s="9">
        <f>IF(G27="","",H27*I27)</f>
        <v/>
      </c>
      <c r="K27" s="8" t="inlineStr"/>
      <c r="L27" s="8" t="inlineStr"/>
      <c r="M27" s="10" t="inlineStr"/>
    </row>
    <row r="28">
      <c r="A28" s="4" t="n">
        <v>24</v>
      </c>
      <c r="B28" s="6" t="inlineStr">
        <is>
          <t>Гараж 2</t>
        </is>
      </c>
      <c r="C28" s="4" t="inlineStr"/>
      <c r="D28" s="5" t="inlineStr">
        <is>
          <t>Компрессор 2ОК1 синий</t>
        </is>
      </c>
      <c r="E28" s="4" t="inlineStr"/>
      <c r="F28" s="4" t="n">
        <v>1</v>
      </c>
      <c r="G28" s="8" t="n"/>
      <c r="H28" s="4">
        <f>IF(G28="","",G28-F28)</f>
        <v/>
      </c>
      <c r="I28" s="9" t="n">
        <v>450000</v>
      </c>
      <c r="J28" s="9">
        <f>IF(G28="","",H28*I28)</f>
        <v/>
      </c>
      <c r="K28" s="8" t="inlineStr"/>
      <c r="L28" s="8" t="inlineStr"/>
      <c r="M28" s="10" t="inlineStr"/>
    </row>
    <row r="29">
      <c r="A29" s="4" t="n">
        <v>25</v>
      </c>
      <c r="B29" s="6" t="inlineStr">
        <is>
          <t>Гараж 2</t>
        </is>
      </c>
      <c r="C29" s="4" t="inlineStr"/>
      <c r="D29" s="5" t="inlineStr">
        <is>
          <t>Насос</t>
        </is>
      </c>
      <c r="E29" s="4" t="inlineStr"/>
      <c r="F29" s="4" t="n">
        <v>2</v>
      </c>
      <c r="G29" s="8" t="n"/>
      <c r="H29" s="4">
        <f>IF(G29="","",G29-F29)</f>
        <v/>
      </c>
      <c r="I29" s="9" t="n">
        <v>50000</v>
      </c>
      <c r="J29" s="9">
        <f>IF(G29="","",H29*I29)</f>
        <v/>
      </c>
      <c r="K29" s="8" t="inlineStr"/>
      <c r="L29" s="8" t="inlineStr"/>
      <c r="M29" s="10" t="inlineStr"/>
    </row>
    <row r="30">
      <c r="A30" s="4" t="n">
        <v>26</v>
      </c>
      <c r="B30" s="6" t="inlineStr">
        <is>
          <t>Гараж 2</t>
        </is>
      </c>
      <c r="C30" s="4" t="inlineStr"/>
      <c r="D30" s="5" t="inlineStr">
        <is>
          <t>Насос ЭСН-11А пост. 175/320В, 9,6/19,5кВт, 2400/3750 об/м</t>
        </is>
      </c>
      <c r="E30" s="4" t="inlineStr"/>
      <c r="F30" s="4" t="n">
        <v>1</v>
      </c>
      <c r="G30" s="8" t="n"/>
      <c r="H30" s="4">
        <f>IF(G30="","",G30-F30)</f>
        <v/>
      </c>
      <c r="I30" s="9" t="n">
        <v>200000</v>
      </c>
      <c r="J30" s="9">
        <f>IF(G30="","",H30*I30)</f>
        <v/>
      </c>
      <c r="K30" s="8" t="inlineStr"/>
      <c r="L30" s="8" t="inlineStr"/>
      <c r="M30" s="10" t="inlineStr"/>
    </row>
    <row r="31">
      <c r="A31" s="4" t="n">
        <v>27</v>
      </c>
      <c r="B31" s="6" t="inlineStr">
        <is>
          <t>Гараж 2</t>
        </is>
      </c>
      <c r="C31" s="4" t="inlineStr"/>
      <c r="D31" s="5" t="inlineStr">
        <is>
          <t>Плита камбузная ПКЭ-300-ОМ4 3-127V; 25,2kw ;№1108; 460кг; 04/92г</t>
        </is>
      </c>
      <c r="E31" s="4" t="inlineStr"/>
      <c r="F31" s="4" t="n">
        <v>1</v>
      </c>
      <c r="G31" s="8" t="n"/>
      <c r="H31" s="4">
        <f>IF(G31="","",G31-F31)</f>
        <v/>
      </c>
      <c r="I31" s="9" t="n">
        <v>480000</v>
      </c>
      <c r="J31" s="9">
        <f>IF(G31="","",H31*I31)</f>
        <v/>
      </c>
      <c r="K31" s="8" t="inlineStr"/>
      <c r="L31" s="8" t="inlineStr"/>
      <c r="M31" s="10" t="inlineStr"/>
    </row>
    <row r="32">
      <c r="A32" s="4" t="n">
        <v>28</v>
      </c>
      <c r="B32" s="6" t="inlineStr">
        <is>
          <t>Гараж 2</t>
        </is>
      </c>
      <c r="C32" s="4" t="inlineStr"/>
      <c r="D32" s="5" t="inlineStr">
        <is>
          <t>Плита камбузная ПКЭ-300-ОМ4 3-220V; 25,2kw ;№672; 460кг; 11/91г</t>
        </is>
      </c>
      <c r="E32" s="4" t="inlineStr"/>
      <c r="F32" s="4" t="n">
        <v>1</v>
      </c>
      <c r="G32" s="8" t="n"/>
      <c r="H32" s="4">
        <f>IF(G32="","",G32-F32)</f>
        <v/>
      </c>
      <c r="I32" s="9" t="n">
        <v>480000</v>
      </c>
      <c r="J32" s="9">
        <f>IF(G32="","",H32*I32)</f>
        <v/>
      </c>
      <c r="K32" s="8" t="inlineStr"/>
      <c r="L32" s="8" t="inlineStr"/>
      <c r="M32" s="10" t="inlineStr"/>
    </row>
    <row r="33">
      <c r="A33" s="4" t="n">
        <v>29</v>
      </c>
      <c r="B33" s="6" t="inlineStr">
        <is>
          <t>Гараж 2</t>
        </is>
      </c>
      <c r="C33" s="4" t="inlineStr"/>
      <c r="D33" s="5" t="inlineStr">
        <is>
          <t>Ротор ?</t>
        </is>
      </c>
      <c r="E33" s="4" t="inlineStr"/>
      <c r="F33" s="4" t="n">
        <v>1</v>
      </c>
      <c r="G33" s="8" t="n"/>
      <c r="H33" s="4">
        <f>IF(G33="","",G33-F33)</f>
        <v/>
      </c>
      <c r="I33" s="9" t="n">
        <v>200000</v>
      </c>
      <c r="J33" s="9">
        <f>IF(G33="","",H33*I33)</f>
        <v/>
      </c>
      <c r="K33" s="8" t="inlineStr"/>
      <c r="L33" s="8" t="inlineStr"/>
      <c r="M33" s="10" t="inlineStr"/>
    </row>
    <row r="34">
      <c r="A34" s="4" t="n">
        <v>30</v>
      </c>
      <c r="B34" s="6" t="inlineStr">
        <is>
          <t>Гараж 2</t>
        </is>
      </c>
      <c r="C34" s="4" t="inlineStr"/>
      <c r="D34" s="5" t="inlineStr">
        <is>
          <t>Электропривод к задвижке</t>
        </is>
      </c>
      <c r="E34" s="4" t="inlineStr"/>
      <c r="F34" s="4" t="n">
        <v>1</v>
      </c>
      <c r="G34" s="8" t="n"/>
      <c r="H34" s="4">
        <f>IF(G34="","",G34-F34)</f>
        <v/>
      </c>
      <c r="I34" s="9" t="n">
        <v>50000</v>
      </c>
      <c r="J34" s="9">
        <f>IF(G34="","",H34*I34)</f>
        <v/>
      </c>
      <c r="K34" s="8" t="inlineStr"/>
      <c r="L34" s="8" t="inlineStr"/>
      <c r="M34" s="10" t="inlineStr"/>
    </row>
    <row r="35">
      <c r="A35" s="4" t="n">
        <v>31</v>
      </c>
      <c r="B35" s="6" t="inlineStr">
        <is>
          <t>Гараж 2</t>
        </is>
      </c>
      <c r="C35" s="4" t="inlineStr"/>
      <c r="D35" s="5" t="inlineStr">
        <is>
          <t>иллюминатор б/у д. 300, 350</t>
        </is>
      </c>
      <c r="E35" s="4" t="inlineStr"/>
      <c r="F35" s="4" t="n">
        <v>27</v>
      </c>
      <c r="G35" s="8" t="n"/>
      <c r="H35" s="4">
        <f>IF(G35="","",G35-F35)</f>
        <v/>
      </c>
      <c r="I35" s="9" t="n">
        <v>20000</v>
      </c>
      <c r="J35" s="9">
        <f>IF(G35="","",H35*I35)</f>
        <v/>
      </c>
      <c r="K35" s="8" t="inlineStr"/>
      <c r="L35" s="8" t="inlineStr"/>
      <c r="M35" s="10" t="inlineStr"/>
    </row>
    <row r="36">
      <c r="A36" s="4" t="n">
        <v>32</v>
      </c>
      <c r="B36" s="6" t="inlineStr">
        <is>
          <t>ЗИП и насосы</t>
        </is>
      </c>
      <c r="C36" s="4" t="inlineStr">
        <is>
          <t>Насосы, сепаратор</t>
        </is>
      </c>
      <c r="D36" s="5" t="inlineStr">
        <is>
          <t>Блок цилиндров NVD48A2U</t>
        </is>
      </c>
      <c r="E36" s="4" t="inlineStr"/>
      <c r="F36" s="4" t="n">
        <v>1</v>
      </c>
      <c r="G36" s="8" t="n"/>
      <c r="H36" s="4">
        <f>IF(G36="","",G36-F36)</f>
        <v/>
      </c>
      <c r="I36" s="9" t="n"/>
      <c r="J36" s="9">
        <f>IF(G36="","",H36*I36)</f>
        <v/>
      </c>
      <c r="K36" s="8" t="inlineStr"/>
      <c r="L36" s="8" t="inlineStr"/>
      <c r="M36" s="10" t="inlineStr"/>
    </row>
    <row r="37">
      <c r="A37" s="4" t="n">
        <v>33</v>
      </c>
      <c r="B37" s="6" t="inlineStr">
        <is>
          <t>ЗИП и насосы</t>
        </is>
      </c>
      <c r="C37" s="4" t="inlineStr">
        <is>
          <t>Насосы, сепаратор</t>
        </is>
      </c>
      <c r="D37" s="5" t="inlineStr">
        <is>
          <t>Блокформы LBH немец.круглые (отверстие посредине)</t>
        </is>
      </c>
      <c r="E37" s="4" t="inlineStr"/>
      <c r="F37" s="4" t="n">
        <v>71</v>
      </c>
      <c r="G37" s="8" t="n"/>
      <c r="H37" s="4">
        <f>IF(G37="","",G37-F37)</f>
        <v/>
      </c>
      <c r="I37" s="9" t="n"/>
      <c r="J37" s="9">
        <f>IF(G37="","",H37*I37)</f>
        <v/>
      </c>
      <c r="K37" s="8" t="inlineStr"/>
      <c r="L37" s="8" t="inlineStr"/>
      <c r="M37" s="10" t="inlineStr"/>
    </row>
    <row r="38">
      <c r="A38" s="4" t="n">
        <v>34</v>
      </c>
      <c r="B38" s="6" t="inlineStr">
        <is>
          <t>ЗИП и насосы</t>
        </is>
      </c>
      <c r="C38" s="4" t="inlineStr">
        <is>
          <t>Насосы, сепаратор</t>
        </is>
      </c>
      <c r="D38" s="5" t="inlineStr">
        <is>
          <t>Блокформы LBH русск.овальные</t>
        </is>
      </c>
      <c r="E38" s="4" t="inlineStr"/>
      <c r="F38" s="4" t="n">
        <v>45</v>
      </c>
      <c r="G38" s="8" t="n"/>
      <c r="H38" s="4">
        <f>IF(G38="","",G38-F38)</f>
        <v/>
      </c>
      <c r="I38" s="9" t="n"/>
      <c r="J38" s="9">
        <f>IF(G38="","",H38*I38)</f>
        <v/>
      </c>
      <c r="K38" s="8" t="inlineStr"/>
      <c r="L38" s="8" t="inlineStr"/>
      <c r="M38" s="10" t="inlineStr"/>
    </row>
    <row r="39">
      <c r="A39" s="4" t="n">
        <v>35</v>
      </c>
      <c r="B39" s="6" t="inlineStr">
        <is>
          <t>ЗИП и насосы</t>
        </is>
      </c>
      <c r="C39" s="4" t="inlineStr">
        <is>
          <t>Насосы, сепаратор</t>
        </is>
      </c>
      <c r="D39" s="5" t="inlineStr">
        <is>
          <t>Брашпиль Б3</t>
        </is>
      </c>
      <c r="E39" s="4" t="inlineStr"/>
      <c r="F39" s="4" t="n">
        <v>1</v>
      </c>
      <c r="G39" s="8" t="n"/>
      <c r="H39" s="4">
        <f>IF(G39="","",G39-F39)</f>
        <v/>
      </c>
      <c r="I39" s="9" t="n"/>
      <c r="J39" s="9">
        <f>IF(G39="","",H39*I39)</f>
        <v/>
      </c>
      <c r="K39" s="8" t="inlineStr"/>
      <c r="L39" s="8" t="inlineStr"/>
      <c r="M39" s="10" t="inlineStr"/>
    </row>
    <row r="40">
      <c r="A40" s="4" t="n">
        <v>36</v>
      </c>
      <c r="B40" s="6" t="inlineStr">
        <is>
          <t>ЗИП и насосы</t>
        </is>
      </c>
      <c r="C40" s="4" t="inlineStr">
        <is>
          <t>Насосы, сепаратор</t>
        </is>
      </c>
      <c r="D40" s="5" t="inlineStr">
        <is>
          <t>Брашпиль Б4</t>
        </is>
      </c>
      <c r="E40" s="4" t="inlineStr"/>
      <c r="F40" s="4" t="n">
        <v>1</v>
      </c>
      <c r="G40" s="8" t="n"/>
      <c r="H40" s="4">
        <f>IF(G40="","",G40-F40)</f>
        <v/>
      </c>
      <c r="I40" s="9" t="n"/>
      <c r="J40" s="9">
        <f>IF(G40="","",H40*I40)</f>
        <v/>
      </c>
      <c r="K40" s="8" t="inlineStr"/>
      <c r="L40" s="8" t="inlineStr"/>
      <c r="M40" s="10" t="inlineStr"/>
    </row>
    <row r="41">
      <c r="A41" s="4" t="n">
        <v>37</v>
      </c>
      <c r="B41" s="6" t="inlineStr">
        <is>
          <t>ЗИП и насосы</t>
        </is>
      </c>
      <c r="C41" s="4" t="inlineStr">
        <is>
          <t>Насосы, сепаратор</t>
        </is>
      </c>
      <c r="D41" s="5" t="inlineStr">
        <is>
          <t>Вентилятор</t>
        </is>
      </c>
      <c r="E41" s="4" t="inlineStr"/>
      <c r="F41" s="4" t="n">
        <v>1</v>
      </c>
      <c r="G41" s="8" t="n"/>
      <c r="H41" s="4">
        <f>IF(G41="","",G41-F41)</f>
        <v/>
      </c>
      <c r="I41" s="9" t="n"/>
      <c r="J41" s="9">
        <f>IF(G41="","",H41*I41)</f>
        <v/>
      </c>
      <c r="K41" s="8" t="inlineStr"/>
      <c r="L41" s="8" t="inlineStr"/>
      <c r="M41" s="10" t="inlineStr"/>
    </row>
    <row r="42">
      <c r="A42" s="4" t="n">
        <v>38</v>
      </c>
      <c r="B42" s="6" t="inlineStr">
        <is>
          <t>ЗИП и насосы</t>
        </is>
      </c>
      <c r="C42" s="4" t="inlineStr">
        <is>
          <t>Насосы, сепаратор</t>
        </is>
      </c>
      <c r="D42" s="5" t="inlineStr">
        <is>
          <t>Весы для ЛБАШ</t>
        </is>
      </c>
      <c r="E42" s="4" t="inlineStr"/>
      <c r="F42" s="4" t="n">
        <v>4</v>
      </c>
      <c r="G42" s="8" t="n"/>
      <c r="H42" s="4">
        <f>IF(G42="","",G42-F42)</f>
        <v/>
      </c>
      <c r="I42" s="9" t="n"/>
      <c r="J42" s="9">
        <f>IF(G42="","",H42*I42)</f>
        <v/>
      </c>
      <c r="K42" s="8" t="inlineStr"/>
      <c r="L42" s="8" t="inlineStr"/>
      <c r="M42" s="10" t="inlineStr"/>
    </row>
    <row r="43">
      <c r="A43" s="4" t="n">
        <v>39</v>
      </c>
      <c r="B43" s="6" t="inlineStr">
        <is>
          <t>ЗИП и насосы</t>
        </is>
      </c>
      <c r="C43" s="4" t="inlineStr">
        <is>
          <t>Насосы, сепаратор</t>
        </is>
      </c>
      <c r="D43" s="5" t="inlineStr">
        <is>
          <t>Коленвал 18/22</t>
        </is>
      </c>
      <c r="E43" s="4" t="inlineStr"/>
      <c r="F43" s="4" t="n">
        <v>1</v>
      </c>
      <c r="G43" s="8" t="n"/>
      <c r="H43" s="4">
        <f>IF(G43="","",G43-F43)</f>
        <v/>
      </c>
      <c r="I43" s="9" t="n"/>
      <c r="J43" s="9">
        <f>IF(G43="","",H43*I43)</f>
        <v/>
      </c>
      <c r="K43" s="8" t="inlineStr"/>
      <c r="L43" s="8" t="inlineStr"/>
      <c r="M43" s="10" t="inlineStr"/>
    </row>
    <row r="44">
      <c r="A44" s="4" t="n">
        <v>40</v>
      </c>
      <c r="B44" s="6" t="inlineStr">
        <is>
          <t>ЗИП и насосы</t>
        </is>
      </c>
      <c r="C44" s="4" t="inlineStr">
        <is>
          <t>6 NVD26 А3</t>
        </is>
      </c>
      <c r="D44" s="5" t="inlineStr">
        <is>
          <t>Кольцо к/с ,**511-26702</t>
        </is>
      </c>
      <c r="E44" s="4" t="inlineStr"/>
      <c r="F44" s="4" t="n">
        <v>54</v>
      </c>
      <c r="G44" s="8" t="n"/>
      <c r="H44" s="4">
        <f>IF(G44="","",G44-F44)</f>
        <v/>
      </c>
      <c r="I44" s="9" t="n"/>
      <c r="J44" s="9">
        <f>IF(G44="","",H44*I44)</f>
        <v/>
      </c>
      <c r="K44" s="8" t="inlineStr"/>
      <c r="L44" s="8" t="inlineStr"/>
      <c r="M44" s="10" t="inlineStr"/>
    </row>
    <row r="45">
      <c r="A45" s="4" t="n">
        <v>41</v>
      </c>
      <c r="B45" s="6" t="inlineStr">
        <is>
          <t>ЗИП и насосы</t>
        </is>
      </c>
      <c r="C45" s="4" t="inlineStr">
        <is>
          <t>Насосы, сепаратор</t>
        </is>
      </c>
      <c r="D45" s="5" t="inlineStr">
        <is>
          <t>Компрессор 2ОК1 синий</t>
        </is>
      </c>
      <c r="E45" s="4" t="inlineStr"/>
      <c r="F45" s="4" t="n">
        <v>1</v>
      </c>
      <c r="G45" s="8" t="n"/>
      <c r="H45" s="4">
        <f>IF(G45="","",G45-F45)</f>
        <v/>
      </c>
      <c r="I45" s="9" t="n"/>
      <c r="J45" s="9">
        <f>IF(G45="","",H45*I45)</f>
        <v/>
      </c>
      <c r="K45" s="8" t="inlineStr"/>
      <c r="L45" s="8" t="inlineStr"/>
      <c r="M45" s="10" t="inlineStr"/>
    </row>
    <row r="46">
      <c r="A46" s="4" t="n">
        <v>42</v>
      </c>
      <c r="B46" s="6" t="inlineStr">
        <is>
          <t>ЗИП и насосы</t>
        </is>
      </c>
      <c r="C46" s="4" t="inlineStr">
        <is>
          <t>Насосы, сепаратор</t>
        </is>
      </c>
      <c r="D46" s="5" t="inlineStr">
        <is>
          <t>Кран-балка</t>
        </is>
      </c>
      <c r="E46" s="4" t="inlineStr"/>
      <c r="F46" s="4" t="n">
        <v>1</v>
      </c>
      <c r="G46" s="8" t="n"/>
      <c r="H46" s="4">
        <f>IF(G46="","",G46-F46)</f>
        <v/>
      </c>
      <c r="I46" s="9" t="n"/>
      <c r="J46" s="9">
        <f>IF(G46="","",H46*I46)</f>
        <v/>
      </c>
      <c r="K46" s="8" t="inlineStr"/>
      <c r="L46" s="8" t="inlineStr"/>
      <c r="M46" s="10" t="inlineStr"/>
    </row>
    <row r="47">
      <c r="A47" s="4" t="n">
        <v>43</v>
      </c>
      <c r="B47" s="6" t="inlineStr">
        <is>
          <t>ЗИП и насосы</t>
        </is>
      </c>
      <c r="C47" s="4" t="inlineStr">
        <is>
          <t>Насосы, сепаратор</t>
        </is>
      </c>
      <c r="D47" s="5" t="inlineStr">
        <is>
          <t>Кранец курский б/у</t>
        </is>
      </c>
      <c r="E47" s="4" t="inlineStr"/>
      <c r="F47" s="4" t="n">
        <v>1</v>
      </c>
      <c r="G47" s="8" t="n"/>
      <c r="H47" s="4">
        <f>IF(G47="","",G47-F47)</f>
        <v/>
      </c>
      <c r="I47" s="9" t="n"/>
      <c r="J47" s="9">
        <f>IF(G47="","",H47*I47)</f>
        <v/>
      </c>
      <c r="K47" s="8" t="inlineStr"/>
      <c r="L47" s="8" t="inlineStr"/>
      <c r="M47" s="10" t="inlineStr"/>
    </row>
    <row r="48">
      <c r="A48" s="4" t="n">
        <v>44</v>
      </c>
      <c r="B48" s="6" t="inlineStr">
        <is>
          <t>ЗИП и насосы</t>
        </is>
      </c>
      <c r="C48" s="4" t="inlineStr">
        <is>
          <t>6 NVD26 А3</t>
        </is>
      </c>
      <c r="D48" s="5" t="inlineStr">
        <is>
          <t>Крышка 6 NVD26 А3</t>
        </is>
      </c>
      <c r="E48" s="4" t="inlineStr"/>
      <c r="F48" s="4" t="n">
        <v>3</v>
      </c>
      <c r="G48" s="8" t="n"/>
      <c r="H48" s="4">
        <f>IF(G48="","",G48-F48)</f>
        <v/>
      </c>
      <c r="I48" s="9" t="n"/>
      <c r="J48" s="9">
        <f>IF(G48="","",H48*I48)</f>
        <v/>
      </c>
      <c r="K48" s="8" t="inlineStr"/>
      <c r="L48" s="8" t="inlineStr"/>
      <c r="M48" s="10" t="inlineStr"/>
    </row>
    <row r="49">
      <c r="A49" s="4" t="n">
        <v>45</v>
      </c>
      <c r="B49" s="6" t="inlineStr">
        <is>
          <t>ЗИП и насосы</t>
        </is>
      </c>
      <c r="C49" s="4" t="inlineStr">
        <is>
          <t>Насосы, сепаратор</t>
        </is>
      </c>
      <c r="D49" s="5" t="inlineStr">
        <is>
          <t>Лебедка ЛЭ74</t>
        </is>
      </c>
      <c r="E49" s="4" t="inlineStr"/>
      <c r="F49" s="4" t="n">
        <v>2</v>
      </c>
      <c r="G49" s="8" t="n"/>
      <c r="H49" s="4">
        <f>IF(G49="","",G49-F49)</f>
        <v/>
      </c>
      <c r="I49" s="9" t="n"/>
      <c r="J49" s="9">
        <f>IF(G49="","",H49*I49)</f>
        <v/>
      </c>
      <c r="K49" s="8" t="inlineStr"/>
      <c r="L49" s="8" t="inlineStr"/>
      <c r="M49" s="10" t="inlineStr"/>
    </row>
    <row r="50">
      <c r="A50" s="4" t="n">
        <v>46</v>
      </c>
      <c r="B50" s="6" t="inlineStr">
        <is>
          <t>ЗИП и насосы</t>
        </is>
      </c>
      <c r="C50" s="4" t="inlineStr">
        <is>
          <t>6 NVD26 А3</t>
        </is>
      </c>
      <c r="D50" s="5" t="inlineStr">
        <is>
          <t>Мотылевый болт ,572-08006</t>
        </is>
      </c>
      <c r="E50" s="4" t="inlineStr"/>
      <c r="F50" s="4" t="n">
        <v>12</v>
      </c>
      <c r="G50" s="8" t="n"/>
      <c r="H50" s="4">
        <f>IF(G50="","",G50-F50)</f>
        <v/>
      </c>
      <c r="I50" s="9" t="n"/>
      <c r="J50" s="9">
        <f>IF(G50="","",H50*I50)</f>
        <v/>
      </c>
      <c r="K50" s="8" t="inlineStr"/>
      <c r="L50" s="8" t="inlineStr"/>
      <c r="M50" s="10" t="inlineStr"/>
    </row>
    <row r="51">
      <c r="A51" s="4" t="n">
        <v>47</v>
      </c>
      <c r="B51" s="6" t="inlineStr">
        <is>
          <t>ЗИП и насосы</t>
        </is>
      </c>
      <c r="C51" s="4" t="inlineStr">
        <is>
          <t>Насосы, сепаратор</t>
        </is>
      </c>
      <c r="D51" s="5" t="inlineStr">
        <is>
          <t>Насос</t>
        </is>
      </c>
      <c r="E51" s="4" t="inlineStr"/>
      <c r="F51" s="4" t="n">
        <v>2</v>
      </c>
      <c r="G51" s="8" t="n"/>
      <c r="H51" s="4">
        <f>IF(G51="","",G51-F51)</f>
        <v/>
      </c>
      <c r="I51" s="9" t="n"/>
      <c r="J51" s="9">
        <f>IF(G51="","",H51*I51)</f>
        <v/>
      </c>
      <c r="K51" s="8" t="inlineStr"/>
      <c r="L51" s="8" t="inlineStr"/>
      <c r="M51" s="10" t="inlineStr"/>
    </row>
    <row r="52">
      <c r="A52" s="4" t="n">
        <v>48</v>
      </c>
      <c r="B52" s="6" t="inlineStr">
        <is>
          <t>ЗИП и насосы</t>
        </is>
      </c>
      <c r="C52" s="4" t="inlineStr">
        <is>
          <t>Насосы, сепаратор</t>
        </is>
      </c>
      <c r="D52" s="5" t="inlineStr">
        <is>
          <t>Насос НЦВ 40/20 б/у</t>
        </is>
      </c>
      <c r="E52" s="4" t="inlineStr"/>
      <c r="F52" s="4" t="n">
        <v>4</v>
      </c>
      <c r="G52" s="8" t="n"/>
      <c r="H52" s="4">
        <f>IF(G52="","",G52-F52)</f>
        <v/>
      </c>
      <c r="I52" s="9" t="n"/>
      <c r="J52" s="9">
        <f>IF(G52="","",H52*I52)</f>
        <v/>
      </c>
      <c r="K52" s="8" t="inlineStr"/>
      <c r="L52" s="8" t="inlineStr"/>
      <c r="M52" s="10" t="inlineStr"/>
    </row>
    <row r="53">
      <c r="A53" s="4" t="n">
        <v>49</v>
      </c>
      <c r="B53" s="6" t="inlineStr">
        <is>
          <t>ЗИП и насосы</t>
        </is>
      </c>
      <c r="C53" s="4" t="inlineStr">
        <is>
          <t>Насосы, сепаратор</t>
        </is>
      </c>
      <c r="D53" s="5" t="inlineStr">
        <is>
          <t>Насос НЦВ 40/65 б/у</t>
        </is>
      </c>
      <c r="E53" s="4" t="inlineStr"/>
      <c r="F53" s="4" t="n">
        <v>1</v>
      </c>
      <c r="G53" s="8" t="n"/>
      <c r="H53" s="4">
        <f>IF(G53="","",G53-F53)</f>
        <v/>
      </c>
      <c r="I53" s="9" t="n"/>
      <c r="J53" s="9">
        <f>IF(G53="","",H53*I53)</f>
        <v/>
      </c>
      <c r="K53" s="8" t="inlineStr"/>
      <c r="L53" s="8" t="inlineStr"/>
      <c r="M53" s="10" t="inlineStr"/>
    </row>
    <row r="54">
      <c r="A54" s="4" t="n">
        <v>50</v>
      </c>
      <c r="B54" s="6" t="inlineStr">
        <is>
          <t>ЗИП и насосы</t>
        </is>
      </c>
      <c r="C54" s="4" t="inlineStr">
        <is>
          <t>Насосы, сепаратор</t>
        </is>
      </c>
      <c r="D54" s="5" t="inlineStr">
        <is>
          <t>Насос НЦВ40/65, кап ремонт</t>
        </is>
      </c>
      <c r="E54" s="4" t="inlineStr"/>
      <c r="F54" s="4" t="n">
        <v>2</v>
      </c>
      <c r="G54" s="8" t="n"/>
      <c r="H54" s="4">
        <f>IF(G54="","",G54-F54)</f>
        <v/>
      </c>
      <c r="I54" s="9" t="n"/>
      <c r="J54" s="9">
        <f>IF(G54="","",H54*I54)</f>
        <v/>
      </c>
      <c r="K54" s="8" t="inlineStr"/>
      <c r="L54" s="8" t="inlineStr"/>
      <c r="M54" s="10" t="inlineStr"/>
    </row>
    <row r="55">
      <c r="A55" s="4" t="n">
        <v>51</v>
      </c>
      <c r="B55" s="6" t="inlineStr">
        <is>
          <t>ЗИП и насосы</t>
        </is>
      </c>
      <c r="C55" s="4" t="inlineStr">
        <is>
          <t>Насосы, сепаратор</t>
        </is>
      </c>
      <c r="D55" s="5" t="inlineStr">
        <is>
          <t>Насос НЦВП 315/10 новый</t>
        </is>
      </c>
      <c r="E55" s="4" t="inlineStr"/>
      <c r="F55" s="4" t="n">
        <v>1</v>
      </c>
      <c r="G55" s="8" t="n"/>
      <c r="H55" s="4">
        <f>IF(G55="","",G55-F55)</f>
        <v/>
      </c>
      <c r="I55" s="9" t="n"/>
      <c r="J55" s="9">
        <f>IF(G55="","",H55*I55)</f>
        <v/>
      </c>
      <c r="K55" s="8" t="inlineStr"/>
      <c r="L55" s="8" t="inlineStr"/>
      <c r="M55" s="10" t="inlineStr"/>
    </row>
    <row r="56">
      <c r="A56" s="4" t="n">
        <v>52</v>
      </c>
      <c r="B56" s="6" t="inlineStr">
        <is>
          <t>ЗИП и насосы</t>
        </is>
      </c>
      <c r="C56" s="4" t="inlineStr">
        <is>
          <t>Насосы, сепаратор</t>
        </is>
      </c>
      <c r="D56" s="5" t="inlineStr">
        <is>
          <t>Насос НЦВС 40/20 б/у</t>
        </is>
      </c>
      <c r="E56" s="4" t="inlineStr"/>
      <c r="F56" s="4" t="n">
        <v>1</v>
      </c>
      <c r="G56" s="8" t="n"/>
      <c r="H56" s="4">
        <f>IF(G56="","",G56-F56)</f>
        <v/>
      </c>
      <c r="I56" s="9" t="n"/>
      <c r="J56" s="9">
        <f>IF(G56="","",H56*I56)</f>
        <v/>
      </c>
      <c r="K56" s="8" t="inlineStr"/>
      <c r="L56" s="8" t="inlineStr"/>
      <c r="M56" s="10" t="inlineStr"/>
    </row>
    <row r="57">
      <c r="A57" s="4" t="n">
        <v>53</v>
      </c>
      <c r="B57" s="6" t="inlineStr">
        <is>
          <t>ЗИП и насосы</t>
        </is>
      </c>
      <c r="C57" s="4" t="inlineStr">
        <is>
          <t>Насосы, сепаратор</t>
        </is>
      </c>
      <c r="D57" s="5" t="inlineStr">
        <is>
          <t>Насос НЦВС 40/20, кап. ремонт</t>
        </is>
      </c>
      <c r="E57" s="4" t="inlineStr"/>
      <c r="F57" s="4" t="n">
        <v>1</v>
      </c>
      <c r="G57" s="8" t="n"/>
      <c r="H57" s="4">
        <f>IF(G57="","",G57-F57)</f>
        <v/>
      </c>
      <c r="I57" s="9" t="n"/>
      <c r="J57" s="9">
        <f>IF(G57="","",H57*I57)</f>
        <v/>
      </c>
      <c r="K57" s="8" t="inlineStr"/>
      <c r="L57" s="8" t="inlineStr"/>
      <c r="M57" s="10" t="inlineStr"/>
    </row>
    <row r="58">
      <c r="A58" s="4" t="n">
        <v>54</v>
      </c>
      <c r="B58" s="6" t="inlineStr">
        <is>
          <t>ЗИП и насосы</t>
        </is>
      </c>
      <c r="C58" s="4" t="inlineStr">
        <is>
          <t>Насосы, сепаратор</t>
        </is>
      </c>
      <c r="D58" s="5" t="inlineStr">
        <is>
          <t>Насос ЭВН 5/5</t>
        </is>
      </c>
      <c r="E58" s="4" t="inlineStr"/>
      <c r="F58" s="4" t="n">
        <v>2</v>
      </c>
      <c r="G58" s="8" t="n"/>
      <c r="H58" s="4">
        <f>IF(G58="","",G58-F58)</f>
        <v/>
      </c>
      <c r="I58" s="9" t="n"/>
      <c r="J58" s="9">
        <f>IF(G58="","",H58*I58)</f>
        <v/>
      </c>
      <c r="K58" s="8" t="inlineStr"/>
      <c r="L58" s="8" t="inlineStr"/>
      <c r="M58" s="10" t="inlineStr"/>
    </row>
    <row r="59">
      <c r="A59" s="4" t="n">
        <v>55</v>
      </c>
      <c r="B59" s="6" t="inlineStr">
        <is>
          <t>ЗИП и насосы</t>
        </is>
      </c>
      <c r="C59" s="4" t="inlineStr">
        <is>
          <t>Насосы, сепаратор</t>
        </is>
      </c>
      <c r="D59" s="5" t="inlineStr">
        <is>
          <t>Насос ЭСН-11А пост. 175/320В, 9,6/19,5кВт, 2400/3750 об/м</t>
        </is>
      </c>
      <c r="E59" s="4" t="inlineStr"/>
      <c r="F59" s="4" t="n">
        <v>1</v>
      </c>
      <c r="G59" s="8" t="n"/>
      <c r="H59" s="4">
        <f>IF(G59="","",G59-F59)</f>
        <v/>
      </c>
      <c r="I59" s="9" t="n"/>
      <c r="J59" s="9">
        <f>IF(G59="","",H59*I59)</f>
        <v/>
      </c>
      <c r="K59" s="8" t="inlineStr"/>
      <c r="L59" s="8" t="inlineStr"/>
      <c r="M59" s="10" t="inlineStr"/>
    </row>
    <row r="60">
      <c r="A60" s="4" t="n">
        <v>56</v>
      </c>
      <c r="B60" s="6" t="inlineStr">
        <is>
          <t>ЗИП и насосы</t>
        </is>
      </c>
      <c r="C60" s="4" t="inlineStr">
        <is>
          <t>Насосы, сепаратор</t>
        </is>
      </c>
      <c r="D60" s="5" t="inlineStr">
        <is>
          <t>Подруливающее устройство ПУ-130</t>
        </is>
      </c>
      <c r="E60" s="4" t="inlineStr"/>
      <c r="F60" s="4" t="n">
        <v>2</v>
      </c>
      <c r="G60" s="8" t="n"/>
      <c r="H60" s="4">
        <f>IF(G60="","",G60-F60)</f>
        <v/>
      </c>
      <c r="I60" s="9" t="n"/>
      <c r="J60" s="9">
        <f>IF(G60="","",H60*I60)</f>
        <v/>
      </c>
      <c r="K60" s="8" t="inlineStr"/>
      <c r="L60" s="8" t="inlineStr"/>
      <c r="M60" s="10" t="inlineStr"/>
    </row>
    <row r="61">
      <c r="A61" s="4" t="n">
        <v>57</v>
      </c>
      <c r="B61" s="6" t="inlineStr">
        <is>
          <t>ЗИП и насосы</t>
        </is>
      </c>
      <c r="C61" s="4" t="inlineStr">
        <is>
          <t>Насосы, сепаратор</t>
        </is>
      </c>
      <c r="D61" s="5" t="inlineStr">
        <is>
          <t>Ротор</t>
        </is>
      </c>
      <c r="E61" s="4" t="inlineStr"/>
      <c r="F61" s="4" t="n">
        <v>1</v>
      </c>
      <c r="G61" s="8" t="n"/>
      <c r="H61" s="4">
        <f>IF(G61="","",G61-F61)</f>
        <v/>
      </c>
      <c r="I61" s="9" t="n"/>
      <c r="J61" s="9">
        <f>IF(G61="","",H61*I61)</f>
        <v/>
      </c>
      <c r="K61" s="8" t="inlineStr"/>
      <c r="L61" s="8" t="inlineStr"/>
      <c r="M61" s="10" t="inlineStr"/>
    </row>
    <row r="62">
      <c r="A62" s="4" t="n">
        <v>58</v>
      </c>
      <c r="B62" s="6" t="inlineStr">
        <is>
          <t>ЗИП и насосы</t>
        </is>
      </c>
      <c r="C62" s="4" t="inlineStr">
        <is>
          <t>Насосы, сепаратор</t>
        </is>
      </c>
      <c r="D62" s="5" t="inlineStr">
        <is>
          <t>Сепаратор СЦ -1,5</t>
        </is>
      </c>
      <c r="E62" s="4" t="inlineStr"/>
      <c r="F62" s="4" t="n">
        <v>1</v>
      </c>
      <c r="G62" s="8" t="n"/>
      <c r="H62" s="4">
        <f>IF(G62="","",G62-F62)</f>
        <v/>
      </c>
      <c r="I62" s="9" t="n"/>
      <c r="J62" s="9">
        <f>IF(G62="","",H62*I62)</f>
        <v/>
      </c>
      <c r="K62" s="8" t="inlineStr"/>
      <c r="L62" s="8" t="inlineStr"/>
      <c r="M62" s="10" t="inlineStr"/>
    </row>
    <row r="63">
      <c r="A63" s="4" t="n">
        <v>59</v>
      </c>
      <c r="B63" s="6" t="inlineStr">
        <is>
          <t>ЗИП и насосы</t>
        </is>
      </c>
      <c r="C63" s="4" t="inlineStr">
        <is>
          <t>Насосы, сепаратор</t>
        </is>
      </c>
      <c r="D63" s="5" t="inlineStr">
        <is>
          <t>Сепаратор СЦ 1,5 (не комплект)</t>
        </is>
      </c>
      <c r="E63" s="4" t="inlineStr"/>
      <c r="F63" s="4" t="n">
        <v>2</v>
      </c>
      <c r="G63" s="8" t="n"/>
      <c r="H63" s="4">
        <f>IF(G63="","",G63-F63)</f>
        <v/>
      </c>
      <c r="I63" s="9" t="n"/>
      <c r="J63" s="9">
        <f>IF(G63="","",H63*I63)</f>
        <v/>
      </c>
      <c r="K63" s="8" t="inlineStr"/>
      <c r="L63" s="8" t="inlineStr"/>
      <c r="M63" s="10" t="inlineStr"/>
    </row>
    <row r="64">
      <c r="A64" s="4" t="n">
        <v>60</v>
      </c>
      <c r="B64" s="6" t="inlineStr">
        <is>
          <t>ЗИП и насосы</t>
        </is>
      </c>
      <c r="C64" s="4" t="inlineStr">
        <is>
          <t>Насосы, сепаратор</t>
        </is>
      </c>
      <c r="D64" s="5" t="inlineStr">
        <is>
          <t>Сепаратор СЦ-3</t>
        </is>
      </c>
      <c r="E64" s="4" t="inlineStr"/>
      <c r="F64" s="4" t="n">
        <v>1</v>
      </c>
      <c r="G64" s="8" t="n"/>
      <c r="H64" s="4">
        <f>IF(G64="","",G64-F64)</f>
        <v/>
      </c>
      <c r="I64" s="9" t="n"/>
      <c r="J64" s="9">
        <f>IF(G64="","",H64*I64)</f>
        <v/>
      </c>
      <c r="K64" s="8" t="inlineStr"/>
      <c r="L64" s="8" t="inlineStr"/>
      <c r="M64" s="10" t="inlineStr"/>
    </row>
    <row r="65">
      <c r="A65" s="4" t="n">
        <v>61</v>
      </c>
      <c r="B65" s="6" t="inlineStr">
        <is>
          <t>ЗИП и насосы</t>
        </is>
      </c>
      <c r="C65" s="4" t="inlineStr">
        <is>
          <t>Насосы, сепаратор</t>
        </is>
      </c>
      <c r="D65" s="5" t="inlineStr">
        <is>
          <t>Сепаратор СЦ-3 ( не комплект)</t>
        </is>
      </c>
      <c r="E65" s="4" t="inlineStr"/>
      <c r="F65" s="4" t="n">
        <v>1</v>
      </c>
      <c r="G65" s="8" t="n"/>
      <c r="H65" s="4">
        <f>IF(G65="","",G65-F65)</f>
        <v/>
      </c>
      <c r="I65" s="9" t="n"/>
      <c r="J65" s="9">
        <f>IF(G65="","",H65*I65)</f>
        <v/>
      </c>
      <c r="K65" s="8" t="inlineStr"/>
      <c r="L65" s="8" t="inlineStr"/>
      <c r="M65" s="10" t="inlineStr"/>
    </row>
    <row r="66">
      <c r="A66" s="4" t="n">
        <v>62</v>
      </c>
      <c r="B66" s="6" t="inlineStr">
        <is>
          <t>ЗИП и насосы</t>
        </is>
      </c>
      <c r="C66" s="4" t="inlineStr">
        <is>
          <t>Насосы, сепаратор</t>
        </is>
      </c>
      <c r="D66" s="5" t="inlineStr">
        <is>
          <t>Трал ЛЭТРС -2</t>
        </is>
      </c>
      <c r="E66" s="4" t="inlineStr"/>
      <c r="F66" s="4" t="n">
        <v>1</v>
      </c>
      <c r="G66" s="8" t="n"/>
      <c r="H66" s="4">
        <f>IF(G66="","",G66-F66)</f>
        <v/>
      </c>
      <c r="I66" s="9" t="n"/>
      <c r="J66" s="9">
        <f>IF(G66="","",H66*I66)</f>
        <v/>
      </c>
      <c r="K66" s="8" t="inlineStr"/>
      <c r="L66" s="8" t="inlineStr"/>
      <c r="M66" s="10" t="inlineStr"/>
    </row>
    <row r="67">
      <c r="A67" s="4" t="n">
        <v>63</v>
      </c>
      <c r="B67" s="6" t="inlineStr">
        <is>
          <t>ЗИП и насосы</t>
        </is>
      </c>
      <c r="C67" s="4" t="inlineStr">
        <is>
          <t>Насосы, сепаратор</t>
        </is>
      </c>
      <c r="D67" s="5" t="inlineStr">
        <is>
          <t>Электропривод к задвижке</t>
        </is>
      </c>
      <c r="E67" s="4" t="inlineStr"/>
      <c r="F67" s="4" t="n">
        <v>1</v>
      </c>
      <c r="G67" s="8" t="n"/>
      <c r="H67" s="4">
        <f>IF(G67="","",G67-F67)</f>
        <v/>
      </c>
      <c r="I67" s="9" t="n"/>
      <c r="J67" s="9">
        <f>IF(G67="","",H67*I67)</f>
        <v/>
      </c>
      <c r="K67" s="8" t="inlineStr"/>
      <c r="L67" s="8" t="inlineStr"/>
      <c r="M67" s="10" t="inlineStr"/>
    </row>
    <row r="68">
      <c r="A68" s="4" t="n">
        <v>64</v>
      </c>
      <c r="B68" s="6" t="inlineStr">
        <is>
          <t>Контейнер 1</t>
        </is>
      </c>
      <c r="C68" s="4" t="inlineStr"/>
      <c r="D68" s="5" t="inlineStr">
        <is>
          <t>Автоматический выключатель (черный)</t>
        </is>
      </c>
      <c r="E68" s="4" t="inlineStr"/>
      <c r="F68" s="4" t="n">
        <v>2</v>
      </c>
      <c r="G68" s="8" t="n"/>
      <c r="H68" s="4">
        <f>IF(G68="","",G68-F68)</f>
        <v/>
      </c>
      <c r="I68" s="9" t="n">
        <v>2500</v>
      </c>
      <c r="J68" s="9">
        <f>IF(G68="","",H68*I68)</f>
        <v/>
      </c>
      <c r="K68" s="8" t="inlineStr"/>
      <c r="L68" s="8" t="inlineStr"/>
      <c r="M68" s="10" t="inlineStr"/>
    </row>
    <row r="69">
      <c r="A69" s="4" t="n">
        <v>65</v>
      </c>
      <c r="B69" s="6" t="inlineStr">
        <is>
          <t>Контейнер 1</t>
        </is>
      </c>
      <c r="C69" s="4" t="inlineStr"/>
      <c r="D69" s="5" t="inlineStr">
        <is>
          <t>Лампочка HQ-T 400Вт Е40</t>
        </is>
      </c>
      <c r="E69" s="4" t="inlineStr"/>
      <c r="F69" s="4" t="n">
        <v>30</v>
      </c>
      <c r="G69" s="8" t="n"/>
      <c r="H69" s="4">
        <f>IF(G69="","",G69-F69)</f>
        <v/>
      </c>
      <c r="I69" s="9" t="n">
        <v>100</v>
      </c>
      <c r="J69" s="9">
        <f>IF(G69="","",H69*I69)</f>
        <v/>
      </c>
      <c r="K69" s="8" t="inlineStr"/>
      <c r="L69" s="8" t="inlineStr"/>
      <c r="M69" s="10" t="inlineStr"/>
    </row>
    <row r="70">
      <c r="A70" s="4" t="n">
        <v>66</v>
      </c>
      <c r="B70" s="6" t="inlineStr">
        <is>
          <t>Контейнер 1</t>
        </is>
      </c>
      <c r="C70" s="4" t="inlineStr"/>
      <c r="D70" s="5" t="inlineStr">
        <is>
          <t>Насос НЦВ 40/20 ?</t>
        </is>
      </c>
      <c r="E70" s="4" t="inlineStr"/>
      <c r="F70" s="4" t="n">
        <v>1</v>
      </c>
      <c r="G70" s="8" t="n"/>
      <c r="H70" s="4">
        <f>IF(G70="","",G70-F70)</f>
        <v/>
      </c>
      <c r="I70" s="9" t="n">
        <v>500000</v>
      </c>
      <c r="J70" s="9">
        <f>IF(G70="","",H70*I70)</f>
        <v/>
      </c>
      <c r="K70" s="8" t="inlineStr"/>
      <c r="L70" s="8" t="inlineStr"/>
      <c r="M70" s="10" t="inlineStr"/>
    </row>
    <row r="71">
      <c r="A71" s="4" t="n">
        <v>67</v>
      </c>
      <c r="B71" s="6" t="inlineStr">
        <is>
          <t>Контейнер 1</t>
        </is>
      </c>
      <c r="C71" s="4" t="inlineStr"/>
      <c r="D71" s="5" t="inlineStr">
        <is>
          <t>Прожектор большой</t>
        </is>
      </c>
      <c r="E71" s="4" t="inlineStr"/>
      <c r="F71" s="4" t="n">
        <v>1</v>
      </c>
      <c r="G71" s="8" t="n"/>
      <c r="H71" s="4">
        <f>IF(G71="","",G71-F71)</f>
        <v/>
      </c>
      <c r="I71" s="9" t="n">
        <v>18000</v>
      </c>
      <c r="J71" s="9">
        <f>IF(G71="","",H71*I71)</f>
        <v/>
      </c>
      <c r="K71" s="8" t="inlineStr"/>
      <c r="L71" s="8" t="inlineStr"/>
      <c r="M71" s="10" t="inlineStr"/>
    </row>
    <row r="72">
      <c r="A72" s="4" t="n">
        <v>68</v>
      </c>
      <c r="B72" s="6" t="inlineStr">
        <is>
          <t>Контейнер 1</t>
        </is>
      </c>
      <c r="C72" s="4" t="inlineStr"/>
      <c r="D72" s="5" t="inlineStr">
        <is>
          <t>Пускатели большие под полкой</t>
        </is>
      </c>
      <c r="E72" s="4" t="inlineStr"/>
      <c r="F72" s="4" t="n">
        <v>2</v>
      </c>
      <c r="G72" s="8" t="n"/>
      <c r="H72" s="4">
        <f>IF(G72="","",G72-F72)</f>
        <v/>
      </c>
      <c r="I72" s="9" t="n">
        <v>15000</v>
      </c>
      <c r="J72" s="9">
        <f>IF(G72="","",H72*I72)</f>
        <v/>
      </c>
      <c r="K72" s="8" t="inlineStr"/>
      <c r="L72" s="8" t="inlineStr"/>
      <c r="M72" s="10" t="inlineStr"/>
    </row>
    <row r="73">
      <c r="A73" s="4" t="n">
        <v>69</v>
      </c>
      <c r="B73" s="6" t="inlineStr">
        <is>
          <t>Контейнер 1</t>
        </is>
      </c>
      <c r="C73" s="4" t="inlineStr"/>
      <c r="D73" s="5" t="inlineStr">
        <is>
          <t>Пускатели разные на полке</t>
        </is>
      </c>
      <c r="E73" s="4" t="inlineStr"/>
      <c r="F73" s="4" t="n">
        <v>6</v>
      </c>
      <c r="G73" s="8" t="n"/>
      <c r="H73" s="4">
        <f>IF(G73="","",G73-F73)</f>
        <v/>
      </c>
      <c r="I73" s="9" t="n">
        <v>10000</v>
      </c>
      <c r="J73" s="9">
        <f>IF(G73="","",H73*I73)</f>
        <v/>
      </c>
      <c r="K73" s="8" t="inlineStr"/>
      <c r="L73" s="8" t="inlineStr"/>
      <c r="M73" s="10" t="inlineStr"/>
    </row>
    <row r="74">
      <c r="A74" s="4" t="n">
        <v>70</v>
      </c>
      <c r="B74" s="6" t="inlineStr">
        <is>
          <t>Контейнер 1</t>
        </is>
      </c>
      <c r="C74" s="4" t="inlineStr"/>
      <c r="D74" s="5" t="inlineStr">
        <is>
          <t>Светильник СС-328 б/у в коробке</t>
        </is>
      </c>
      <c r="E74" s="4" t="inlineStr"/>
      <c r="F74" s="4" t="n">
        <v>2</v>
      </c>
      <c r="G74" s="8" t="n"/>
      <c r="H74" s="4">
        <f>IF(G74="","",G74-F74)</f>
        <v/>
      </c>
      <c r="I74" s="9" t="n">
        <v>2500</v>
      </c>
      <c r="J74" s="9">
        <f>IF(G74="","",H74*I74)</f>
        <v/>
      </c>
      <c r="K74" s="8" t="inlineStr"/>
      <c r="L74" s="8" t="inlineStr"/>
      <c r="M74" s="10" t="inlineStr"/>
    </row>
    <row r="75">
      <c r="A75" s="4" t="n">
        <v>71</v>
      </c>
      <c r="B75" s="6" t="inlineStr">
        <is>
          <t>Контейнер 1</t>
        </is>
      </c>
      <c r="C75" s="4" t="inlineStr"/>
      <c r="D75" s="5" t="inlineStr">
        <is>
          <t>Светильник импортный</t>
        </is>
      </c>
      <c r="E75" s="4" t="inlineStr"/>
      <c r="F75" s="4" t="n">
        <v>80</v>
      </c>
      <c r="G75" s="8" t="n"/>
      <c r="H75" s="4">
        <f>IF(G75="","",G75-F75)</f>
        <v/>
      </c>
      <c r="I75" s="9" t="n">
        <v>1000</v>
      </c>
      <c r="J75" s="9">
        <f>IF(G75="","",H75*I75)</f>
        <v/>
      </c>
      <c r="K75" s="8" t="inlineStr"/>
      <c r="L75" s="8" t="inlineStr"/>
      <c r="M75" s="10" t="inlineStr"/>
    </row>
    <row r="76">
      <c r="A76" s="4" t="n">
        <v>72</v>
      </c>
      <c r="B76" s="6" t="inlineStr">
        <is>
          <t>Контейнер 1</t>
        </is>
      </c>
      <c r="C76" s="4" t="inlineStr"/>
      <c r="D76" s="5" t="inlineStr">
        <is>
          <t>Симметр 127/220В</t>
        </is>
      </c>
      <c r="E76" s="4" t="inlineStr"/>
      <c r="F76" s="4" t="n">
        <v>1</v>
      </c>
      <c r="G76" s="8" t="n"/>
      <c r="H76" s="4">
        <f>IF(G76="","",G76-F76)</f>
        <v/>
      </c>
      <c r="I76" s="9" t="n">
        <v>59800</v>
      </c>
      <c r="J76" s="9">
        <f>IF(G76="","",H76*I76)</f>
        <v/>
      </c>
      <c r="K76" s="8" t="inlineStr"/>
      <c r="L76" s="8" t="inlineStr"/>
      <c r="M76" s="10" t="inlineStr"/>
    </row>
    <row r="77">
      <c r="A77" s="4" t="n">
        <v>73</v>
      </c>
      <c r="B77" s="6" t="inlineStr">
        <is>
          <t>Контейнер 1</t>
        </is>
      </c>
      <c r="C77" s="4" t="inlineStr"/>
      <c r="D77" s="5" t="inlineStr">
        <is>
          <t>Стекло к светильникам СС-328 (синий)</t>
        </is>
      </c>
      <c r="E77" s="4" t="inlineStr"/>
      <c r="F77" s="4" t="n">
        <v>2</v>
      </c>
      <c r="G77" s="8" t="n"/>
      <c r="H77" s="4">
        <f>IF(G77="","",G77-F77)</f>
        <v/>
      </c>
      <c r="I77" s="9" t="n">
        <v>500</v>
      </c>
      <c r="J77" s="9">
        <f>IF(G77="","",H77*I77)</f>
        <v/>
      </c>
      <c r="K77" s="8" t="inlineStr"/>
      <c r="L77" s="8" t="inlineStr"/>
      <c r="M77" s="10" t="inlineStr"/>
    </row>
    <row r="78">
      <c r="A78" s="4" t="n">
        <v>74</v>
      </c>
      <c r="B78" s="6" t="inlineStr">
        <is>
          <t>Контейнер 1</t>
        </is>
      </c>
      <c r="C78" s="4" t="inlineStr"/>
      <c r="D78" s="5" t="inlineStr">
        <is>
          <t>Стекло к светильникам СС-328(опал)</t>
        </is>
      </c>
      <c r="E78" s="4" t="inlineStr"/>
      <c r="F78" s="4" t="n">
        <v>3</v>
      </c>
      <c r="G78" s="8" t="n"/>
      <c r="H78" s="4">
        <f>IF(G78="","",G78-F78)</f>
        <v/>
      </c>
      <c r="I78" s="9" t="n">
        <v>500</v>
      </c>
      <c r="J78" s="9">
        <f>IF(G78="","",H78*I78)</f>
        <v/>
      </c>
      <c r="K78" s="8" t="inlineStr"/>
      <c r="L78" s="8" t="inlineStr"/>
      <c r="M78" s="10" t="inlineStr"/>
    </row>
    <row r="79">
      <c r="A79" s="4" t="n">
        <v>75</v>
      </c>
      <c r="B79" s="6" t="inlineStr">
        <is>
          <t>Контейнер 1</t>
        </is>
      </c>
      <c r="C79" s="4" t="inlineStr"/>
      <c r="D79" s="5" t="inlineStr">
        <is>
          <t>Стекло к светильникам СС-328(прозр.)</t>
        </is>
      </c>
      <c r="E79" s="4" t="inlineStr"/>
      <c r="F79" s="4" t="n">
        <v>53</v>
      </c>
      <c r="G79" s="8" t="n"/>
      <c r="H79" s="4">
        <f>IF(G79="","",G79-F79)</f>
        <v/>
      </c>
      <c r="I79" s="9" t="n">
        <v>500</v>
      </c>
      <c r="J79" s="9">
        <f>IF(G79="","",H79*I79)</f>
        <v/>
      </c>
      <c r="K79" s="8" t="inlineStr"/>
      <c r="L79" s="8" t="inlineStr"/>
      <c r="M79" s="10" t="inlineStr"/>
    </row>
    <row r="80">
      <c r="A80" s="4" t="n">
        <v>76</v>
      </c>
      <c r="B80" s="6" t="inlineStr">
        <is>
          <t>Контейнер 1</t>
        </is>
      </c>
      <c r="C80" s="4" t="inlineStr"/>
      <c r="D80" s="5" t="inlineStr">
        <is>
          <t>Стекло с решеткой светильника импортного</t>
        </is>
      </c>
      <c r="E80" s="4" t="inlineStr"/>
      <c r="F80" s="4" t="n">
        <v>15</v>
      </c>
      <c r="G80" s="8" t="n"/>
      <c r="H80" s="4">
        <f>IF(G80="","",G80-F80)</f>
        <v/>
      </c>
      <c r="I80" s="9" t="n">
        <v>500</v>
      </c>
      <c r="J80" s="9">
        <f>IF(G80="","",H80*I80)</f>
        <v/>
      </c>
      <c r="K80" s="8" t="inlineStr"/>
      <c r="L80" s="8" t="inlineStr"/>
      <c r="M80" s="10" t="inlineStr"/>
    </row>
    <row r="81">
      <c r="A81" s="4" t="n">
        <v>77</v>
      </c>
      <c r="B81" s="6" t="inlineStr">
        <is>
          <t>Контейнер 2</t>
        </is>
      </c>
      <c r="C81" s="4" t="inlineStr"/>
      <c r="D81" s="5" t="inlineStr">
        <is>
          <t>Блокформы LBH немец.круглые (отверстие посредине)</t>
        </is>
      </c>
      <c r="E81" s="4" t="inlineStr"/>
      <c r="F81" s="4" t="n">
        <v>71</v>
      </c>
      <c r="G81" s="8" t="n"/>
      <c r="H81" s="4">
        <f>IF(G81="","",G81-F81)</f>
        <v/>
      </c>
      <c r="I81" s="9" t="n">
        <v>11000</v>
      </c>
      <c r="J81" s="9">
        <f>IF(G81="","",H81*I81)</f>
        <v/>
      </c>
      <c r="K81" s="8" t="inlineStr"/>
      <c r="L81" s="8" t="inlineStr"/>
      <c r="M81" s="10" t="inlineStr"/>
    </row>
    <row r="82">
      <c r="A82" s="4" t="n">
        <v>78</v>
      </c>
      <c r="B82" s="6" t="inlineStr">
        <is>
          <t>Контейнер 2</t>
        </is>
      </c>
      <c r="C82" s="4" t="inlineStr"/>
      <c r="D82" s="5" t="inlineStr">
        <is>
          <t>Блокформы LBH русск.овальные</t>
        </is>
      </c>
      <c r="E82" s="4" t="inlineStr"/>
      <c r="F82" s="4" t="n">
        <v>45</v>
      </c>
      <c r="G82" s="8" t="n"/>
      <c r="H82" s="4">
        <f>IF(G82="","",G82-F82)</f>
        <v/>
      </c>
      <c r="I82" s="9" t="n">
        <v>11000</v>
      </c>
      <c r="J82" s="9">
        <f>IF(G82="","",H82*I82)</f>
        <v/>
      </c>
      <c r="K82" s="8" t="inlineStr"/>
      <c r="L82" s="8" t="inlineStr"/>
      <c r="M82" s="10" t="inlineStr"/>
    </row>
    <row r="83">
      <c r="A83" s="4" t="n">
        <v>79</v>
      </c>
      <c r="B83" s="6" t="inlineStr">
        <is>
          <t>Контейнер 2</t>
        </is>
      </c>
      <c r="C83" s="4" t="inlineStr"/>
      <c r="D83" s="5" t="inlineStr">
        <is>
          <t>Иллюминатор квадратный 400*600</t>
        </is>
      </c>
      <c r="E83" s="4" t="inlineStr"/>
      <c r="F83" s="4" t="n">
        <v>1</v>
      </c>
      <c r="G83" s="8" t="n"/>
      <c r="H83" s="4">
        <f>IF(G83="","",G83-F83)</f>
        <v/>
      </c>
      <c r="I83" s="9" t="n">
        <v>50000</v>
      </c>
      <c r="J83" s="9">
        <f>IF(G83="","",H83*I83)</f>
        <v/>
      </c>
      <c r="K83" s="8" t="inlineStr"/>
      <c r="L83" s="8" t="inlineStr"/>
      <c r="M83" s="10" t="inlineStr"/>
    </row>
    <row r="84">
      <c r="A84" s="4" t="n">
        <v>80</v>
      </c>
      <c r="B84" s="6" t="inlineStr">
        <is>
          <t>Контейнер 2</t>
        </is>
      </c>
      <c r="C84" s="4" t="inlineStr"/>
      <c r="D84" s="5" t="inlineStr">
        <is>
          <t>Иллюминатор круглый без колец Ф300мм</t>
        </is>
      </c>
      <c r="E84" s="4" t="inlineStr"/>
      <c r="F84" s="4" t="n">
        <v>2</v>
      </c>
      <c r="G84" s="8" t="n"/>
      <c r="H84" s="4">
        <f>IF(G84="","",G84-F84)</f>
        <v/>
      </c>
      <c r="I84" s="9" t="n">
        <v>45000</v>
      </c>
      <c r="J84" s="9">
        <f>IF(G84="","",H84*I84)</f>
        <v/>
      </c>
      <c r="K84" s="8" t="inlineStr"/>
      <c r="L84" s="8" t="inlineStr"/>
      <c r="M84" s="10" t="inlineStr"/>
    </row>
    <row r="85">
      <c r="A85" s="4" t="n">
        <v>81</v>
      </c>
      <c r="B85" s="6" t="inlineStr">
        <is>
          <t>Контейнер 2</t>
        </is>
      </c>
      <c r="C85" s="4" t="inlineStr"/>
      <c r="D85" s="5" t="inlineStr">
        <is>
          <t>Иллюминатор круглый в сборе Ф250мм</t>
        </is>
      </c>
      <c r="E85" s="4" t="inlineStr"/>
      <c r="F85" s="4" t="n">
        <v>3</v>
      </c>
      <c r="G85" s="8" t="n"/>
      <c r="H85" s="4">
        <f>IF(G85="","",G85-F85)</f>
        <v/>
      </c>
      <c r="I85" s="9" t="n">
        <v>45000</v>
      </c>
      <c r="J85" s="9">
        <f>IF(G85="","",H85*I85)</f>
        <v/>
      </c>
      <c r="K85" s="8" t="inlineStr"/>
      <c r="L85" s="8" t="inlineStr"/>
      <c r="M85" s="10" t="inlineStr"/>
    </row>
    <row r="86">
      <c r="A86" s="4" t="n">
        <v>82</v>
      </c>
      <c r="B86" s="6" t="inlineStr">
        <is>
          <t>Контейнер 2</t>
        </is>
      </c>
      <c r="C86" s="4" t="inlineStr"/>
      <c r="D86" s="5" t="inlineStr">
        <is>
          <t>Иллюминатор круглый в сборе Ф300мм створчатый</t>
        </is>
      </c>
      <c r="E86" s="4" t="inlineStr"/>
      <c r="F86" s="4" t="n">
        <v>70</v>
      </c>
      <c r="G86" s="8" t="n"/>
      <c r="H86" s="4">
        <f>IF(G86="","",G86-F86)</f>
        <v/>
      </c>
      <c r="I86" s="9" t="n">
        <v>90000</v>
      </c>
      <c r="J86" s="9">
        <f>IF(G86="","",H86*I86)</f>
        <v/>
      </c>
      <c r="K86" s="8" t="inlineStr"/>
      <c r="L86" s="8" t="inlineStr"/>
      <c r="M86" s="10" t="inlineStr"/>
    </row>
    <row r="87">
      <c r="A87" s="4" t="n">
        <v>83</v>
      </c>
      <c r="B87" s="6" t="inlineStr">
        <is>
          <t>Контейнер 2</t>
        </is>
      </c>
      <c r="C87" s="4" t="inlineStr"/>
      <c r="D87" s="5" t="inlineStr">
        <is>
          <t>Иллюминатор створч. Ф300мм КИТАЙ</t>
        </is>
      </c>
      <c r="E87" s="4" t="inlineStr"/>
      <c r="F87" s="4" t="n">
        <v>1</v>
      </c>
      <c r="G87" s="8" t="n"/>
      <c r="H87" s="4">
        <f>IF(G87="","",G87-F87)</f>
        <v/>
      </c>
      <c r="I87" s="9" t="n">
        <v>50000</v>
      </c>
      <c r="J87" s="9">
        <f>IF(G87="","",H87*I87)</f>
        <v/>
      </c>
      <c r="K87" s="8" t="inlineStr"/>
      <c r="L87" s="8" t="inlineStr"/>
      <c r="M87" s="10" t="inlineStr"/>
    </row>
    <row r="88">
      <c r="A88" s="4" t="n">
        <v>84</v>
      </c>
      <c r="B88" s="6" t="inlineStr">
        <is>
          <t>Контейнер 2</t>
        </is>
      </c>
      <c r="C88" s="4" t="inlineStr"/>
      <c r="D88" s="5" t="inlineStr">
        <is>
          <t>Крышка иллюминатора со стеклом Ф300мм броняшка</t>
        </is>
      </c>
      <c r="E88" s="4" t="inlineStr"/>
      <c r="F88" s="4" t="n">
        <v>2</v>
      </c>
      <c r="G88" s="8" t="n"/>
      <c r="H88" s="4">
        <f>IF(G88="","",G88-F88)</f>
        <v/>
      </c>
      <c r="I88" s="9" t="n">
        <v>10000</v>
      </c>
      <c r="J88" s="9">
        <f>IF(G88="","",H88*I88)</f>
        <v/>
      </c>
      <c r="K88" s="8" t="inlineStr"/>
      <c r="L88" s="8" t="inlineStr"/>
      <c r="M88" s="10" t="inlineStr"/>
    </row>
    <row r="89">
      <c r="A89" s="4" t="n">
        <v>85</v>
      </c>
      <c r="B89" s="6" t="inlineStr">
        <is>
          <t>Контейнер 2</t>
        </is>
      </c>
      <c r="C89" s="4" t="inlineStr"/>
      <c r="D89" s="5" t="inlineStr">
        <is>
          <t>Насос НЦВС 63/30 новый</t>
        </is>
      </c>
      <c r="E89" s="4" t="inlineStr"/>
      <c r="F89" s="4" t="n">
        <v>1</v>
      </c>
      <c r="G89" s="8" t="n"/>
      <c r="H89" s="4">
        <f>IF(G89="","",G89-F89)</f>
        <v/>
      </c>
      <c r="I89" s="9" t="n">
        <v>500000</v>
      </c>
      <c r="J89" s="9">
        <f>IF(G89="","",H89*I89)</f>
        <v/>
      </c>
      <c r="K89" s="8" t="inlineStr"/>
      <c r="L89" s="8" t="inlineStr"/>
      <c r="M89" s="10" t="inlineStr"/>
    </row>
    <row r="90">
      <c r="A90" s="4" t="n">
        <v>86</v>
      </c>
      <c r="B90" s="6" t="inlineStr">
        <is>
          <t>Менеджерская</t>
        </is>
      </c>
      <c r="C90" s="4" t="inlineStr"/>
      <c r="D90" s="5" t="inlineStr">
        <is>
          <t>Судовая запорная арматура</t>
        </is>
      </c>
      <c r="E90" s="4" t="inlineStr"/>
      <c r="F90" s="4" t="n">
        <v>2</v>
      </c>
      <c r="G90" s="8" t="n"/>
      <c r="H90" s="4">
        <f>IF(G90="","",G90-F90)</f>
        <v/>
      </c>
      <c r="I90" s="9" t="n">
        <v>10000</v>
      </c>
      <c r="J90" s="9">
        <f>IF(G90="","",H90*I90)</f>
        <v/>
      </c>
      <c r="K90" s="8" t="inlineStr"/>
      <c r="L90" s="8" t="inlineStr"/>
      <c r="M90" s="10" t="inlineStr"/>
    </row>
    <row r="91">
      <c r="A91" s="4" t="n">
        <v>87</v>
      </c>
      <c r="B91" s="6" t="inlineStr">
        <is>
          <t>Менеджерская</t>
        </is>
      </c>
      <c r="C91" s="4" t="inlineStr">
        <is>
          <t>Клапан штуцерный проходной Ду6 Ру100</t>
        </is>
      </c>
      <c r="D91" s="5" t="inlineStr">
        <is>
          <t>Клапан для манометра штуцерный сальниковый</t>
        </is>
      </c>
      <c r="E91" s="4" t="inlineStr">
        <is>
          <t>521-34.3404-03</t>
        </is>
      </c>
      <c r="F91" s="4" t="n">
        <v>18</v>
      </c>
      <c r="G91" s="8" t="n"/>
      <c r="H91" s="4">
        <f>IF(G91="","",G91-F91)</f>
        <v/>
      </c>
      <c r="I91" s="9" t="n">
        <v>6000</v>
      </c>
      <c r="J91" s="9">
        <f>IF(G91="","",H91*I91)</f>
        <v/>
      </c>
      <c r="K91" s="8" t="inlineStr"/>
      <c r="L91" s="8" t="inlineStr"/>
      <c r="M91" s="10" t="inlineStr"/>
    </row>
    <row r="92">
      <c r="A92" s="4" t="n">
        <v>88</v>
      </c>
      <c r="B92" s="6" t="inlineStr">
        <is>
          <t>Менеджерская</t>
        </is>
      </c>
      <c r="C92" s="4" t="inlineStr">
        <is>
          <t>Клапан штуцерный проходной Ду6 Ру100</t>
        </is>
      </c>
      <c r="D92" s="5" t="inlineStr">
        <is>
          <t>Клапан штуцерный проходной Ду 10</t>
        </is>
      </c>
      <c r="E92" s="4" t="inlineStr">
        <is>
          <t>Без чертежа</t>
        </is>
      </c>
      <c r="F92" s="4" t="n">
        <v>4</v>
      </c>
      <c r="G92" s="8" t="n"/>
      <c r="H92" s="4">
        <f>IF(G92="","",G92-F92)</f>
        <v/>
      </c>
      <c r="I92" s="9" t="n">
        <v>2000</v>
      </c>
      <c r="J92" s="9">
        <f>IF(G92="","",H92*I92)</f>
        <v/>
      </c>
      <c r="K92" s="8" t="inlineStr"/>
      <c r="L92" s="8" t="inlineStr"/>
      <c r="M92" s="10" t="inlineStr"/>
    </row>
    <row r="93">
      <c r="A93" s="4" t="n">
        <v>89</v>
      </c>
      <c r="B93" s="6" t="inlineStr">
        <is>
          <t>Менеджерская</t>
        </is>
      </c>
      <c r="C93" s="4" t="inlineStr">
        <is>
          <t>Клапан штуцерный проходной Ду6 Ру100</t>
        </is>
      </c>
      <c r="D93" s="5" t="inlineStr">
        <is>
          <t>Клапан штуцерный проходной Ду 10 Ру 40</t>
        </is>
      </c>
      <c r="E93" s="4" t="inlineStr">
        <is>
          <t>521-01.471-01</t>
        </is>
      </c>
      <c r="F93" s="4" t="n">
        <v>4</v>
      </c>
      <c r="G93" s="8" t="n"/>
      <c r="H93" s="4">
        <f>IF(G93="","",G93-F93)</f>
        <v/>
      </c>
      <c r="I93" s="9" t="n">
        <v>2000</v>
      </c>
      <c r="J93" s="9">
        <f>IF(G93="","",H93*I93)</f>
        <v/>
      </c>
      <c r="K93" s="8" t="inlineStr"/>
      <c r="L93" s="8" t="inlineStr"/>
      <c r="M93" s="10" t="inlineStr"/>
    </row>
    <row r="94">
      <c r="A94" s="4" t="n">
        <v>90</v>
      </c>
      <c r="B94" s="6" t="inlineStr">
        <is>
          <t>Менеджерская</t>
        </is>
      </c>
      <c r="C94" s="4" t="inlineStr">
        <is>
          <t>Клапан штуцерный проходной Ду6 Ру100</t>
        </is>
      </c>
      <c r="D94" s="5" t="inlineStr">
        <is>
          <t>Клапан штуцерный проходной Ду 10 Ру 40</t>
        </is>
      </c>
      <c r="E94" s="4" t="inlineStr">
        <is>
          <t>Без чертежа</t>
        </is>
      </c>
      <c r="F94" s="4" t="n">
        <v>1</v>
      </c>
      <c r="G94" s="8" t="n"/>
      <c r="H94" s="4">
        <f>IF(G94="","",G94-F94)</f>
        <v/>
      </c>
      <c r="I94" s="9" t="n">
        <v>2000</v>
      </c>
      <c r="J94" s="9">
        <f>IF(G94="","",H94*I94)</f>
        <v/>
      </c>
      <c r="K94" s="8" t="inlineStr"/>
      <c r="L94" s="8" t="inlineStr"/>
      <c r="M94" s="10" t="inlineStr"/>
    </row>
    <row r="95">
      <c r="A95" s="4" t="n">
        <v>91</v>
      </c>
      <c r="B95" s="6" t="inlineStr">
        <is>
          <t>Менеджерская</t>
        </is>
      </c>
      <c r="C95" s="4" t="inlineStr">
        <is>
          <t>Клапан штуцерный проходной Ду6 Ру100</t>
        </is>
      </c>
      <c r="D95" s="5" t="inlineStr">
        <is>
          <t>Клапан штуцерный проходной Ду 10 Ру100</t>
        </is>
      </c>
      <c r="E95" s="4" t="inlineStr">
        <is>
          <t>522-01.497</t>
        </is>
      </c>
      <c r="F95" s="4" t="n">
        <v>5</v>
      </c>
      <c r="G95" s="8" t="n"/>
      <c r="H95" s="4">
        <f>IF(G95="","",G95-F95)</f>
        <v/>
      </c>
      <c r="I95" s="9" t="n">
        <v>2000</v>
      </c>
      <c r="J95" s="9">
        <f>IF(G95="","",H95*I95)</f>
        <v/>
      </c>
      <c r="K95" s="8" t="inlineStr"/>
      <c r="L95" s="8" t="inlineStr"/>
      <c r="M95" s="10" t="inlineStr"/>
    </row>
    <row r="96">
      <c r="A96" s="4" t="n">
        <v>92</v>
      </c>
      <c r="B96" s="6" t="inlineStr">
        <is>
          <t>Менеджерская</t>
        </is>
      </c>
      <c r="C96" s="4" t="inlineStr">
        <is>
          <t>Клапан штуцерный проходной Ду6 Ру100</t>
        </is>
      </c>
      <c r="D96" s="5" t="inlineStr">
        <is>
          <t>Клапан штуцерный проходной Ду 10 Ру100</t>
        </is>
      </c>
      <c r="E96" s="4" t="inlineStr">
        <is>
          <t>521-01.469-02</t>
        </is>
      </c>
      <c r="F96" s="4" t="n">
        <v>3</v>
      </c>
      <c r="G96" s="8" t="n"/>
      <c r="H96" s="4">
        <f>IF(G96="","",G96-F96)</f>
        <v/>
      </c>
      <c r="I96" s="9" t="n">
        <v>2000</v>
      </c>
      <c r="J96" s="9">
        <f>IF(G96="","",H96*I96)</f>
        <v/>
      </c>
      <c r="K96" s="8" t="inlineStr"/>
      <c r="L96" s="8" t="inlineStr"/>
      <c r="M96" s="10" t="inlineStr"/>
    </row>
    <row r="97">
      <c r="A97" s="4" t="n">
        <v>93</v>
      </c>
      <c r="B97" s="6" t="inlineStr">
        <is>
          <t>Менеджерская</t>
        </is>
      </c>
      <c r="C97" s="4" t="inlineStr">
        <is>
          <t>Клапан штуцерный проходной Ду6 Ру100</t>
        </is>
      </c>
      <c r="D97" s="5" t="inlineStr">
        <is>
          <t>Клапан штуцерный проходной Ду 10 Ру100</t>
        </is>
      </c>
      <c r="E97" s="4" t="inlineStr">
        <is>
          <t>521-01.469.03</t>
        </is>
      </c>
      <c r="F97" s="4" t="n">
        <v>3</v>
      </c>
      <c r="G97" s="8" t="n"/>
      <c r="H97" s="4">
        <f>IF(G97="","",G97-F97)</f>
        <v/>
      </c>
      <c r="I97" s="9" t="n">
        <v>2000</v>
      </c>
      <c r="J97" s="9">
        <f>IF(G97="","",H97*I97)</f>
        <v/>
      </c>
      <c r="K97" s="8" t="inlineStr"/>
      <c r="L97" s="8" t="inlineStr"/>
      <c r="M97" s="10" t="inlineStr"/>
    </row>
    <row r="98">
      <c r="A98" s="4" t="n">
        <v>94</v>
      </c>
      <c r="B98" s="6" t="inlineStr">
        <is>
          <t>Менеджерская</t>
        </is>
      </c>
      <c r="C98" s="4" t="inlineStr">
        <is>
          <t>Клапан штуцерный проходной Ду6 Ру100</t>
        </is>
      </c>
      <c r="D98" s="5" t="inlineStr">
        <is>
          <t>Клапан штуцерный проходной Ду 10 Ру100</t>
        </is>
      </c>
      <c r="E98" s="4" t="inlineStr">
        <is>
          <t>521-01.471-01</t>
        </is>
      </c>
      <c r="F98" s="4" t="n">
        <v>1</v>
      </c>
      <c r="G98" s="8" t="n"/>
      <c r="H98" s="4">
        <f>IF(G98="","",G98-F98)</f>
        <v/>
      </c>
      <c r="I98" s="9" t="n">
        <v>2000</v>
      </c>
      <c r="J98" s="9">
        <f>IF(G98="","",H98*I98)</f>
        <v/>
      </c>
      <c r="K98" s="8" t="inlineStr"/>
      <c r="L98" s="8" t="inlineStr"/>
      <c r="M98" s="10" t="inlineStr"/>
    </row>
    <row r="99">
      <c r="A99" s="4" t="n">
        <v>95</v>
      </c>
      <c r="B99" s="6" t="inlineStr">
        <is>
          <t>Менеджерская</t>
        </is>
      </c>
      <c r="C99" s="4" t="inlineStr">
        <is>
          <t>Клапан штуцерный проходной Ду6 Ру100</t>
        </is>
      </c>
      <c r="D99" s="5" t="inlineStr">
        <is>
          <t>Клапан штуцерный проходной Ду 10 Ру100</t>
        </is>
      </c>
      <c r="E99" s="4" t="inlineStr">
        <is>
          <t>521-01..501</t>
        </is>
      </c>
      <c r="F99" s="4" t="n">
        <v>2</v>
      </c>
      <c r="G99" s="8" t="n"/>
      <c r="H99" s="4">
        <f>IF(G99="","",G99-F99)</f>
        <v/>
      </c>
      <c r="I99" s="9" t="n">
        <v>2000</v>
      </c>
      <c r="J99" s="9">
        <f>IF(G99="","",H99*I99)</f>
        <v/>
      </c>
      <c r="K99" s="8" t="inlineStr"/>
      <c r="L99" s="8" t="inlineStr"/>
      <c r="M99" s="10" t="inlineStr"/>
    </row>
    <row r="100">
      <c r="A100" s="4" t="n">
        <v>96</v>
      </c>
      <c r="B100" s="6" t="inlineStr">
        <is>
          <t>Менеджерская</t>
        </is>
      </c>
      <c r="C100" s="4" t="inlineStr">
        <is>
          <t>Клапан штуцерный проходной Ду6 Ру100</t>
        </is>
      </c>
      <c r="D100" s="5" t="inlineStr">
        <is>
          <t>Клапан штуцерный проходной Ду 10 Ру100</t>
        </is>
      </c>
      <c r="E100" s="4" t="inlineStr">
        <is>
          <t>522-01.497</t>
        </is>
      </c>
      <c r="F100" s="4" t="n">
        <v>1</v>
      </c>
      <c r="G100" s="8" t="n"/>
      <c r="H100" s="4">
        <f>IF(G100="","",G100-F100)</f>
        <v/>
      </c>
      <c r="I100" s="9" t="n">
        <v>2000</v>
      </c>
      <c r="J100" s="9">
        <f>IF(G100="","",H100*I100)</f>
        <v/>
      </c>
      <c r="K100" s="8" t="inlineStr"/>
      <c r="L100" s="8" t="inlineStr"/>
      <c r="M100" s="10" t="inlineStr"/>
    </row>
    <row r="101">
      <c r="A101" s="4" t="n">
        <v>97</v>
      </c>
      <c r="B101" s="6" t="inlineStr">
        <is>
          <t>Менеджерская</t>
        </is>
      </c>
      <c r="C101" s="4" t="inlineStr">
        <is>
          <t>Клапан штуцерный проходной Ду6 Ру100</t>
        </is>
      </c>
      <c r="D101" s="5" t="inlineStr">
        <is>
          <t>Клапан штуцерный проходной Ду 10 Ру40 (СУНДУК)</t>
        </is>
      </c>
      <c r="E101" s="4" t="inlineStr">
        <is>
          <t>521-01.471-01</t>
        </is>
      </c>
      <c r="F101" s="4" t="n">
        <v>798</v>
      </c>
      <c r="G101" s="8" t="n"/>
      <c r="H101" s="4">
        <f>IF(G101="","",G101-F101)</f>
        <v/>
      </c>
      <c r="I101" s="9" t="n">
        <v>9000</v>
      </c>
      <c r="J101" s="9">
        <f>IF(G101="","",H101*I101)</f>
        <v/>
      </c>
      <c r="K101" s="8" t="inlineStr"/>
      <c r="L101" s="8" t="inlineStr"/>
      <c r="M101" s="10" t="inlineStr"/>
    </row>
    <row r="102">
      <c r="A102" s="4" t="n">
        <v>98</v>
      </c>
      <c r="B102" s="6" t="inlineStr">
        <is>
          <t>Менеджерская</t>
        </is>
      </c>
      <c r="C102" s="4" t="inlineStr">
        <is>
          <t>Клапан штуцерный проходной Ду6 Ру100</t>
        </is>
      </c>
      <c r="D102" s="5" t="inlineStr">
        <is>
          <t>Клапан штуцерный проходной Ду 15</t>
        </is>
      </c>
      <c r="E102" s="4" t="inlineStr">
        <is>
          <t>521 3м.770</t>
        </is>
      </c>
      <c r="F102" s="4" t="n">
        <v>1</v>
      </c>
      <c r="G102" s="8" t="n"/>
      <c r="H102" s="4">
        <f>IF(G102="","",G102-F102)</f>
        <v/>
      </c>
      <c r="I102" s="9" t="n">
        <v>6500</v>
      </c>
      <c r="J102" s="9">
        <f>IF(G102="","",H102*I102)</f>
        <v/>
      </c>
      <c r="K102" s="8" t="inlineStr"/>
      <c r="L102" s="8" t="inlineStr"/>
      <c r="M102" s="10" t="inlineStr"/>
    </row>
    <row r="103">
      <c r="A103" s="4" t="n">
        <v>99</v>
      </c>
      <c r="B103" s="6" t="inlineStr">
        <is>
          <t>Менеджерская</t>
        </is>
      </c>
      <c r="C103" s="4" t="inlineStr">
        <is>
          <t>Клапан штуцерный проходной Ду6 Ру100</t>
        </is>
      </c>
      <c r="D103" s="5" t="inlineStr">
        <is>
          <t>Клапан штуцерный проходной Ду 15</t>
        </is>
      </c>
      <c r="E103" s="4" t="inlineStr">
        <is>
          <t>без чертежа</t>
        </is>
      </c>
      <c r="F103" s="4" t="n">
        <v>1</v>
      </c>
      <c r="G103" s="8" t="n"/>
      <c r="H103" s="4">
        <f>IF(G103="","",G103-F103)</f>
        <v/>
      </c>
      <c r="I103" s="9" t="n">
        <v>6500</v>
      </c>
      <c r="J103" s="9">
        <f>IF(G103="","",H103*I103)</f>
        <v/>
      </c>
      <c r="K103" s="8" t="inlineStr"/>
      <c r="L103" s="8" t="inlineStr"/>
      <c r="M103" s="10" t="inlineStr"/>
    </row>
    <row r="104">
      <c r="A104" s="4" t="n">
        <v>100</v>
      </c>
      <c r="B104" s="6" t="inlineStr">
        <is>
          <t>Менеджерская</t>
        </is>
      </c>
      <c r="C104" s="4" t="inlineStr">
        <is>
          <t>Клапан штуцерный проходной Ду6 Ру100</t>
        </is>
      </c>
      <c r="D104" s="5" t="inlineStr">
        <is>
          <t>Клапан штуцерный проходной Ду 15 Ру 100</t>
        </is>
      </c>
      <c r="E104" s="4" t="inlineStr">
        <is>
          <t>522-01.498</t>
        </is>
      </c>
      <c r="F104" s="4" t="n">
        <v>2</v>
      </c>
      <c r="G104" s="8" t="n"/>
      <c r="H104" s="4">
        <f>IF(G104="","",G104-F104)</f>
        <v/>
      </c>
      <c r="I104" s="9" t="n">
        <v>6500</v>
      </c>
      <c r="J104" s="9">
        <f>IF(G104="","",H104*I104)</f>
        <v/>
      </c>
      <c r="K104" s="8" t="inlineStr"/>
      <c r="L104" s="8" t="inlineStr"/>
      <c r="M104" s="10" t="inlineStr"/>
    </row>
    <row r="105">
      <c r="A105" s="4" t="n">
        <v>101</v>
      </c>
      <c r="B105" s="6" t="inlineStr">
        <is>
          <t>Менеджерская</t>
        </is>
      </c>
      <c r="C105" s="4" t="inlineStr">
        <is>
          <t>Клапан штуцерный проходной Ду6 Ру100</t>
        </is>
      </c>
      <c r="D105" s="5" t="inlineStr">
        <is>
          <t>Клапан штуцерный проходной Ду 15 Ру 100</t>
        </is>
      </c>
      <c r="E105" s="4" t="inlineStr">
        <is>
          <t>521-01.470</t>
        </is>
      </c>
      <c r="F105" s="4" t="n">
        <v>1</v>
      </c>
      <c r="G105" s="8" t="n"/>
      <c r="H105" s="4">
        <f>IF(G105="","",G105-F105)</f>
        <v/>
      </c>
      <c r="I105" s="9" t="n">
        <v>6500</v>
      </c>
      <c r="J105" s="9">
        <f>IF(G105="","",H105*I105)</f>
        <v/>
      </c>
      <c r="K105" s="8" t="inlineStr"/>
      <c r="L105" s="8" t="inlineStr"/>
      <c r="M105" s="10" t="inlineStr"/>
    </row>
    <row r="106">
      <c r="A106" s="4" t="n">
        <v>102</v>
      </c>
      <c r="B106" s="6" t="inlineStr">
        <is>
          <t>Менеджерская</t>
        </is>
      </c>
      <c r="C106" s="4" t="inlineStr">
        <is>
          <t>Клапан штуцерный проходной Ду6 Ру100</t>
        </is>
      </c>
      <c r="D106" s="5" t="inlineStr">
        <is>
          <t>Клапан штуцерный проходной Ду 15 Ру 40</t>
        </is>
      </c>
      <c r="E106" s="4" t="inlineStr">
        <is>
          <t>521. 3м.666</t>
        </is>
      </c>
      <c r="F106" s="4" t="n">
        <v>2</v>
      </c>
      <c r="G106" s="8" t="n"/>
      <c r="H106" s="4">
        <f>IF(G106="","",G106-F106)</f>
        <v/>
      </c>
      <c r="I106" s="9" t="n">
        <v>6500</v>
      </c>
      <c r="J106" s="9">
        <f>IF(G106="","",H106*I106)</f>
        <v/>
      </c>
      <c r="K106" s="8" t="inlineStr"/>
      <c r="L106" s="8" t="inlineStr"/>
      <c r="M106" s="10" t="inlineStr"/>
    </row>
    <row r="107">
      <c r="A107" s="4" t="n">
        <v>103</v>
      </c>
      <c r="B107" s="6" t="inlineStr">
        <is>
          <t>Менеджерская</t>
        </is>
      </c>
      <c r="C107" s="4" t="inlineStr">
        <is>
          <t>Клапан штуцерный проходной Ду6 Ру100</t>
        </is>
      </c>
      <c r="D107" s="5" t="inlineStr">
        <is>
          <t>Клапан штуцерный проходной Ду 15 Ру 40</t>
        </is>
      </c>
      <c r="E107" s="4" t="inlineStr">
        <is>
          <t>521-01.470.02</t>
        </is>
      </c>
      <c r="F107" s="4" t="n">
        <v>1</v>
      </c>
      <c r="G107" s="8" t="n"/>
      <c r="H107" s="4">
        <f>IF(G107="","",G107-F107)</f>
        <v/>
      </c>
      <c r="I107" s="9" t="n">
        <v>6500</v>
      </c>
      <c r="J107" s="9">
        <f>IF(G107="","",H107*I107)</f>
        <v/>
      </c>
      <c r="K107" s="8" t="inlineStr"/>
      <c r="L107" s="8" t="inlineStr"/>
      <c r="M107" s="10" t="inlineStr"/>
    </row>
    <row r="108">
      <c r="A108" s="4" t="n">
        <v>104</v>
      </c>
      <c r="B108" s="6" t="inlineStr">
        <is>
          <t>Менеджерская</t>
        </is>
      </c>
      <c r="C108" s="4" t="inlineStr">
        <is>
          <t>Клапан штуцерный проходной Ду6 Ру100</t>
        </is>
      </c>
      <c r="D108" s="5" t="inlineStr">
        <is>
          <t>Клапан штуцерный проходной Ду 15 Ру40</t>
        </is>
      </c>
      <c r="E108" s="4" t="inlineStr">
        <is>
          <t>522-01.501-01</t>
        </is>
      </c>
      <c r="F108" s="4" t="n">
        <v>1</v>
      </c>
      <c r="G108" s="8" t="n"/>
      <c r="H108" s="4">
        <f>IF(G108="","",G108-F108)</f>
        <v/>
      </c>
      <c r="I108" s="9" t="n">
        <v>6500</v>
      </c>
      <c r="J108" s="9">
        <f>IF(G108="","",H108*I108)</f>
        <v/>
      </c>
      <c r="K108" s="8" t="inlineStr"/>
      <c r="L108" s="8" t="inlineStr"/>
      <c r="M108" s="10" t="inlineStr"/>
    </row>
    <row r="109">
      <c r="A109" s="4" t="n">
        <v>105</v>
      </c>
      <c r="B109" s="6" t="inlineStr">
        <is>
          <t>Менеджерская</t>
        </is>
      </c>
      <c r="C109" s="4" t="inlineStr">
        <is>
          <t>Клапан штуцерный проходной Ду6 Ру100</t>
        </is>
      </c>
      <c r="D109" s="5" t="inlineStr">
        <is>
          <t>Клапан штуцерный проходной Ду 15 Ру40</t>
        </is>
      </c>
      <c r="E109" s="4" t="inlineStr">
        <is>
          <t>521-01.471-02</t>
        </is>
      </c>
      <c r="F109" s="4" t="n">
        <v>1</v>
      </c>
      <c r="G109" s="8" t="n"/>
      <c r="H109" s="4">
        <f>IF(G109="","",G109-F109)</f>
        <v/>
      </c>
      <c r="I109" s="9" t="n">
        <v>6500</v>
      </c>
      <c r="J109" s="9">
        <f>IF(G109="","",H109*I109)</f>
        <v/>
      </c>
      <c r="K109" s="8" t="inlineStr"/>
      <c r="L109" s="8" t="inlineStr"/>
      <c r="M109" s="10" t="inlineStr"/>
    </row>
    <row r="110">
      <c r="A110" s="4" t="n">
        <v>106</v>
      </c>
      <c r="B110" s="6" t="inlineStr">
        <is>
          <t>Менеджерская</t>
        </is>
      </c>
      <c r="C110" s="4" t="inlineStr">
        <is>
          <t>Клапан штуцерный проходной Ду6 Ру100</t>
        </is>
      </c>
      <c r="D110" s="5" t="inlineStr">
        <is>
          <t>Клапан штуцерный проходной Ду 20</t>
        </is>
      </c>
      <c r="E110" s="4" t="inlineStr">
        <is>
          <t>536-3м 5</t>
        </is>
      </c>
      <c r="F110" s="4" t="n">
        <v>4</v>
      </c>
      <c r="G110" s="8" t="n"/>
      <c r="H110" s="4">
        <f>IF(G110="","",G110-F110)</f>
        <v/>
      </c>
      <c r="I110" s="9" t="n">
        <v>6500</v>
      </c>
      <c r="J110" s="9">
        <f>IF(G110="","",H110*I110)</f>
        <v/>
      </c>
      <c r="K110" s="8" t="inlineStr"/>
      <c r="L110" s="8" t="inlineStr"/>
      <c r="M110" s="10" t="inlineStr"/>
    </row>
    <row r="111">
      <c r="A111" s="4" t="n">
        <v>107</v>
      </c>
      <c r="B111" s="6" t="inlineStr">
        <is>
          <t>Менеджерская</t>
        </is>
      </c>
      <c r="C111" s="4" t="inlineStr">
        <is>
          <t>Клапан штуцерный проходной Ду6 Ру100</t>
        </is>
      </c>
      <c r="D111" s="5" t="inlineStr">
        <is>
          <t>Клапан штуцерный проходной Ду 20</t>
        </is>
      </c>
      <c r="E111" s="4" t="inlineStr">
        <is>
          <t>536 3м .333</t>
        </is>
      </c>
      <c r="F111" s="4" t="n">
        <v>1</v>
      </c>
      <c r="G111" s="8" t="n"/>
      <c r="H111" s="4">
        <f>IF(G111="","",G111-F111)</f>
        <v/>
      </c>
      <c r="I111" s="9" t="n">
        <v>6000</v>
      </c>
      <c r="J111" s="9">
        <f>IF(G111="","",H111*I111)</f>
        <v/>
      </c>
      <c r="K111" s="8" t="inlineStr"/>
      <c r="L111" s="8" t="inlineStr"/>
      <c r="M111" s="10" t="inlineStr"/>
    </row>
    <row r="112">
      <c r="A112" s="4" t="n">
        <v>108</v>
      </c>
      <c r="B112" s="6" t="inlineStr">
        <is>
          <t>Менеджерская</t>
        </is>
      </c>
      <c r="C112" s="4" t="inlineStr">
        <is>
          <t>Клапан штуцерный проходной Ду6 Ру100</t>
        </is>
      </c>
      <c r="D112" s="5" t="inlineStr">
        <is>
          <t>Клапан штуцерный проходной Ду 20 Ру 100</t>
        </is>
      </c>
      <c r="E112" s="4" t="inlineStr">
        <is>
          <t>521-01.052</t>
        </is>
      </c>
      <c r="F112" s="4" t="n">
        <v>1</v>
      </c>
      <c r="G112" s="8" t="n"/>
      <c r="H112" s="4">
        <f>IF(G112="","",G112-F112)</f>
        <v/>
      </c>
      <c r="I112" s="9" t="n">
        <v>6000</v>
      </c>
      <c r="J112" s="9">
        <f>IF(G112="","",H112*I112)</f>
        <v/>
      </c>
      <c r="K112" s="8" t="inlineStr"/>
      <c r="L112" s="8" t="inlineStr"/>
      <c r="M112" s="10" t="inlineStr"/>
    </row>
    <row r="113">
      <c r="A113" s="4" t="n">
        <v>109</v>
      </c>
      <c r="B113" s="6" t="inlineStr">
        <is>
          <t>Менеджерская</t>
        </is>
      </c>
      <c r="C113" s="4" t="inlineStr">
        <is>
          <t>Клапан штуцерный проходной Ду6 Ру100</t>
        </is>
      </c>
      <c r="D113" s="5" t="inlineStr">
        <is>
          <t>Клапан штуцерный проходной Ду 20 Ру 100</t>
        </is>
      </c>
      <c r="E113" s="4" t="inlineStr">
        <is>
          <t>521-01.470-02</t>
        </is>
      </c>
      <c r="F113" s="4" t="n">
        <v>13</v>
      </c>
      <c r="G113" s="8" t="n"/>
      <c r="H113" s="4">
        <f>IF(G113="","",G113-F113)</f>
        <v/>
      </c>
      <c r="I113" s="9" t="n">
        <v>6000</v>
      </c>
      <c r="J113" s="9">
        <f>IF(G113="","",H113*I113)</f>
        <v/>
      </c>
      <c r="K113" s="8" t="inlineStr"/>
      <c r="L113" s="8" t="inlineStr"/>
      <c r="M113" s="10" t="inlineStr"/>
    </row>
    <row r="114">
      <c r="A114" s="4" t="n">
        <v>110</v>
      </c>
      <c r="B114" s="6" t="inlineStr">
        <is>
          <t>Менеджерская</t>
        </is>
      </c>
      <c r="C114" s="4" t="inlineStr">
        <is>
          <t>Клапан штуцерный проходной Ду6 Ру100</t>
        </is>
      </c>
      <c r="D114" s="5" t="inlineStr">
        <is>
          <t>Клапан штуцерный проходной Ду 20 Ру 100</t>
        </is>
      </c>
      <c r="E114" s="4" t="inlineStr">
        <is>
          <t>521-01.470-03</t>
        </is>
      </c>
      <c r="F114" s="4" t="n">
        <v>102</v>
      </c>
      <c r="G114" s="8" t="n"/>
      <c r="H114" s="4">
        <f>IF(G114="","",G114-F114)</f>
        <v/>
      </c>
      <c r="I114" s="9" t="n">
        <v>6000</v>
      </c>
      <c r="J114" s="9">
        <f>IF(G114="","",H114*I114)</f>
        <v/>
      </c>
      <c r="K114" s="8" t="inlineStr"/>
      <c r="L114" s="8" t="inlineStr"/>
      <c r="M114" s="10" t="inlineStr"/>
    </row>
    <row r="115">
      <c r="A115" s="4" t="n">
        <v>111</v>
      </c>
      <c r="B115" s="6" t="inlineStr">
        <is>
          <t>Менеджерская</t>
        </is>
      </c>
      <c r="C115" s="4" t="inlineStr">
        <is>
          <t>Клапан штуцерный проходной Ду6 Ру100</t>
        </is>
      </c>
      <c r="D115" s="5" t="inlineStr">
        <is>
          <t>Клапан штуцерный проходной Ду 20 Ру 100</t>
        </is>
      </c>
      <c r="E115" s="4" t="inlineStr">
        <is>
          <t>521-01.471-03</t>
        </is>
      </c>
      <c r="F115" s="4" t="n">
        <v>1</v>
      </c>
      <c r="G115" s="8" t="n"/>
      <c r="H115" s="4">
        <f>IF(G115="","",G115-F115)</f>
        <v/>
      </c>
      <c r="I115" s="9" t="n">
        <v>6000</v>
      </c>
      <c r="J115" s="9">
        <f>IF(G115="","",H115*I115)</f>
        <v/>
      </c>
      <c r="K115" s="8" t="inlineStr"/>
      <c r="L115" s="8" t="inlineStr"/>
      <c r="M115" s="10" t="inlineStr"/>
    </row>
    <row r="116">
      <c r="A116" s="4" t="n">
        <v>112</v>
      </c>
      <c r="B116" s="6" t="inlineStr">
        <is>
          <t>Менеджерская</t>
        </is>
      </c>
      <c r="C116" s="4" t="inlineStr">
        <is>
          <t>Клапан штуцерный проходной Ду6 Ру100</t>
        </is>
      </c>
      <c r="D116" s="5" t="inlineStr">
        <is>
          <t>Клапан штуцерный проходной Ду 20 Ру 100</t>
        </is>
      </c>
      <c r="E116" s="4" t="inlineStr">
        <is>
          <t>521-01.052</t>
        </is>
      </c>
      <c r="F116" s="4" t="n">
        <v>2</v>
      </c>
      <c r="G116" s="8" t="n"/>
      <c r="H116" s="4">
        <f>IF(G116="","",G116-F116)</f>
        <v/>
      </c>
      <c r="I116" s="9" t="n">
        <v>6000</v>
      </c>
      <c r="J116" s="9">
        <f>IF(G116="","",H116*I116)</f>
        <v/>
      </c>
      <c r="K116" s="8" t="inlineStr"/>
      <c r="L116" s="8" t="inlineStr"/>
      <c r="M116" s="10" t="inlineStr"/>
    </row>
    <row r="117">
      <c r="A117" s="4" t="n">
        <v>113</v>
      </c>
      <c r="B117" s="6" t="inlineStr">
        <is>
          <t>Менеджерская</t>
        </is>
      </c>
      <c r="C117" s="4" t="inlineStr">
        <is>
          <t>Клапан штуцерный проходной Ду6 Ру100</t>
        </is>
      </c>
      <c r="D117" s="5" t="inlineStr">
        <is>
          <t>Клапан штуцерный проходной Ду 20 Ру 100</t>
        </is>
      </c>
      <c r="E117" s="4" t="inlineStr">
        <is>
          <t>521-01.470-02</t>
        </is>
      </c>
      <c r="F117" s="4" t="n">
        <v>2</v>
      </c>
      <c r="G117" s="8" t="n"/>
      <c r="H117" s="4">
        <f>IF(G117="","",G117-F117)</f>
        <v/>
      </c>
      <c r="I117" s="9" t="n">
        <v>6000</v>
      </c>
      <c r="J117" s="9">
        <f>IF(G117="","",H117*I117)</f>
        <v/>
      </c>
      <c r="K117" s="8" t="inlineStr"/>
      <c r="L117" s="8" t="inlineStr"/>
      <c r="M117" s="10" t="inlineStr"/>
    </row>
    <row r="118">
      <c r="A118" s="4" t="n">
        <v>114</v>
      </c>
      <c r="B118" s="6" t="inlineStr">
        <is>
          <t>Менеджерская</t>
        </is>
      </c>
      <c r="C118" s="4" t="inlineStr">
        <is>
          <t>Клапан штуцерный проходной Ду6 Ру100</t>
        </is>
      </c>
      <c r="D118" s="5" t="inlineStr">
        <is>
          <t>Клапан штуцерный проходной Ду 20 Ру 100</t>
        </is>
      </c>
      <c r="E118" s="4" t="inlineStr">
        <is>
          <t>521-01.498-03</t>
        </is>
      </c>
      <c r="F118" s="4" t="n">
        <v>21</v>
      </c>
      <c r="G118" s="8" t="n"/>
      <c r="H118" s="4">
        <f>IF(G118="","",G118-F118)</f>
        <v/>
      </c>
      <c r="I118" s="9" t="n">
        <v>6000</v>
      </c>
      <c r="J118" s="9">
        <f>IF(G118="","",H118*I118)</f>
        <v/>
      </c>
      <c r="K118" s="8" t="inlineStr"/>
      <c r="L118" s="8" t="inlineStr"/>
      <c r="M118" s="10" t="inlineStr"/>
    </row>
    <row r="119">
      <c r="A119" s="4" t="n">
        <v>115</v>
      </c>
      <c r="B119" s="6" t="inlineStr">
        <is>
          <t>Менеджерская</t>
        </is>
      </c>
      <c r="C119" s="4" t="inlineStr">
        <is>
          <t>Клапан штуцерный проходной Ду6 Ру100</t>
        </is>
      </c>
      <c r="D119" s="5" t="inlineStr">
        <is>
          <t>Клапан штуцерный проходной Ду 20 Ру 100</t>
        </is>
      </c>
      <c r="E119" s="4" t="inlineStr">
        <is>
          <t>522-01.498-02</t>
        </is>
      </c>
      <c r="F119" s="4" t="n">
        <v>16</v>
      </c>
      <c r="G119" s="8" t="n"/>
      <c r="H119" s="4">
        <f>IF(G119="","",G119-F119)</f>
        <v/>
      </c>
      <c r="I119" s="9" t="n">
        <v>6000</v>
      </c>
      <c r="J119" s="9">
        <f>IF(G119="","",H119*I119)</f>
        <v/>
      </c>
      <c r="K119" s="8" t="inlineStr"/>
      <c r="L119" s="8" t="inlineStr"/>
      <c r="M119" s="10" t="inlineStr"/>
    </row>
    <row r="120">
      <c r="A120" s="4" t="n">
        <v>116</v>
      </c>
      <c r="B120" s="6" t="inlineStr">
        <is>
          <t>Менеджерская</t>
        </is>
      </c>
      <c r="C120" s="4" t="inlineStr">
        <is>
          <t>Клапан штуцерный проходной Ду6 Ру100</t>
        </is>
      </c>
      <c r="D120" s="5" t="inlineStr">
        <is>
          <t>Клапан штуцерный проходной Ду 20 Ру 100</t>
        </is>
      </c>
      <c r="E120" s="4" t="inlineStr">
        <is>
          <t>521-01.468-05</t>
        </is>
      </c>
      <c r="F120" s="4" t="n">
        <v>2</v>
      </c>
      <c r="G120" s="8" t="n"/>
      <c r="H120" s="4">
        <f>IF(G120="","",G120-F120)</f>
        <v/>
      </c>
      <c r="I120" s="9" t="n">
        <v>6000</v>
      </c>
      <c r="J120" s="9">
        <f>IF(G120="","",H120*I120)</f>
        <v/>
      </c>
      <c r="K120" s="8" t="inlineStr"/>
      <c r="L120" s="8" t="inlineStr"/>
      <c r="M120" s="10" t="inlineStr"/>
    </row>
    <row r="121">
      <c r="A121" s="4" t="n">
        <v>117</v>
      </c>
      <c r="B121" s="6" t="inlineStr">
        <is>
          <t>Менеджерская</t>
        </is>
      </c>
      <c r="C121" s="4" t="inlineStr">
        <is>
          <t>Клапан штуцерный проходной Ду6 Ру100</t>
        </is>
      </c>
      <c r="D121" s="5" t="inlineStr">
        <is>
          <t>Клапан штуцерный проходной Ду 20 Ру 100</t>
        </is>
      </c>
      <c r="E121" s="4" t="inlineStr">
        <is>
          <t>521-01464-03</t>
        </is>
      </c>
      <c r="F121" s="4" t="n">
        <v>7</v>
      </c>
      <c r="G121" s="8" t="n"/>
      <c r="H121" s="4">
        <f>IF(G121="","",G121-F121)</f>
        <v/>
      </c>
      <c r="I121" s="9" t="n">
        <v>6000</v>
      </c>
      <c r="J121" s="9">
        <f>IF(G121="","",H121*I121)</f>
        <v/>
      </c>
      <c r="K121" s="8" t="inlineStr"/>
      <c r="L121" s="8" t="inlineStr"/>
      <c r="M121" s="10" t="inlineStr"/>
    </row>
    <row r="122">
      <c r="A122" s="4" t="n">
        <v>118</v>
      </c>
      <c r="B122" s="6" t="inlineStr">
        <is>
          <t>Менеджерская</t>
        </is>
      </c>
      <c r="C122" s="4" t="inlineStr">
        <is>
          <t>Клапан штуцерный проходной Ду6 Ру100</t>
        </is>
      </c>
      <c r="D122" s="5" t="inlineStr">
        <is>
          <t>Клапан штуцерный проходной Ду 20 Ру 100</t>
        </is>
      </c>
      <c r="E122" s="4" t="inlineStr">
        <is>
          <t>522-01500-05</t>
        </is>
      </c>
      <c r="F122" s="4" t="n">
        <v>9</v>
      </c>
      <c r="G122" s="8" t="n"/>
      <c r="H122" s="4">
        <f>IF(G122="","",G122-F122)</f>
        <v/>
      </c>
      <c r="I122" s="9" t="n">
        <v>6000</v>
      </c>
      <c r="J122" s="9">
        <f>IF(G122="","",H122*I122)</f>
        <v/>
      </c>
      <c r="K122" s="8" t="inlineStr"/>
      <c r="L122" s="8" t="inlineStr"/>
      <c r="M122" s="10" t="inlineStr"/>
    </row>
    <row r="123">
      <c r="A123" s="4" t="n">
        <v>119</v>
      </c>
      <c r="B123" s="6" t="inlineStr">
        <is>
          <t>Менеджерская</t>
        </is>
      </c>
      <c r="C123" s="4" t="inlineStr">
        <is>
          <t>Клапан штуцерный проходной Ду6 Ру100</t>
        </is>
      </c>
      <c r="D123" s="5" t="inlineStr">
        <is>
          <t>Клапан штуцерный проходной Ду 20 Ру 100</t>
        </is>
      </c>
      <c r="E123" s="4" t="inlineStr">
        <is>
          <t>522-01.498.-03</t>
        </is>
      </c>
      <c r="F123" s="4" t="n">
        <v>1</v>
      </c>
      <c r="G123" s="8" t="n"/>
      <c r="H123" s="4">
        <f>IF(G123="","",G123-F123)</f>
        <v/>
      </c>
      <c r="I123" s="9" t="n">
        <v>6000</v>
      </c>
      <c r="J123" s="9">
        <f>IF(G123="","",H123*I123)</f>
        <v/>
      </c>
      <c r="K123" s="8" t="inlineStr"/>
      <c r="L123" s="8" t="inlineStr"/>
      <c r="M123" s="10" t="inlineStr"/>
    </row>
    <row r="124">
      <c r="A124" s="4" t="n">
        <v>120</v>
      </c>
      <c r="B124" s="6" t="inlineStr">
        <is>
          <t>Менеджерская</t>
        </is>
      </c>
      <c r="C124" s="4" t="inlineStr">
        <is>
          <t>Клапан штуцерный проходной Ду6 Ру100</t>
        </is>
      </c>
      <c r="D124" s="5" t="inlineStr">
        <is>
          <t>Клапан штуцерный проходной Ду 20 Ру 100</t>
        </is>
      </c>
      <c r="E124" s="4" t="inlineStr">
        <is>
          <t>425-322710</t>
        </is>
      </c>
      <c r="F124" s="4" t="n">
        <v>1</v>
      </c>
      <c r="G124" s="8" t="n"/>
      <c r="H124" s="4">
        <f>IF(G124="","",G124-F124)</f>
        <v/>
      </c>
      <c r="I124" s="9" t="n">
        <v>6000</v>
      </c>
      <c r="J124" s="9">
        <f>IF(G124="","",H124*I124)</f>
        <v/>
      </c>
      <c r="K124" s="8" t="inlineStr"/>
      <c r="L124" s="8" t="inlineStr"/>
      <c r="M124" s="10" t="inlineStr"/>
    </row>
    <row r="125">
      <c r="A125" s="4" t="n">
        <v>121</v>
      </c>
      <c r="B125" s="6" t="inlineStr">
        <is>
          <t>Менеджерская</t>
        </is>
      </c>
      <c r="C125" s="4" t="inlineStr">
        <is>
          <t>Клапан штуцерный проходной Ду6 Ру100</t>
        </is>
      </c>
      <c r="D125" s="5" t="inlineStr">
        <is>
          <t>Клапан штуцерный проходной Ду 20 Ру 100</t>
        </is>
      </c>
      <c r="E125" s="4" t="inlineStr">
        <is>
          <t>521-01464-02</t>
        </is>
      </c>
      <c r="F125" s="4" t="n">
        <v>3</v>
      </c>
      <c r="G125" s="8" t="n"/>
      <c r="H125" s="4">
        <f>IF(G125="","",G125-F125)</f>
        <v/>
      </c>
      <c r="I125" s="9" t="n">
        <v>6000</v>
      </c>
      <c r="J125" s="9">
        <f>IF(G125="","",H125*I125)</f>
        <v/>
      </c>
      <c r="K125" s="8" t="inlineStr"/>
      <c r="L125" s="8" t="inlineStr"/>
      <c r="M125" s="10" t="inlineStr"/>
    </row>
    <row r="126">
      <c r="A126" s="4" t="n">
        <v>122</v>
      </c>
      <c r="B126" s="6" t="inlineStr">
        <is>
          <t>Менеджерская</t>
        </is>
      </c>
      <c r="C126" s="4" t="inlineStr">
        <is>
          <t>Клапан штуцерный проходной Ду6 Ру100</t>
        </is>
      </c>
      <c r="D126" s="5" t="inlineStr">
        <is>
          <t>Клапан штуцерный проходной Ду 20 Ру 40</t>
        </is>
      </c>
      <c r="E126" s="4" t="inlineStr">
        <is>
          <t>Без чертежа</t>
        </is>
      </c>
      <c r="F126" s="4" t="n">
        <v>4</v>
      </c>
      <c r="G126" s="8" t="n"/>
      <c r="H126" s="4">
        <f>IF(G126="","",G126-F126)</f>
        <v/>
      </c>
      <c r="I126" s="9" t="n">
        <v>6000</v>
      </c>
      <c r="J126" s="9">
        <f>IF(G126="","",H126*I126)</f>
        <v/>
      </c>
      <c r="K126" s="8" t="inlineStr"/>
      <c r="L126" s="8" t="inlineStr"/>
      <c r="M126" s="10" t="inlineStr"/>
    </row>
    <row r="127">
      <c r="A127" s="4" t="n">
        <v>123</v>
      </c>
      <c r="B127" s="6" t="inlineStr">
        <is>
          <t>Менеджерская</t>
        </is>
      </c>
      <c r="C127" s="4" t="inlineStr">
        <is>
          <t>Клапан штуцерный проходной Ду6 Ру100</t>
        </is>
      </c>
      <c r="D127" s="5" t="inlineStr">
        <is>
          <t>Клапан штуцерный проходной Ду 20 Ру 40</t>
        </is>
      </c>
      <c r="E127" s="4" t="inlineStr">
        <is>
          <t>522-01.501-02</t>
        </is>
      </c>
      <c r="F127" s="4" t="n">
        <v>72</v>
      </c>
      <c r="G127" s="8" t="n"/>
      <c r="H127" s="4">
        <f>IF(G127="","",G127-F127)</f>
        <v/>
      </c>
      <c r="I127" s="9" t="n">
        <v>6000</v>
      </c>
      <c r="J127" s="9">
        <f>IF(G127="","",H127*I127)</f>
        <v/>
      </c>
      <c r="K127" s="8" t="inlineStr"/>
      <c r="L127" s="8" t="inlineStr"/>
      <c r="M127" s="10" t="inlineStr"/>
    </row>
    <row r="128">
      <c r="A128" s="4" t="n">
        <v>124</v>
      </c>
      <c r="B128" s="6" t="inlineStr">
        <is>
          <t>Менеджерская</t>
        </is>
      </c>
      <c r="C128" s="4" t="inlineStr">
        <is>
          <t>Клапан штуцерный проходной Ду6 Ру100</t>
        </is>
      </c>
      <c r="D128" s="5" t="inlineStr">
        <is>
          <t>Клапан штуцерный проходной Ду 20 Ру 40</t>
        </is>
      </c>
      <c r="E128" s="4" t="inlineStr">
        <is>
          <t>521-01474-03</t>
        </is>
      </c>
      <c r="F128" s="4" t="n">
        <v>11</v>
      </c>
      <c r="G128" s="8" t="n"/>
      <c r="H128" s="4">
        <f>IF(G128="","",G128-F128)</f>
        <v/>
      </c>
      <c r="I128" s="9" t="n">
        <v>6000</v>
      </c>
      <c r="J128" s="9">
        <f>IF(G128="","",H128*I128)</f>
        <v/>
      </c>
      <c r="K128" s="8" t="inlineStr"/>
      <c r="L128" s="8" t="inlineStr"/>
      <c r="M128" s="10" t="inlineStr"/>
    </row>
    <row r="129">
      <c r="A129" s="4" t="n">
        <v>125</v>
      </c>
      <c r="B129" s="6" t="inlineStr">
        <is>
          <t>Менеджерская</t>
        </is>
      </c>
      <c r="C129" s="4" t="inlineStr">
        <is>
          <t>Клапан штуцерный проходной Ду6 Ру100</t>
        </is>
      </c>
      <c r="D129" s="5" t="inlineStr">
        <is>
          <t>Клапан штуцерный проходной Ду 20 Ру 40</t>
        </is>
      </c>
      <c r="E129" s="4" t="inlineStr">
        <is>
          <t>521 3м 623</t>
        </is>
      </c>
      <c r="F129" s="4" t="n">
        <v>11</v>
      </c>
      <c r="G129" s="8" t="n"/>
      <c r="H129" s="4">
        <f>IF(G129="","",G129-F129)</f>
        <v/>
      </c>
      <c r="I129" s="9" t="n">
        <v>6000</v>
      </c>
      <c r="J129" s="9">
        <f>IF(G129="","",H129*I129)</f>
        <v/>
      </c>
      <c r="K129" s="8" t="inlineStr"/>
      <c r="L129" s="8" t="inlineStr"/>
      <c r="M129" s="10" t="inlineStr"/>
    </row>
    <row r="130">
      <c r="A130" s="4" t="n">
        <v>126</v>
      </c>
      <c r="B130" s="6" t="inlineStr">
        <is>
          <t>Менеджерская</t>
        </is>
      </c>
      <c r="C130" s="4" t="inlineStr">
        <is>
          <t>Клапан штуцерный проходной Ду6 Ру100</t>
        </is>
      </c>
      <c r="D130" s="5" t="inlineStr">
        <is>
          <t>Клапан штуцерный проходной Ду 20 Ру 40</t>
        </is>
      </c>
      <c r="E130" s="4" t="inlineStr">
        <is>
          <t>521 3м 726</t>
        </is>
      </c>
      <c r="F130" s="4" t="n">
        <v>2</v>
      </c>
      <c r="G130" s="8" t="n"/>
      <c r="H130" s="4">
        <f>IF(G130="","",G130-F130)</f>
        <v/>
      </c>
      <c r="I130" s="9" t="n">
        <v>6000</v>
      </c>
      <c r="J130" s="9">
        <f>IF(G130="","",H130*I130)</f>
        <v/>
      </c>
      <c r="K130" s="8" t="inlineStr"/>
      <c r="L130" s="8" t="inlineStr"/>
      <c r="M130" s="10" t="inlineStr"/>
    </row>
    <row r="131">
      <c r="A131" s="4" t="n">
        <v>127</v>
      </c>
      <c r="B131" s="6" t="inlineStr">
        <is>
          <t>Менеджерская</t>
        </is>
      </c>
      <c r="C131" s="4" t="inlineStr">
        <is>
          <t>Клапан штуцерный проходной Ду6 Ру100</t>
        </is>
      </c>
      <c r="D131" s="5" t="inlineStr">
        <is>
          <t>Клапан штуцерный проходной Ду 20 Ру 40</t>
        </is>
      </c>
      <c r="E131" s="4" t="inlineStr">
        <is>
          <t>521 3м 58</t>
        </is>
      </c>
      <c r="F131" s="4" t="n">
        <v>23</v>
      </c>
      <c r="G131" s="8" t="n"/>
      <c r="H131" s="4">
        <f>IF(G131="","",G131-F131)</f>
        <v/>
      </c>
      <c r="I131" s="9" t="n">
        <v>6000</v>
      </c>
      <c r="J131" s="9">
        <f>IF(G131="","",H131*I131)</f>
        <v/>
      </c>
      <c r="K131" s="8" t="inlineStr"/>
      <c r="L131" s="8" t="inlineStr"/>
      <c r="M131" s="10" t="inlineStr"/>
    </row>
    <row r="132">
      <c r="A132" s="4" t="n">
        <v>128</v>
      </c>
      <c r="B132" s="6" t="inlineStr">
        <is>
          <t>Менеджерская</t>
        </is>
      </c>
      <c r="C132" s="4" t="inlineStr">
        <is>
          <t>Клапан штуцерный проходной Ду6 Ру100</t>
        </is>
      </c>
      <c r="D132" s="5" t="inlineStr">
        <is>
          <t>Клапан штуцерный проходной Ду 20 Ру 40</t>
        </is>
      </c>
      <c r="E132" s="4" t="inlineStr">
        <is>
          <t>521 3м 30</t>
        </is>
      </c>
      <c r="F132" s="4" t="n">
        <v>1</v>
      </c>
      <c r="G132" s="8" t="n"/>
      <c r="H132" s="4">
        <f>IF(G132="","",G132-F132)</f>
        <v/>
      </c>
      <c r="I132" s="9" t="n">
        <v>6000</v>
      </c>
      <c r="J132" s="9">
        <f>IF(G132="","",H132*I132)</f>
        <v/>
      </c>
      <c r="K132" s="8" t="inlineStr"/>
      <c r="L132" s="8" t="inlineStr"/>
      <c r="M132" s="10" t="inlineStr"/>
    </row>
    <row r="133">
      <c r="A133" s="4" t="n">
        <v>129</v>
      </c>
      <c r="B133" s="6" t="inlineStr">
        <is>
          <t>Менеджерская</t>
        </is>
      </c>
      <c r="C133" s="4" t="inlineStr">
        <is>
          <t>Клапан штуцерный проходной Ду6 Ру100</t>
        </is>
      </c>
      <c r="D133" s="5" t="inlineStr">
        <is>
          <t>Клапан штуцерный проходной Ду 20 Ру 40</t>
        </is>
      </c>
      <c r="E133" s="4" t="inlineStr">
        <is>
          <t>522 3м 13</t>
        </is>
      </c>
      <c r="F133" s="4" t="n">
        <v>3</v>
      </c>
      <c r="G133" s="8" t="n"/>
      <c r="H133" s="4">
        <f>IF(G133="","",G133-F133)</f>
        <v/>
      </c>
      <c r="I133" s="9" t="n">
        <v>6000</v>
      </c>
      <c r="J133" s="9">
        <f>IF(G133="","",H133*I133)</f>
        <v/>
      </c>
      <c r="K133" s="8" t="inlineStr"/>
      <c r="L133" s="8" t="inlineStr"/>
      <c r="M133" s="10" t="inlineStr"/>
    </row>
    <row r="134">
      <c r="A134" s="4" t="n">
        <v>130</v>
      </c>
      <c r="B134" s="6" t="inlineStr">
        <is>
          <t>Менеджерская</t>
        </is>
      </c>
      <c r="C134" s="4" t="inlineStr">
        <is>
          <t>Клапан штуцерный проходной Ду6 Ру100</t>
        </is>
      </c>
      <c r="D134" s="5" t="inlineStr">
        <is>
          <t>Клапан штуцерный проходной Ду 20 Ру 64</t>
        </is>
      </c>
      <c r="E134" s="4" t="inlineStr">
        <is>
          <t>522-35 240</t>
        </is>
      </c>
      <c r="F134" s="4" t="n">
        <v>1</v>
      </c>
      <c r="G134" s="8" t="n"/>
      <c r="H134" s="4">
        <f>IF(G134="","",G134-F134)</f>
        <v/>
      </c>
      <c r="I134" s="9" t="n">
        <v>6000</v>
      </c>
      <c r="J134" s="9">
        <f>IF(G134="","",H134*I134)</f>
        <v/>
      </c>
      <c r="K134" s="8" t="inlineStr"/>
      <c r="L134" s="8" t="inlineStr"/>
      <c r="M134" s="10" t="inlineStr"/>
    </row>
    <row r="135">
      <c r="A135" s="4" t="n">
        <v>131</v>
      </c>
      <c r="B135" s="6" t="inlineStr">
        <is>
          <t>Менеджерская</t>
        </is>
      </c>
      <c r="C135" s="4" t="inlineStr">
        <is>
          <t>Клапан штуцерный проходной Ду6 Ру100</t>
        </is>
      </c>
      <c r="D135" s="5" t="inlineStr">
        <is>
          <t>Клапан штуцерный проходной Ду 20 Ру10</t>
        </is>
      </c>
      <c r="E135" s="4" t="inlineStr">
        <is>
          <t>Без чертежа</t>
        </is>
      </c>
      <c r="F135" s="4" t="n">
        <v>5</v>
      </c>
      <c r="G135" s="8" t="n"/>
      <c r="H135" s="4">
        <f>IF(G135="","",G135-F135)</f>
        <v/>
      </c>
      <c r="I135" s="9" t="n">
        <v>6000</v>
      </c>
      <c r="J135" s="9">
        <f>IF(G135="","",H135*I135)</f>
        <v/>
      </c>
      <c r="K135" s="8" t="inlineStr"/>
      <c r="L135" s="8" t="inlineStr"/>
      <c r="M135" s="10" t="inlineStr"/>
    </row>
    <row r="136">
      <c r="A136" s="4" t="n">
        <v>132</v>
      </c>
      <c r="B136" s="6" t="inlineStr">
        <is>
          <t>Менеджерская</t>
        </is>
      </c>
      <c r="C136" s="4" t="inlineStr">
        <is>
          <t>Клапан штуцерный проходной Ду6 Ру100</t>
        </is>
      </c>
      <c r="D136" s="5" t="inlineStr">
        <is>
          <t>Клапан штуцерный проходной Ду 32 Ру 40</t>
        </is>
      </c>
      <c r="E136" s="4" t="inlineStr">
        <is>
          <t>521.3м.660</t>
        </is>
      </c>
      <c r="F136" s="4" t="n">
        <v>3</v>
      </c>
      <c r="G136" s="8" t="n"/>
      <c r="H136" s="4">
        <f>IF(G136="","",G136-F136)</f>
        <v/>
      </c>
      <c r="I136" s="9" t="n">
        <v>12500</v>
      </c>
      <c r="J136" s="9">
        <f>IF(G136="","",H136*I136)</f>
        <v/>
      </c>
      <c r="K136" s="8" t="inlineStr"/>
      <c r="L136" s="8" t="inlineStr"/>
      <c r="M136" s="10" t="inlineStr"/>
    </row>
    <row r="137">
      <c r="A137" s="4" t="n">
        <v>133</v>
      </c>
      <c r="B137" s="6" t="inlineStr">
        <is>
          <t>Менеджерская</t>
        </is>
      </c>
      <c r="C137" s="4" t="inlineStr">
        <is>
          <t>Клапан штуцерный угловой Ду6Ру100</t>
        </is>
      </c>
      <c r="D137" s="5" t="inlineStr">
        <is>
          <t>Датчик ДТ-6</t>
        </is>
      </c>
      <c r="E137" s="4" t="inlineStr"/>
      <c r="F137" s="4" t="n">
        <v>3</v>
      </c>
      <c r="G137" s="8" t="n"/>
      <c r="H137" s="4">
        <f>IF(G137="","",G137-F137)</f>
        <v/>
      </c>
      <c r="I137" s="9" t="n">
        <v>250000</v>
      </c>
      <c r="J137" s="9">
        <f>IF(G137="","",H137*I137)</f>
        <v/>
      </c>
      <c r="K137" s="8" t="inlineStr"/>
      <c r="L137" s="8" t="inlineStr"/>
      <c r="M137" s="10" t="inlineStr"/>
    </row>
    <row r="138">
      <c r="A138" s="4" t="n">
        <v>134</v>
      </c>
      <c r="B138" s="6" t="inlineStr">
        <is>
          <t>Менеджерская</t>
        </is>
      </c>
      <c r="C138" s="4" t="inlineStr">
        <is>
          <t>Клапан штуцерный угловой Ду6Ру100</t>
        </is>
      </c>
      <c r="D138" s="5" t="inlineStr">
        <is>
          <t>КМ 2211-9</t>
        </is>
      </c>
      <c r="E138" s="4" t="inlineStr">
        <is>
          <t>6</t>
        </is>
      </c>
      <c r="F138" s="4" t="n">
        <v>4</v>
      </c>
      <c r="G138" s="8" t="n"/>
      <c r="H138" s="4">
        <f>IF(G138="","",G138-F138)</f>
        <v/>
      </c>
      <c r="I138" s="9" t="n">
        <v>4000</v>
      </c>
      <c r="J138" s="9">
        <f>IF(G138="","",H138*I138)</f>
        <v/>
      </c>
      <c r="K138" s="8" t="inlineStr"/>
      <c r="L138" s="8" t="inlineStr"/>
      <c r="M138" s="10" t="inlineStr"/>
    </row>
    <row r="139">
      <c r="A139" s="4" t="n">
        <v>135</v>
      </c>
      <c r="B139" s="6" t="inlineStr">
        <is>
          <t>Менеджерская</t>
        </is>
      </c>
      <c r="C139" s="4" t="inlineStr">
        <is>
          <t>Клапан штуцерный угловой Ду6Ру100</t>
        </is>
      </c>
      <c r="D139" s="5" t="inlineStr">
        <is>
          <t>КМ 2244-9</t>
        </is>
      </c>
      <c r="E139" s="4" t="inlineStr">
        <is>
          <t>1</t>
        </is>
      </c>
      <c r="F139" s="4" t="n">
        <v>2</v>
      </c>
      <c r="G139" s="8" t="n"/>
      <c r="H139" s="4">
        <f>IF(G139="","",G139-F139)</f>
        <v/>
      </c>
      <c r="I139" s="9" t="n">
        <v>4000</v>
      </c>
      <c r="J139" s="9">
        <f>IF(G139="","",H139*I139)</f>
        <v/>
      </c>
      <c r="K139" s="8" t="inlineStr"/>
      <c r="L139" s="8" t="inlineStr"/>
      <c r="M139" s="10" t="inlineStr"/>
    </row>
    <row r="140">
      <c r="A140" s="4" t="n">
        <v>136</v>
      </c>
      <c r="B140" s="6" t="inlineStr">
        <is>
          <t>Менеджерская</t>
        </is>
      </c>
      <c r="C140" s="4" t="inlineStr">
        <is>
          <t>Клапан штуцерный угловой Ду6Ру100</t>
        </is>
      </c>
      <c r="D140" s="5" t="inlineStr">
        <is>
          <t>КМ 2311-9</t>
        </is>
      </c>
      <c r="E140" s="4" t="inlineStr">
        <is>
          <t>15</t>
        </is>
      </c>
      <c r="F140" s="4" t="n">
        <v>20</v>
      </c>
      <c r="G140" s="8" t="n"/>
      <c r="H140" s="4">
        <f>IF(G140="","",G140-F140)</f>
        <v/>
      </c>
      <c r="I140" s="9" t="n">
        <v>3700</v>
      </c>
      <c r="J140" s="9">
        <f>IF(G140="","",H140*I140)</f>
        <v/>
      </c>
      <c r="K140" s="8" t="inlineStr"/>
      <c r="L140" s="8" t="inlineStr"/>
      <c r="M140" s="10" t="inlineStr"/>
    </row>
    <row r="141">
      <c r="A141" s="4" t="n">
        <v>137</v>
      </c>
      <c r="B141" s="6" t="inlineStr">
        <is>
          <t>Менеджерская</t>
        </is>
      </c>
      <c r="C141" s="4" t="inlineStr">
        <is>
          <t>Клапан штуцерный угловой Ду6Ру100</t>
        </is>
      </c>
      <c r="D141" s="5" t="inlineStr">
        <is>
          <t>КМ 2351-8Д</t>
        </is>
      </c>
      <c r="E141" s="4" t="inlineStr">
        <is>
          <t>47</t>
        </is>
      </c>
      <c r="F141" s="4" t="n">
        <v>39</v>
      </c>
      <c r="G141" s="8" t="n"/>
      <c r="H141" s="4">
        <f>IF(G141="","",G141-F141)</f>
        <v/>
      </c>
      <c r="I141" s="9" t="n">
        <v>4000</v>
      </c>
      <c r="J141" s="9">
        <f>IF(G141="","",H141*I141)</f>
        <v/>
      </c>
      <c r="K141" s="8" t="inlineStr"/>
      <c r="L141" s="8" t="inlineStr"/>
      <c r="M141" s="10" t="inlineStr"/>
    </row>
    <row r="142">
      <c r="A142" s="4" t="n">
        <v>138</v>
      </c>
      <c r="B142" s="6" t="inlineStr">
        <is>
          <t>Менеджерская</t>
        </is>
      </c>
      <c r="C142" s="4" t="inlineStr">
        <is>
          <t>Клапан штуцерный угловой Ду6Ру100</t>
        </is>
      </c>
      <c r="D142" s="5" t="inlineStr">
        <is>
          <t>КМ 2351-9</t>
        </is>
      </c>
      <c r="E142" s="4" t="inlineStr">
        <is>
          <t>8</t>
        </is>
      </c>
      <c r="F142" s="4" t="n">
        <v>17</v>
      </c>
      <c r="G142" s="8" t="n"/>
      <c r="H142" s="4">
        <f>IF(G142="","",G142-F142)</f>
        <v/>
      </c>
      <c r="I142" s="9" t="n">
        <v>4000</v>
      </c>
      <c r="J142" s="9">
        <f>IF(G142="","",H142*I142)</f>
        <v/>
      </c>
      <c r="K142" s="8" t="inlineStr"/>
      <c r="L142" s="8" t="inlineStr"/>
      <c r="M142" s="10" t="inlineStr"/>
    </row>
    <row r="143">
      <c r="A143" s="4" t="n">
        <v>139</v>
      </c>
      <c r="B143" s="6" t="inlineStr">
        <is>
          <t>Менеджерская</t>
        </is>
      </c>
      <c r="C143" s="4" t="inlineStr">
        <is>
          <t>Клапан штуцерный угловой Ду6Ру100</t>
        </is>
      </c>
      <c r="D143" s="5" t="inlineStr">
        <is>
          <t>КМ 2521-7</t>
        </is>
      </c>
      <c r="E143" s="4" t="inlineStr">
        <is>
          <t>1</t>
        </is>
      </c>
      <c r="F143" s="4" t="n">
        <v>1</v>
      </c>
      <c r="G143" s="8" t="n"/>
      <c r="H143" s="4">
        <f>IF(G143="","",G143-F143)</f>
        <v/>
      </c>
      <c r="I143" s="9" t="n">
        <v>2600</v>
      </c>
      <c r="J143" s="9">
        <f>IF(G143="","",H143*I143)</f>
        <v/>
      </c>
      <c r="K143" s="8" t="inlineStr"/>
      <c r="L143" s="8" t="inlineStr"/>
      <c r="M143" s="10" t="inlineStr"/>
    </row>
    <row r="144">
      <c r="A144" s="4" t="n">
        <v>140</v>
      </c>
      <c r="B144" s="6" t="inlineStr">
        <is>
          <t>Менеджерская</t>
        </is>
      </c>
      <c r="C144" s="4" t="inlineStr">
        <is>
          <t>Клапан штуцерный угловой Ду6Ру100</t>
        </is>
      </c>
      <c r="D144" s="5" t="inlineStr">
        <is>
          <t>КМ2312-18</t>
        </is>
      </c>
      <c r="E144" s="4" t="inlineStr">
        <is>
          <t>0</t>
        </is>
      </c>
      <c r="F144" s="4" t="n">
        <v>6</v>
      </c>
      <c r="G144" s="8" t="n"/>
      <c r="H144" s="4">
        <f>IF(G144="","",G144-F144)</f>
        <v/>
      </c>
      <c r="I144" s="9" t="n">
        <v>4000</v>
      </c>
      <c r="J144" s="9">
        <f>IF(G144="","",H144*I144)</f>
        <v/>
      </c>
      <c r="K144" s="8" t="inlineStr"/>
      <c r="L144" s="8" t="inlineStr"/>
      <c r="M144" s="10" t="inlineStr"/>
    </row>
    <row r="145">
      <c r="A145" s="4" t="n">
        <v>141</v>
      </c>
      <c r="B145" s="6" t="inlineStr">
        <is>
          <t>Менеджерская</t>
        </is>
      </c>
      <c r="C145" s="4" t="inlineStr">
        <is>
          <t>Клапан штуцерный угловой Ду6Ру100</t>
        </is>
      </c>
      <c r="D145" s="5" t="inlineStr">
        <is>
          <t>КПМ-121 ОМ</t>
        </is>
      </c>
      <c r="E145" s="4" t="inlineStr">
        <is>
          <t>4</t>
        </is>
      </c>
      <c r="F145" s="4" t="n">
        <v>4</v>
      </c>
      <c r="G145" s="8" t="n"/>
      <c r="H145" s="4">
        <f>IF(G145="","",G145-F145)</f>
        <v/>
      </c>
      <c r="I145" s="9" t="n">
        <v>21750</v>
      </c>
      <c r="J145" s="9">
        <f>IF(G145="","",H145*I145)</f>
        <v/>
      </c>
      <c r="K145" s="8" t="inlineStr"/>
      <c r="L145" s="8" t="inlineStr"/>
      <c r="M145" s="10" t="inlineStr"/>
    </row>
    <row r="146">
      <c r="A146" s="4" t="n">
        <v>142</v>
      </c>
      <c r="B146" s="6" t="inlineStr">
        <is>
          <t>Менеджерская</t>
        </is>
      </c>
      <c r="C146" s="4" t="inlineStr">
        <is>
          <t>Клапан штуцерный угловой Ду6Ру100</t>
        </is>
      </c>
      <c r="D146" s="5" t="inlineStr">
        <is>
          <t>Клапан Пожарный фланцевый проходной Ду50 Ру16</t>
        </is>
      </c>
      <c r="E146" s="4" t="inlineStr">
        <is>
          <t>595-01.002</t>
        </is>
      </c>
      <c r="F146" s="4" t="n">
        <v>2</v>
      </c>
      <c r="G146" s="8" t="n"/>
      <c r="H146" s="4">
        <f>IF(G146="","",G146-F146)</f>
        <v/>
      </c>
      <c r="I146" s="9" t="n">
        <v>22500</v>
      </c>
      <c r="J146" s="9">
        <f>IF(G146="","",H146*I146)</f>
        <v/>
      </c>
      <c r="K146" s="8" t="inlineStr"/>
      <c r="L146" s="8" t="inlineStr"/>
      <c r="M146" s="10" t="inlineStr"/>
    </row>
    <row r="147">
      <c r="A147" s="4" t="n">
        <v>143</v>
      </c>
      <c r="B147" s="6" t="inlineStr">
        <is>
          <t>Менеджерская</t>
        </is>
      </c>
      <c r="C147" s="4" t="inlineStr">
        <is>
          <t>Клапан штуцерный угловой Ду6Ру100</t>
        </is>
      </c>
      <c r="D147" s="5" t="inlineStr">
        <is>
          <t>Клапан Пожарный фланцевый угловой Ду32</t>
        </is>
      </c>
      <c r="E147" s="4" t="inlineStr">
        <is>
          <t>595-03.006</t>
        </is>
      </c>
      <c r="F147" s="4" t="n">
        <v>1</v>
      </c>
      <c r="G147" s="8" t="n"/>
      <c r="H147" s="4">
        <f>IF(G147="","",G147-F147)</f>
        <v/>
      </c>
      <c r="I147" s="9" t="n">
        <v>12800</v>
      </c>
      <c r="J147" s="9">
        <f>IF(G147="","",H147*I147)</f>
        <v/>
      </c>
      <c r="K147" s="8" t="inlineStr"/>
      <c r="L147" s="8" t="inlineStr"/>
      <c r="M147" s="10" t="inlineStr"/>
    </row>
    <row r="148">
      <c r="A148" s="4" t="n">
        <v>144</v>
      </c>
      <c r="B148" s="6" t="inlineStr">
        <is>
          <t>Менеджерская</t>
        </is>
      </c>
      <c r="C148" s="4" t="inlineStr">
        <is>
          <t>Клапан штуцерный угловой Ду6Ру100</t>
        </is>
      </c>
      <c r="D148" s="5" t="inlineStr">
        <is>
          <t>Клапан Пожарный фланцевый угловой Ду50 Ру16</t>
        </is>
      </c>
      <c r="E148" s="4" t="inlineStr">
        <is>
          <t>595-03.011</t>
        </is>
      </c>
      <c r="F148" s="4" t="n">
        <v>3</v>
      </c>
      <c r="G148" s="8" t="n"/>
      <c r="H148" s="4">
        <f>IF(G148="","",G148-F148)</f>
        <v/>
      </c>
      <c r="I148" s="9" t="n">
        <v>25000</v>
      </c>
      <c r="J148" s="9">
        <f>IF(G148="","",H148*I148)</f>
        <v/>
      </c>
      <c r="K148" s="8" t="inlineStr"/>
      <c r="L148" s="8" t="inlineStr"/>
      <c r="M148" s="10" t="inlineStr"/>
    </row>
    <row r="149">
      <c r="A149" s="4" t="n">
        <v>145</v>
      </c>
      <c r="B149" s="6" t="inlineStr">
        <is>
          <t>Менеджерская</t>
        </is>
      </c>
      <c r="C149" s="4" t="inlineStr">
        <is>
          <t>Клапан штуцерный угловой Ду6Ру100</t>
        </is>
      </c>
      <c r="D149" s="5" t="inlineStr">
        <is>
          <t>Клапан Пожарный фланцевый угловой Ду50 Ру16</t>
        </is>
      </c>
      <c r="E149" s="4" t="inlineStr">
        <is>
          <t>595-03.008</t>
        </is>
      </c>
      <c r="F149" s="4" t="n">
        <v>1</v>
      </c>
      <c r="G149" s="8" t="n"/>
      <c r="H149" s="4">
        <f>IF(G149="","",G149-F149)</f>
        <v/>
      </c>
      <c r="I149" s="9" t="n">
        <v>25000</v>
      </c>
      <c r="J149" s="9">
        <f>IF(G149="","",H149*I149)</f>
        <v/>
      </c>
      <c r="K149" s="8" t="inlineStr"/>
      <c r="L149" s="8" t="inlineStr"/>
      <c r="M149" s="10" t="inlineStr"/>
    </row>
    <row r="150">
      <c r="A150" s="4" t="n">
        <v>146</v>
      </c>
      <c r="B150" s="6" t="inlineStr">
        <is>
          <t>Менеджерская</t>
        </is>
      </c>
      <c r="C150" s="4" t="inlineStr">
        <is>
          <t>Клапан штуцерный угловой Ду6Ру100</t>
        </is>
      </c>
      <c r="D150" s="5" t="inlineStr">
        <is>
          <t>Клапан Пожарный фланцевый угловой Ду50 Ру16</t>
        </is>
      </c>
      <c r="E150" s="4" t="inlineStr">
        <is>
          <t>без чертежа</t>
        </is>
      </c>
      <c r="F150" s="4" t="n">
        <v>2</v>
      </c>
      <c r="G150" s="8" t="n"/>
      <c r="H150" s="4">
        <f>IF(G150="","",G150-F150)</f>
        <v/>
      </c>
      <c r="I150" s="9" t="n">
        <v>25000</v>
      </c>
      <c r="J150" s="9">
        <f>IF(G150="","",H150*I150)</f>
        <v/>
      </c>
      <c r="K150" s="8" t="inlineStr"/>
      <c r="L150" s="8" t="inlineStr"/>
      <c r="M150" s="10" t="inlineStr"/>
    </row>
    <row r="151">
      <c r="A151" s="4" t="n">
        <v>147</v>
      </c>
      <c r="B151" s="6" t="inlineStr">
        <is>
          <t>Менеджерская</t>
        </is>
      </c>
      <c r="C151" s="4" t="inlineStr">
        <is>
          <t>Клапан штуцерный угловой Ду6Ру100</t>
        </is>
      </c>
      <c r="D151" s="5" t="inlineStr">
        <is>
          <t>Клапан штуцерный угловой Ду15 Ру100</t>
        </is>
      </c>
      <c r="E151" s="4" t="inlineStr">
        <is>
          <t>521-01.468-05</t>
        </is>
      </c>
      <c r="F151" s="4" t="n">
        <v>15</v>
      </c>
      <c r="G151" s="8" t="n"/>
      <c r="H151" s="4">
        <f>IF(G151="","",G151-F151)</f>
        <v/>
      </c>
      <c r="I151" s="9" t="n">
        <v>6000</v>
      </c>
      <c r="J151" s="9">
        <f>IF(G151="","",H151*I151)</f>
        <v/>
      </c>
      <c r="K151" s="8" t="inlineStr"/>
      <c r="L151" s="8" t="inlineStr"/>
      <c r="M151" s="10" t="inlineStr"/>
    </row>
    <row r="152">
      <c r="A152" s="4" t="n">
        <v>148</v>
      </c>
      <c r="B152" s="6" t="inlineStr">
        <is>
          <t>Менеджерская</t>
        </is>
      </c>
      <c r="C152" s="4" t="inlineStr">
        <is>
          <t>Клапан штуцерный угловой Ду6Ру100</t>
        </is>
      </c>
      <c r="D152" s="5" t="inlineStr">
        <is>
          <t>Клапан штуцерный угловой Ду15 Ру100</t>
        </is>
      </c>
      <c r="E152" s="4" t="inlineStr">
        <is>
          <t>521-35.3362</t>
        </is>
      </c>
      <c r="F152" s="4" t="n">
        <v>2</v>
      </c>
      <c r="G152" s="8" t="n"/>
      <c r="H152" s="4">
        <f>IF(G152="","",G152-F152)</f>
        <v/>
      </c>
      <c r="I152" s="9" t="n">
        <v>6000</v>
      </c>
      <c r="J152" s="9">
        <f>IF(G152="","",H152*I152)</f>
        <v/>
      </c>
      <c r="K152" s="8" t="inlineStr"/>
      <c r="L152" s="8" t="inlineStr"/>
      <c r="M152" s="10" t="inlineStr"/>
    </row>
    <row r="153">
      <c r="A153" s="4" t="n">
        <v>149</v>
      </c>
      <c r="B153" s="6" t="inlineStr">
        <is>
          <t>Менеджерская</t>
        </is>
      </c>
      <c r="C153" s="4" t="inlineStr">
        <is>
          <t>Клапан штуцерный угловой Ду6Ру100</t>
        </is>
      </c>
      <c r="D153" s="5" t="inlineStr">
        <is>
          <t>Клапан штуцерный угловой Ду15 Ру100</t>
        </is>
      </c>
      <c r="E153" s="4" t="inlineStr">
        <is>
          <t>521-01.464-02</t>
        </is>
      </c>
      <c r="F153" s="4" t="n">
        <v>1</v>
      </c>
      <c r="G153" s="8" t="n"/>
      <c r="H153" s="4">
        <f>IF(G153="","",G153-F153)</f>
        <v/>
      </c>
      <c r="I153" s="9" t="n">
        <v>6000</v>
      </c>
      <c r="J153" s="9">
        <f>IF(G153="","",H153*I153)</f>
        <v/>
      </c>
      <c r="K153" s="8" t="inlineStr"/>
      <c r="L153" s="8" t="inlineStr"/>
      <c r="M153" s="10" t="inlineStr"/>
    </row>
    <row r="154">
      <c r="A154" s="4" t="n">
        <v>150</v>
      </c>
      <c r="B154" s="6" t="inlineStr">
        <is>
          <t>Менеджерская</t>
        </is>
      </c>
      <c r="C154" s="4" t="inlineStr">
        <is>
          <t>Клапан штуцерный угловой Ду6Ру100</t>
        </is>
      </c>
      <c r="D154" s="5" t="inlineStr">
        <is>
          <t>Клапан штуцерный угловой Ду15 Ру100</t>
        </is>
      </c>
      <c r="E154" s="4" t="inlineStr">
        <is>
          <t>522-01.500-05</t>
        </is>
      </c>
      <c r="F154" s="4" t="n">
        <v>3</v>
      </c>
      <c r="G154" s="8" t="n"/>
      <c r="H154" s="4">
        <f>IF(G154="","",G154-F154)</f>
        <v/>
      </c>
      <c r="I154" s="9" t="n">
        <v>6000</v>
      </c>
      <c r="J154" s="9">
        <f>IF(G154="","",H154*I154)</f>
        <v/>
      </c>
      <c r="K154" s="8" t="inlineStr"/>
      <c r="L154" s="8" t="inlineStr"/>
      <c r="M154" s="10" t="inlineStr"/>
    </row>
    <row r="155">
      <c r="A155" s="4" t="n">
        <v>151</v>
      </c>
      <c r="B155" s="6" t="inlineStr">
        <is>
          <t>Менеджерская</t>
        </is>
      </c>
      <c r="C155" s="4" t="inlineStr">
        <is>
          <t>Клапан штуцерный угловой Ду6Ру100</t>
        </is>
      </c>
      <c r="D155" s="5" t="inlineStr">
        <is>
          <t>Клапан штуцерный угловой Ду15 Ру100</t>
        </is>
      </c>
      <c r="E155" s="4" t="inlineStr">
        <is>
          <t>522-01.500-04</t>
        </is>
      </c>
      <c r="F155" s="4" t="n">
        <v>3</v>
      </c>
      <c r="G155" s="8" t="n"/>
      <c r="H155" s="4">
        <f>IF(G155="","",G155-F155)</f>
        <v/>
      </c>
      <c r="I155" s="9" t="n">
        <v>6000</v>
      </c>
      <c r="J155" s="9">
        <f>IF(G155="","",H155*I155)</f>
        <v/>
      </c>
      <c r="K155" s="8" t="inlineStr"/>
      <c r="L155" s="8" t="inlineStr"/>
      <c r="M155" s="10" t="inlineStr"/>
    </row>
    <row r="156">
      <c r="A156" s="4" t="n">
        <v>152</v>
      </c>
      <c r="B156" s="6" t="inlineStr">
        <is>
          <t>Менеджерская</t>
        </is>
      </c>
      <c r="C156" s="4" t="inlineStr">
        <is>
          <t>Клапан штуцерный угловой Ду6Ру100</t>
        </is>
      </c>
      <c r="D156" s="5" t="inlineStr">
        <is>
          <t>Клапан штуцерный угловой Ду15 Ру100</t>
        </is>
      </c>
      <c r="E156" s="4" t="inlineStr">
        <is>
          <t>521-01.468-01</t>
        </is>
      </c>
      <c r="F156" s="4" t="n">
        <v>1</v>
      </c>
      <c r="G156" s="8" t="n"/>
      <c r="H156" s="4">
        <f>IF(G156="","",G156-F156)</f>
        <v/>
      </c>
      <c r="I156" s="9" t="n">
        <v>6000</v>
      </c>
      <c r="J156" s="9">
        <f>IF(G156="","",H156*I156)</f>
        <v/>
      </c>
      <c r="K156" s="8" t="inlineStr"/>
      <c r="L156" s="8" t="inlineStr"/>
      <c r="M156" s="10" t="inlineStr"/>
    </row>
    <row r="157">
      <c r="A157" s="4" t="n">
        <v>153</v>
      </c>
      <c r="B157" s="6" t="inlineStr">
        <is>
          <t>Менеджерская</t>
        </is>
      </c>
      <c r="C157" s="4" t="inlineStr">
        <is>
          <t>Клапан штуцерный угловой Ду6Ру100</t>
        </is>
      </c>
      <c r="D157" s="5" t="inlineStr">
        <is>
          <t>Клапан штуцерный угловой Ду15 Ру160</t>
        </is>
      </c>
      <c r="E157" s="4" t="inlineStr">
        <is>
          <t>525-03.011</t>
        </is>
      </c>
      <c r="F157" s="4" t="n">
        <v>4</v>
      </c>
      <c r="G157" s="8" t="n"/>
      <c r="H157" s="4">
        <f>IF(G157="","",G157-F157)</f>
        <v/>
      </c>
      <c r="I157" s="9" t="n">
        <v>6000</v>
      </c>
      <c r="J157" s="9">
        <f>IF(G157="","",H157*I157)</f>
        <v/>
      </c>
      <c r="K157" s="8" t="inlineStr"/>
      <c r="L157" s="8" t="inlineStr"/>
      <c r="M157" s="10" t="inlineStr"/>
    </row>
    <row r="158">
      <c r="A158" s="4" t="n">
        <v>154</v>
      </c>
      <c r="B158" s="6" t="inlineStr">
        <is>
          <t>Менеджерская</t>
        </is>
      </c>
      <c r="C158" s="4" t="inlineStr">
        <is>
          <t>Клапан штуцерный угловой Ду6Ру100</t>
        </is>
      </c>
      <c r="D158" s="5" t="inlineStr">
        <is>
          <t>Клапан штуцерный угловой Ду15Ру100</t>
        </is>
      </c>
      <c r="E158" s="4" t="inlineStr">
        <is>
          <t>522-01.500-04</t>
        </is>
      </c>
      <c r="F158" s="4" t="n">
        <v>3</v>
      </c>
      <c r="G158" s="8" t="n"/>
      <c r="H158" s="4">
        <f>IF(G158="","",G158-F158)</f>
        <v/>
      </c>
      <c r="I158" s="9" t="n">
        <v>6000</v>
      </c>
      <c r="J158" s="9">
        <f>IF(G158="","",H158*I158)</f>
        <v/>
      </c>
      <c r="K158" s="8" t="inlineStr"/>
      <c r="L158" s="8" t="inlineStr"/>
      <c r="M158" s="10" t="inlineStr"/>
    </row>
    <row r="159">
      <c r="A159" s="4" t="n">
        <v>155</v>
      </c>
      <c r="B159" s="6" t="inlineStr">
        <is>
          <t>Менеджерская</t>
        </is>
      </c>
      <c r="C159" s="4" t="inlineStr">
        <is>
          <t>Клапан штуцерный угловой Ду6Ру100</t>
        </is>
      </c>
      <c r="D159" s="5" t="inlineStr">
        <is>
          <t>Клапан штуцерный угловой Ду15Ру100</t>
        </is>
      </c>
      <c r="E159" s="4" t="inlineStr">
        <is>
          <t>521-01.464-01</t>
        </is>
      </c>
      <c r="F159" s="4" t="n">
        <v>6</v>
      </c>
      <c r="G159" s="8" t="n"/>
      <c r="H159" s="4">
        <f>IF(G159="","",G159-F159)</f>
        <v/>
      </c>
      <c r="I159" s="9" t="n">
        <v>6000</v>
      </c>
      <c r="J159" s="9">
        <f>IF(G159="","",H159*I159)</f>
        <v/>
      </c>
      <c r="K159" s="8" t="inlineStr"/>
      <c r="L159" s="8" t="inlineStr"/>
      <c r="M159" s="10" t="inlineStr"/>
    </row>
    <row r="160">
      <c r="A160" s="4" t="n">
        <v>156</v>
      </c>
      <c r="B160" s="6" t="inlineStr">
        <is>
          <t>Менеджерская</t>
        </is>
      </c>
      <c r="C160" s="4" t="inlineStr">
        <is>
          <t>Клапан штуцерный угловой Ду6Ру100</t>
        </is>
      </c>
      <c r="D160" s="5" t="inlineStr">
        <is>
          <t>Клапан штуцерный угловой Ду15Ру100</t>
        </is>
      </c>
      <c r="E160" s="4" t="inlineStr">
        <is>
          <t>521-01.468</t>
        </is>
      </c>
      <c r="F160" s="4" t="n">
        <v>7</v>
      </c>
      <c r="G160" s="8" t="n"/>
      <c r="H160" s="4">
        <f>IF(G160="","",G160-F160)</f>
        <v/>
      </c>
      <c r="I160" s="9" t="n">
        <v>6000</v>
      </c>
      <c r="J160" s="9">
        <f>IF(G160="","",H160*I160)</f>
        <v/>
      </c>
      <c r="K160" s="8" t="inlineStr"/>
      <c r="L160" s="8" t="inlineStr"/>
      <c r="M160" s="10" t="inlineStr"/>
    </row>
    <row r="161">
      <c r="A161" s="4" t="n">
        <v>157</v>
      </c>
      <c r="B161" s="6" t="inlineStr">
        <is>
          <t>Менеджерская</t>
        </is>
      </c>
      <c r="C161" s="4" t="inlineStr">
        <is>
          <t>Клапан штуцерный угловой Ду6Ру100</t>
        </is>
      </c>
      <c r="D161" s="5" t="inlineStr">
        <is>
          <t>Клапан штуцерный угловой Ду15Ру40</t>
        </is>
      </c>
      <c r="E161" s="4" t="inlineStr">
        <is>
          <t>521-01.465-02</t>
        </is>
      </c>
      <c r="F161" s="4" t="n">
        <v>2</v>
      </c>
      <c r="G161" s="8" t="n"/>
      <c r="H161" s="4">
        <f>IF(G161="","",G161-F161)</f>
        <v/>
      </c>
      <c r="I161" s="9" t="n">
        <v>6000</v>
      </c>
      <c r="J161" s="9">
        <f>IF(G161="","",H161*I161)</f>
        <v/>
      </c>
      <c r="K161" s="8" t="inlineStr"/>
      <c r="L161" s="8" t="inlineStr"/>
      <c r="M161" s="10" t="inlineStr"/>
    </row>
    <row r="162">
      <c r="A162" s="4" t="n">
        <v>158</v>
      </c>
      <c r="B162" s="6" t="inlineStr">
        <is>
          <t>Менеджерская</t>
        </is>
      </c>
      <c r="C162" s="4" t="inlineStr">
        <is>
          <t>Клапан штуцерный угловой Ду6Ру100</t>
        </is>
      </c>
      <c r="D162" s="5" t="inlineStr">
        <is>
          <t>Клапан штуцерный угловой Ду20 Ру160</t>
        </is>
      </c>
      <c r="E162" s="4" t="inlineStr">
        <is>
          <t>521-03.479</t>
        </is>
      </c>
      <c r="F162" s="4" t="n">
        <v>3</v>
      </c>
      <c r="G162" s="8" t="n"/>
      <c r="H162" s="4">
        <f>IF(G162="","",G162-F162)</f>
        <v/>
      </c>
      <c r="I162" s="9" t="n">
        <v>4500</v>
      </c>
      <c r="J162" s="9">
        <f>IF(G162="","",H162*I162)</f>
        <v/>
      </c>
      <c r="K162" s="8" t="inlineStr"/>
      <c r="L162" s="8" t="inlineStr"/>
      <c r="M162" s="10" t="inlineStr"/>
    </row>
    <row r="163">
      <c r="A163" s="4" t="n">
        <v>159</v>
      </c>
      <c r="B163" s="6" t="inlineStr">
        <is>
          <t>Менеджерская</t>
        </is>
      </c>
      <c r="C163" s="4" t="inlineStr">
        <is>
          <t>Клапан штуцерный угловой Ду6Ру100</t>
        </is>
      </c>
      <c r="D163" s="5" t="inlineStr">
        <is>
          <t>Клапан штуцерный угловой Ду20 ру 40</t>
        </is>
      </c>
      <c r="E163" s="4" t="inlineStr">
        <is>
          <t>521-01.465-03</t>
        </is>
      </c>
      <c r="F163" s="4" t="n">
        <v>1</v>
      </c>
      <c r="G163" s="8" t="n"/>
      <c r="H163" s="4">
        <f>IF(G163="","",G163-F163)</f>
        <v/>
      </c>
      <c r="I163" s="9" t="n">
        <v>4500</v>
      </c>
      <c r="J163" s="9">
        <f>IF(G163="","",H163*I163)</f>
        <v/>
      </c>
      <c r="K163" s="8" t="inlineStr"/>
      <c r="L163" s="8" t="inlineStr"/>
      <c r="M163" s="10" t="inlineStr"/>
    </row>
    <row r="164">
      <c r="A164" s="4" t="n">
        <v>160</v>
      </c>
      <c r="B164" s="6" t="inlineStr">
        <is>
          <t>Менеджерская</t>
        </is>
      </c>
      <c r="C164" s="4" t="inlineStr">
        <is>
          <t>Клапан штуцерный угловой Ду6Ру100</t>
        </is>
      </c>
      <c r="D164" s="5" t="inlineStr">
        <is>
          <t>Клапан штуцерный угловой Ду20 ру 40</t>
        </is>
      </c>
      <c r="E164" s="4" t="inlineStr">
        <is>
          <t>522-35.3632</t>
        </is>
      </c>
      <c r="F164" s="4" t="n">
        <v>2</v>
      </c>
      <c r="G164" s="8" t="n"/>
      <c r="H164" s="4">
        <f>IF(G164="","",G164-F164)</f>
        <v/>
      </c>
      <c r="I164" s="9" t="n">
        <v>4500</v>
      </c>
      <c r="J164" s="9">
        <f>IF(G164="","",H164*I164)</f>
        <v/>
      </c>
      <c r="K164" s="8" t="inlineStr"/>
      <c r="L164" s="8" t="inlineStr"/>
      <c r="M164" s="10" t="inlineStr"/>
    </row>
    <row r="165">
      <c r="A165" s="4" t="n">
        <v>161</v>
      </c>
      <c r="B165" s="6" t="inlineStr">
        <is>
          <t>Менеджерская</t>
        </is>
      </c>
      <c r="C165" s="4" t="inlineStr">
        <is>
          <t>Клапан штуцерный угловой Ду6Ру100</t>
        </is>
      </c>
      <c r="D165" s="5" t="inlineStr">
        <is>
          <t>Клапан штуцерный угловой Ду20 ру 40</t>
        </is>
      </c>
      <c r="E165" s="4" t="inlineStr">
        <is>
          <t>521-33.3068</t>
        </is>
      </c>
      <c r="F165" s="4" t="n">
        <v>1</v>
      </c>
      <c r="G165" s="8" t="n"/>
      <c r="H165" s="4">
        <f>IF(G165="","",G165-F165)</f>
        <v/>
      </c>
      <c r="I165" s="9" t="n">
        <v>4500</v>
      </c>
      <c r="J165" s="9">
        <f>IF(G165="","",H165*I165)</f>
        <v/>
      </c>
      <c r="K165" s="8" t="inlineStr"/>
      <c r="L165" s="8" t="inlineStr"/>
      <c r="M165" s="10" t="inlineStr"/>
    </row>
    <row r="166">
      <c r="A166" s="4" t="n">
        <v>162</v>
      </c>
      <c r="B166" s="6" t="inlineStr">
        <is>
          <t>Менеджерская</t>
        </is>
      </c>
      <c r="C166" s="4" t="inlineStr">
        <is>
          <t>Клапан штуцерный угловой Ду6Ру100</t>
        </is>
      </c>
      <c r="D166" s="5" t="inlineStr">
        <is>
          <t>Клапан штуцерный угловой Ду25 Ру100</t>
        </is>
      </c>
      <c r="E166" s="4" t="inlineStr">
        <is>
          <t>521-01.468-06</t>
        </is>
      </c>
      <c r="F166" s="4" t="n">
        <v>8</v>
      </c>
      <c r="G166" s="8" t="n"/>
      <c r="H166" s="4">
        <f>IF(G166="","",G166-F166)</f>
        <v/>
      </c>
      <c r="I166" s="9" t="n">
        <v>7500</v>
      </c>
      <c r="J166" s="9">
        <f>IF(G166="","",H166*I166)</f>
        <v/>
      </c>
      <c r="K166" s="8" t="inlineStr"/>
      <c r="L166" s="8" t="inlineStr"/>
      <c r="M166" s="10" t="inlineStr"/>
    </row>
    <row r="167">
      <c r="A167" s="4" t="n">
        <v>163</v>
      </c>
      <c r="B167" s="6" t="inlineStr">
        <is>
          <t>Менеджерская</t>
        </is>
      </c>
      <c r="C167" s="4" t="inlineStr">
        <is>
          <t>Клапан штуцерный угловой Ду6Ру100</t>
        </is>
      </c>
      <c r="D167" s="5" t="inlineStr">
        <is>
          <t>Клапан штуцерный угловой Ду25 Ру100</t>
        </is>
      </c>
      <c r="E167" s="4" t="inlineStr">
        <is>
          <t>521-01.464.-04</t>
        </is>
      </c>
      <c r="F167" s="4" t="n">
        <v>1</v>
      </c>
      <c r="G167" s="8" t="n"/>
      <c r="H167" s="4">
        <f>IF(G167="","",G167-F167)</f>
        <v/>
      </c>
      <c r="I167" s="9" t="n">
        <v>7500</v>
      </c>
      <c r="J167" s="9">
        <f>IF(G167="","",H167*I167)</f>
        <v/>
      </c>
      <c r="K167" s="8" t="inlineStr"/>
      <c r="L167" s="8" t="inlineStr"/>
      <c r="M167" s="10" t="inlineStr"/>
    </row>
    <row r="168">
      <c r="A168" s="4" t="n">
        <v>164</v>
      </c>
      <c r="B168" s="6" t="inlineStr">
        <is>
          <t>Менеджерская</t>
        </is>
      </c>
      <c r="C168" s="4" t="inlineStr">
        <is>
          <t>Клапан штуцерный угловой Ду6Ру100</t>
        </is>
      </c>
      <c r="D168" s="5" t="inlineStr">
        <is>
          <t>Клапан штуцерный угловой Ду25 Ру100</t>
        </is>
      </c>
      <c r="E168" s="4" t="inlineStr">
        <is>
          <t>521-01.464-05</t>
        </is>
      </c>
      <c r="F168" s="4" t="n">
        <v>2</v>
      </c>
      <c r="G168" s="8" t="n"/>
      <c r="H168" s="4">
        <f>IF(G168="","",G168-F168)</f>
        <v/>
      </c>
      <c r="I168" s="9" t="n">
        <v>7500</v>
      </c>
      <c r="J168" s="9">
        <f>IF(G168="","",H168*I168)</f>
        <v/>
      </c>
      <c r="K168" s="8" t="inlineStr"/>
      <c r="L168" s="8" t="inlineStr"/>
      <c r="M168" s="10" t="inlineStr"/>
    </row>
    <row r="169">
      <c r="A169" s="4" t="n">
        <v>165</v>
      </c>
      <c r="B169" s="6" t="inlineStr">
        <is>
          <t>Менеджерская</t>
        </is>
      </c>
      <c r="C169" s="4" t="inlineStr">
        <is>
          <t>Клапан штуцерный угловой Ду6Ру100</t>
        </is>
      </c>
      <c r="D169" s="5" t="inlineStr">
        <is>
          <t>Клапан штуцерный угловой Ду32 Ру100</t>
        </is>
      </c>
      <c r="E169" s="4" t="inlineStr">
        <is>
          <t>521-01.468-07</t>
        </is>
      </c>
      <c r="F169" s="4" t="n">
        <v>39</v>
      </c>
      <c r="G169" s="8" t="n"/>
      <c r="H169" s="4">
        <f>IF(G169="","",G169-F169)</f>
        <v/>
      </c>
      <c r="I169" s="9" t="n">
        <v>9600</v>
      </c>
      <c r="J169" s="9">
        <f>IF(G169="","",H169*I169)</f>
        <v/>
      </c>
      <c r="K169" s="8" t="inlineStr"/>
      <c r="L169" s="8" t="inlineStr"/>
      <c r="M169" s="10" t="inlineStr"/>
    </row>
    <row r="170">
      <c r="A170" s="4" t="n">
        <v>166</v>
      </c>
      <c r="B170" s="6" t="inlineStr">
        <is>
          <t>Менеджерская</t>
        </is>
      </c>
      <c r="C170" s="4" t="inlineStr">
        <is>
          <t>Клапан штуцерный угловой Ду6Ру100</t>
        </is>
      </c>
      <c r="D170" s="5" t="inlineStr">
        <is>
          <t>Клапан штуцерный угловой Ду32 Ру100</t>
        </is>
      </c>
      <c r="E170" s="4" t="inlineStr">
        <is>
          <t>521-01.464-07</t>
        </is>
      </c>
      <c r="F170" s="4" t="n">
        <v>2</v>
      </c>
      <c r="G170" s="8" t="n"/>
      <c r="H170" s="4">
        <f>IF(G170="","",G170-F170)</f>
        <v/>
      </c>
      <c r="I170" s="9" t="n">
        <v>9600</v>
      </c>
      <c r="J170" s="9">
        <f>IF(G170="","",H170*I170)</f>
        <v/>
      </c>
      <c r="K170" s="8" t="inlineStr"/>
      <c r="L170" s="8" t="inlineStr"/>
      <c r="M170" s="10" t="inlineStr"/>
    </row>
    <row r="171">
      <c r="A171" s="4" t="n">
        <v>167</v>
      </c>
      <c r="B171" s="6" t="inlineStr">
        <is>
          <t>Менеджерская</t>
        </is>
      </c>
      <c r="C171" s="4" t="inlineStr">
        <is>
          <t>Клапан штуцерный угловой Ду6Ру100</t>
        </is>
      </c>
      <c r="D171" s="5" t="inlineStr">
        <is>
          <t>Клапан штуцерный угловой Ду32 Ру100</t>
        </is>
      </c>
      <c r="E171" s="4" t="inlineStr">
        <is>
          <t>522-01.500-07</t>
        </is>
      </c>
      <c r="F171" s="4" t="n">
        <v>1</v>
      </c>
      <c r="G171" s="8" t="n"/>
      <c r="H171" s="4">
        <f>IF(G171="","",G171-F171)</f>
        <v/>
      </c>
      <c r="I171" s="9" t="n">
        <v>9600</v>
      </c>
      <c r="J171" s="9">
        <f>IF(G171="","",H171*I171)</f>
        <v/>
      </c>
      <c r="K171" s="8" t="inlineStr"/>
      <c r="L171" s="8" t="inlineStr"/>
      <c r="M171" s="10" t="inlineStr"/>
    </row>
    <row r="172">
      <c r="A172" s="4" t="n">
        <v>168</v>
      </c>
      <c r="B172" s="6" t="inlineStr">
        <is>
          <t>Менеджерская</t>
        </is>
      </c>
      <c r="C172" s="4" t="inlineStr">
        <is>
          <t>Клапан штуцерный угловой Ду6Ру100</t>
        </is>
      </c>
      <c r="D172" s="5" t="inlineStr">
        <is>
          <t>Клапан штуцерный угловой Ду32 Ру160</t>
        </is>
      </c>
      <c r="E172" s="4" t="inlineStr">
        <is>
          <t>522-03.151-01</t>
        </is>
      </c>
      <c r="F172" s="4" t="n">
        <v>8</v>
      </c>
      <c r="G172" s="8" t="n"/>
      <c r="H172" s="4">
        <f>IF(G172="","",G172-F172)</f>
        <v/>
      </c>
      <c r="I172" s="9" t="n">
        <v>9600</v>
      </c>
      <c r="J172" s="9">
        <f>IF(G172="","",H172*I172)</f>
        <v/>
      </c>
      <c r="K172" s="8" t="inlineStr"/>
      <c r="L172" s="8" t="inlineStr"/>
      <c r="M172" s="10" t="inlineStr"/>
    </row>
    <row r="173">
      <c r="A173" s="4" t="n">
        <v>169</v>
      </c>
      <c r="B173" s="6" t="inlineStr">
        <is>
          <t>Менеджерская</t>
        </is>
      </c>
      <c r="C173" s="4" t="inlineStr">
        <is>
          <t>Клапан штуцерный угловой Ду6Ру100</t>
        </is>
      </c>
      <c r="D173" s="5" t="inlineStr">
        <is>
          <t>Клапан штуцерный угловой Ду32 Ру160</t>
        </is>
      </c>
      <c r="E173" s="4" t="inlineStr">
        <is>
          <t>521-03.480</t>
        </is>
      </c>
      <c r="F173" s="4" t="n">
        <v>16</v>
      </c>
      <c r="G173" s="8" t="n"/>
      <c r="H173" s="4">
        <f>IF(G173="","",G173-F173)</f>
        <v/>
      </c>
      <c r="I173" s="9" t="n">
        <v>9600</v>
      </c>
      <c r="J173" s="9">
        <f>IF(G173="","",H173*I173)</f>
        <v/>
      </c>
      <c r="K173" s="8" t="inlineStr"/>
      <c r="L173" s="8" t="inlineStr"/>
      <c r="M173" s="10" t="inlineStr"/>
    </row>
    <row r="174">
      <c r="A174" s="4" t="n">
        <v>170</v>
      </c>
      <c r="B174" s="6" t="inlineStr">
        <is>
          <t>Склад 1А/1Б</t>
        </is>
      </c>
      <c r="C174" s="4" t="inlineStr"/>
      <c r="D174" s="5" t="inlineStr">
        <is>
          <t>Гак</t>
        </is>
      </c>
      <c r="E174" s="4" t="inlineStr"/>
      <c r="F174" s="4" t="n">
        <v>1</v>
      </c>
      <c r="G174" s="8" t="n"/>
      <c r="H174" s="4">
        <f>IF(G174="","",G174-F174)</f>
        <v/>
      </c>
      <c r="I174" s="9" t="n">
        <v>3000</v>
      </c>
      <c r="J174" s="9">
        <f>IF(G174="","",H174*I174)</f>
        <v/>
      </c>
      <c r="K174" s="8" t="inlineStr"/>
      <c r="L174" s="8" t="inlineStr"/>
      <c r="M174" s="10" t="inlineStr"/>
    </row>
    <row r="175">
      <c r="A175" s="4" t="n">
        <v>171</v>
      </c>
      <c r="B175" s="6" t="inlineStr">
        <is>
          <t>Склад 1А/1Б</t>
        </is>
      </c>
      <c r="C175" s="4" t="inlineStr"/>
      <c r="D175" s="5" t="inlineStr">
        <is>
          <t>Головка воздушно-квадрат.(поплавковая) Ду125 (без поплавка) (541-03.220)</t>
        </is>
      </c>
      <c r="E175" s="4" t="inlineStr"/>
      <c r="F175" s="4" t="n">
        <v>6</v>
      </c>
      <c r="G175" s="8" t="n"/>
      <c r="H175" s="4">
        <f>IF(G175="","",G175-F175)</f>
        <v/>
      </c>
      <c r="I175" s="9" t="n">
        <v>25000</v>
      </c>
      <c r="J175" s="9">
        <f>IF(G175="","",H175*I175)</f>
        <v/>
      </c>
      <c r="K175" s="8" t="inlineStr"/>
      <c r="L175" s="8" t="inlineStr"/>
      <c r="M175" s="10" t="inlineStr"/>
    </row>
    <row r="176">
      <c r="A176" s="4" t="n">
        <v>172</v>
      </c>
      <c r="B176" s="6" t="inlineStr">
        <is>
          <t>Склад 1А/1Б</t>
        </is>
      </c>
      <c r="C176" s="4" t="inlineStr"/>
      <c r="D176" s="5" t="inlineStr">
        <is>
          <t>Головка воздушно-квадрат.(поплавковая) Ду25 (541-03.232)</t>
        </is>
      </c>
      <c r="E176" s="4" t="inlineStr"/>
      <c r="F176" s="4" t="n">
        <v>8</v>
      </c>
      <c r="G176" s="8" t="n"/>
      <c r="H176" s="4">
        <f>IF(G176="","",G176-F176)</f>
        <v/>
      </c>
      <c r="I176" s="9" t="n">
        <v>4500</v>
      </c>
      <c r="J176" s="9">
        <f>IF(G176="","",H176*I176)</f>
        <v/>
      </c>
      <c r="K176" s="8" t="inlineStr"/>
      <c r="L176" s="8" t="inlineStr"/>
      <c r="M176" s="10" t="inlineStr"/>
    </row>
    <row r="177">
      <c r="A177" s="4" t="n">
        <v>173</v>
      </c>
      <c r="B177" s="6" t="inlineStr">
        <is>
          <t>Склад 1А/1Б</t>
        </is>
      </c>
      <c r="C177" s="4" t="inlineStr"/>
      <c r="D177" s="5" t="inlineStr">
        <is>
          <t>Головка воздушно-квадрат.(поплавковая) Ду32 (541-03.224; 541-03.233)</t>
        </is>
      </c>
      <c r="E177" s="4" t="inlineStr"/>
      <c r="F177" s="4" t="n">
        <v>3</v>
      </c>
      <c r="G177" s="8" t="n"/>
      <c r="H177" s="4">
        <f>IF(G177="","",G177-F177)</f>
        <v/>
      </c>
      <c r="I177" s="9" t="n">
        <v>5000</v>
      </c>
      <c r="J177" s="9">
        <f>IF(G177="","",H177*I177)</f>
        <v/>
      </c>
      <c r="K177" s="8" t="inlineStr"/>
      <c r="L177" s="8" t="inlineStr"/>
      <c r="M177" s="10" t="inlineStr"/>
    </row>
    <row r="178">
      <c r="A178" s="4" t="n">
        <v>174</v>
      </c>
      <c r="B178" s="6" t="inlineStr">
        <is>
          <t>Склад 1А/1Б</t>
        </is>
      </c>
      <c r="C178" s="4" t="inlineStr"/>
      <c r="D178" s="5" t="inlineStr">
        <is>
          <t>Головка воздушно-квадрат.(поплавковая) Ду80 (541-03.218)</t>
        </is>
      </c>
      <c r="E178" s="4" t="inlineStr"/>
      <c r="F178" s="4" t="n">
        <v>19</v>
      </c>
      <c r="G178" s="8" t="n"/>
      <c r="H178" s="4">
        <f>IF(G178="","",G178-F178)</f>
        <v/>
      </c>
      <c r="I178" s="9" t="n">
        <v>14000</v>
      </c>
      <c r="J178" s="9">
        <f>IF(G178="","",H178*I178)</f>
        <v/>
      </c>
      <c r="K178" s="8" t="inlineStr"/>
      <c r="L178" s="8" t="inlineStr"/>
      <c r="M178" s="10" t="inlineStr"/>
    </row>
    <row r="179">
      <c r="A179" s="4" t="n">
        <v>175</v>
      </c>
      <c r="B179" s="6" t="inlineStr">
        <is>
          <t>Склад 1А/1Б</t>
        </is>
      </c>
      <c r="C179" s="4" t="inlineStr"/>
      <c r="D179" s="5" t="inlineStr">
        <is>
          <t>Грибки АМГ Ду 150 (верхние) (541-03.315-02)</t>
        </is>
      </c>
      <c r="E179" s="4" t="inlineStr"/>
      <c r="F179" s="4" t="n">
        <v>3</v>
      </c>
      <c r="G179" s="8" t="n"/>
      <c r="H179" s="4">
        <f>IF(G179="","",G179-F179)</f>
        <v/>
      </c>
      <c r="I179" s="9" t="n">
        <v>18000</v>
      </c>
      <c r="J179" s="9">
        <f>IF(G179="","",H179*I179)</f>
        <v/>
      </c>
      <c r="K179" s="8" t="inlineStr"/>
      <c r="L179" s="8" t="inlineStr"/>
      <c r="M179" s="10" t="inlineStr"/>
    </row>
    <row r="180">
      <c r="A180" s="4" t="n">
        <v>176</v>
      </c>
      <c r="B180" s="6" t="inlineStr">
        <is>
          <t>Склад 1А/1Б</t>
        </is>
      </c>
      <c r="C180" s="4" t="inlineStr"/>
      <c r="D180" s="5" t="inlineStr">
        <is>
          <t>Грибки АМГ Ду 150 (нижние) (541-03.316-02)</t>
        </is>
      </c>
      <c r="E180" s="4" t="inlineStr"/>
      <c r="F180" s="4" t="n">
        <v>2</v>
      </c>
      <c r="G180" s="8" t="n"/>
      <c r="H180" s="4">
        <f>IF(G180="","",G180-F180)</f>
        <v/>
      </c>
      <c r="I180" s="9" t="n">
        <v>17000</v>
      </c>
      <c r="J180" s="9">
        <f>IF(G180="","",H180*I180)</f>
        <v/>
      </c>
      <c r="K180" s="8" t="inlineStr"/>
      <c r="L180" s="8" t="inlineStr"/>
      <c r="M180" s="10" t="inlineStr"/>
    </row>
    <row r="181">
      <c r="A181" s="4" t="n">
        <v>177</v>
      </c>
      <c r="B181" s="6" t="inlineStr">
        <is>
          <t>Склад 1А/1Б</t>
        </is>
      </c>
      <c r="C181" s="4" t="inlineStr"/>
      <c r="D181" s="5" t="inlineStr">
        <is>
          <t>Грибки АМГ Ду 175 (541-03.316-03)</t>
        </is>
      </c>
      <c r="E181" s="4" t="inlineStr"/>
      <c r="F181" s="4" t="n">
        <v>10</v>
      </c>
      <c r="G181" s="8" t="n"/>
      <c r="H181" s="4">
        <f>IF(G181="","",G181-F181)</f>
        <v/>
      </c>
      <c r="I181" s="9" t="n">
        <v>25000</v>
      </c>
      <c r="J181" s="9">
        <f>IF(G181="","",H181*I181)</f>
        <v/>
      </c>
      <c r="K181" s="8" t="inlineStr"/>
      <c r="L181" s="8" t="inlineStr"/>
      <c r="M181" s="10" t="inlineStr"/>
    </row>
    <row r="182">
      <c r="A182" s="4" t="n">
        <v>178</v>
      </c>
      <c r="B182" s="6" t="inlineStr">
        <is>
          <t>Склад 1А/1Б</t>
        </is>
      </c>
      <c r="C182" s="4" t="inlineStr"/>
      <c r="D182" s="5" t="inlineStr">
        <is>
          <t>Грибки АМГ Ду 200 с нижнем приводом (541-03.313-04)</t>
        </is>
      </c>
      <c r="E182" s="4" t="inlineStr"/>
      <c r="F182" s="4" t="n">
        <v>2</v>
      </c>
      <c r="G182" s="8" t="n"/>
      <c r="H182" s="4">
        <f>IF(G182="","",G182-F182)</f>
        <v/>
      </c>
      <c r="I182" s="9" t="n">
        <v>20000</v>
      </c>
      <c r="J182" s="9">
        <f>IF(G182="","",H182*I182)</f>
        <v/>
      </c>
      <c r="K182" s="8" t="inlineStr"/>
      <c r="L182" s="8" t="inlineStr"/>
      <c r="M182" s="10" t="inlineStr"/>
    </row>
    <row r="183">
      <c r="A183" s="4" t="n">
        <v>179</v>
      </c>
      <c r="B183" s="6" t="inlineStr">
        <is>
          <t>Склад 1А/1Б</t>
        </is>
      </c>
      <c r="C183" s="4" t="inlineStr"/>
      <c r="D183" s="5" t="inlineStr">
        <is>
          <t>Грибки Ду125 б-у</t>
        </is>
      </c>
      <c r="E183" s="4" t="inlineStr"/>
      <c r="F183" s="4" t="n">
        <v>1</v>
      </c>
      <c r="G183" s="8" t="n"/>
      <c r="H183" s="4">
        <f>IF(G183="","",G183-F183)</f>
        <v/>
      </c>
      <c r="I183" s="9" t="n">
        <v>20000</v>
      </c>
      <c r="J183" s="9">
        <f>IF(G183="","",H183*I183)</f>
        <v/>
      </c>
      <c r="K183" s="8" t="inlineStr"/>
      <c r="L183" s="8" t="inlineStr"/>
      <c r="M183" s="10" t="inlineStr"/>
    </row>
    <row r="184">
      <c r="A184" s="4" t="n">
        <v>180</v>
      </c>
      <c r="B184" s="6" t="inlineStr">
        <is>
          <t>Склад 1А/1Б</t>
        </is>
      </c>
      <c r="C184" s="4" t="inlineStr"/>
      <c r="D184" s="5" t="inlineStr">
        <is>
          <t>Грибки Ду200 (б/у) (541-03.313-04)</t>
        </is>
      </c>
      <c r="E184" s="4" t="inlineStr"/>
      <c r="F184" s="4" t="n">
        <v>2</v>
      </c>
      <c r="G184" s="8" t="n"/>
      <c r="H184" s="4">
        <f>IF(G184="","",G184-F184)</f>
        <v/>
      </c>
      <c r="I184" s="9" t="n">
        <v>20000</v>
      </c>
      <c r="J184" s="9">
        <f>IF(G184="","",H184*I184)</f>
        <v/>
      </c>
      <c r="K184" s="8" t="inlineStr"/>
      <c r="L184" s="8" t="inlineStr"/>
      <c r="M184" s="10" t="inlineStr"/>
    </row>
    <row r="185">
      <c r="A185" s="4" t="n">
        <v>181</v>
      </c>
      <c r="B185" s="6" t="inlineStr">
        <is>
          <t>Склад 1А/1Б</t>
        </is>
      </c>
      <c r="C185" s="4" t="inlineStr"/>
      <c r="D185" s="5" t="inlineStr">
        <is>
          <t>Двигатель б/у на лапах</t>
        </is>
      </c>
      <c r="E185" s="4" t="inlineStr"/>
      <c r="F185" s="4" t="n">
        <v>1</v>
      </c>
      <c r="G185" s="8" t="n"/>
      <c r="H185" s="4">
        <f>IF(G185="","",G185-F185)</f>
        <v/>
      </c>
      <c r="I185" s="9" t="n">
        <v>10000</v>
      </c>
      <c r="J185" s="9">
        <f>IF(G185="","",H185*I185)</f>
        <v/>
      </c>
      <c r="K185" s="8" t="inlineStr"/>
      <c r="L185" s="8" t="inlineStr"/>
      <c r="M185" s="10" t="inlineStr"/>
    </row>
    <row r="186">
      <c r="A186" s="4" t="n">
        <v>182</v>
      </c>
      <c r="B186" s="6" t="inlineStr">
        <is>
          <t>Склад 1А/1Б</t>
        </is>
      </c>
      <c r="C186" s="4" t="inlineStr"/>
      <c r="D186" s="5" t="inlineStr">
        <is>
          <t>Задвижка клинкетная ДУ 80, сталь</t>
        </is>
      </c>
      <c r="E186" s="4" t="inlineStr"/>
      <c r="F186" s="4" t="n">
        <v>1</v>
      </c>
      <c r="G186" s="8" t="n"/>
      <c r="H186" s="4">
        <f>IF(G186="","",G186-F186)</f>
        <v/>
      </c>
      <c r="I186" s="9" t="n">
        <v>22000</v>
      </c>
      <c r="J186" s="9">
        <f>IF(G186="","",H186*I186)</f>
        <v/>
      </c>
      <c r="K186" s="8" t="inlineStr"/>
      <c r="L186" s="8" t="inlineStr"/>
      <c r="M186" s="10" t="inlineStr"/>
    </row>
    <row r="187">
      <c r="A187" s="4" t="n">
        <v>183</v>
      </c>
      <c r="B187" s="6" t="inlineStr">
        <is>
          <t>Склад 1А/1Б</t>
        </is>
      </c>
      <c r="C187" s="4" t="inlineStr"/>
      <c r="D187" s="5" t="inlineStr">
        <is>
          <t>Задвижка клинкетная Ду 100 БРОНЗА</t>
        </is>
      </c>
      <c r="E187" s="4" t="inlineStr"/>
      <c r="F187" s="4" t="n">
        <v>2</v>
      </c>
      <c r="G187" s="8" t="n"/>
      <c r="H187" s="4">
        <f>IF(G187="","",G187-F187)</f>
        <v/>
      </c>
      <c r="I187" s="9" t="n">
        <v>35000</v>
      </c>
      <c r="J187" s="9">
        <f>IF(G187="","",H187*I187)</f>
        <v/>
      </c>
      <c r="K187" s="8" t="inlineStr"/>
      <c r="L187" s="8" t="inlineStr"/>
      <c r="M187" s="10" t="inlineStr"/>
    </row>
    <row r="188">
      <c r="A188" s="4" t="n">
        <v>184</v>
      </c>
      <c r="B188" s="6" t="inlineStr">
        <is>
          <t>Склад 1А/1Б</t>
        </is>
      </c>
      <c r="C188" s="4" t="inlineStr"/>
      <c r="D188" s="5" t="inlineStr">
        <is>
          <t>Задвижка клинкетная Ду 250</t>
        </is>
      </c>
      <c r="E188" s="4" t="inlineStr"/>
      <c r="F188" s="4" t="n">
        <v>17</v>
      </c>
      <c r="G188" s="8" t="n"/>
      <c r="H188" s="4">
        <f>IF(G188="","",G188-F188)</f>
        <v/>
      </c>
      <c r="I188" s="9" t="n">
        <v>150000</v>
      </c>
      <c r="J188" s="9">
        <f>IF(G188="","",H188*I188)</f>
        <v/>
      </c>
      <c r="K188" s="8" t="inlineStr"/>
      <c r="L188" s="8" t="inlineStr"/>
      <c r="M188" s="10" t="inlineStr"/>
    </row>
    <row r="189">
      <c r="A189" s="4" t="n">
        <v>185</v>
      </c>
      <c r="B189" s="6" t="inlineStr">
        <is>
          <t>Склад 1А/1Б</t>
        </is>
      </c>
      <c r="C189" s="4" t="inlineStr"/>
      <c r="D189" s="5" t="inlineStr">
        <is>
          <t>Задвижка клинкетная Ду 50, без клиньев</t>
        </is>
      </c>
      <c r="E189" s="4" t="inlineStr"/>
      <c r="F189" s="4" t="n">
        <v>1</v>
      </c>
      <c r="G189" s="8" t="n"/>
      <c r="H189" s="4">
        <f>IF(G189="","",G189-F189)</f>
        <v/>
      </c>
      <c r="I189" s="9" t="n">
        <v>25000</v>
      </c>
      <c r="J189" s="9">
        <f>IF(G189="","",H189*I189)</f>
        <v/>
      </c>
      <c r="K189" s="8" t="inlineStr"/>
      <c r="L189" s="8" t="inlineStr"/>
      <c r="M189" s="10" t="inlineStr"/>
    </row>
    <row r="190">
      <c r="A190" s="4" t="n">
        <v>186</v>
      </c>
      <c r="B190" s="6" t="inlineStr">
        <is>
          <t>Склад 1А/1Б</t>
        </is>
      </c>
      <c r="C190" s="4" t="inlineStr"/>
      <c r="D190" s="5" t="inlineStr">
        <is>
          <t>Задвижка клинкетная Ду 80 БРОНЗА</t>
        </is>
      </c>
      <c r="E190" s="4" t="inlineStr"/>
      <c r="F190" s="4" t="n">
        <v>44</v>
      </c>
      <c r="G190" s="8" t="n"/>
      <c r="H190" s="4">
        <f>IF(G190="","",G190-F190)</f>
        <v/>
      </c>
      <c r="I190" s="9" t="n">
        <v>24000</v>
      </c>
      <c r="J190" s="9">
        <f>IF(G190="","",H190*I190)</f>
        <v/>
      </c>
      <c r="K190" s="8" t="inlineStr"/>
      <c r="L190" s="8" t="inlineStr"/>
      <c r="M190" s="10" t="inlineStr"/>
    </row>
    <row r="191">
      <c r="A191" s="4" t="n">
        <v>187</v>
      </c>
      <c r="B191" s="6" t="inlineStr">
        <is>
          <t>Склад 1А/1Б</t>
        </is>
      </c>
      <c r="C191" s="4" t="inlineStr"/>
      <c r="D191" s="5" t="inlineStr">
        <is>
          <t>Задвижка клинкетная Ду100 без штока и блинов ( в разборе)</t>
        </is>
      </c>
      <c r="E191" s="4" t="inlineStr"/>
      <c r="F191" s="4" t="n">
        <v>1</v>
      </c>
      <c r="G191" s="8" t="n"/>
      <c r="H191" s="4">
        <f>IF(G191="","",G191-F191)</f>
        <v/>
      </c>
      <c r="I191" s="9" t="n">
        <v>35000</v>
      </c>
      <c r="J191" s="9">
        <f>IF(G191="","",H191*I191)</f>
        <v/>
      </c>
      <c r="K191" s="8" t="inlineStr"/>
      <c r="L191" s="8" t="inlineStr"/>
      <c r="M191" s="10" t="inlineStr"/>
    </row>
    <row r="192">
      <c r="A192" s="4" t="n">
        <v>188</v>
      </c>
      <c r="B192" s="6" t="inlineStr">
        <is>
          <t>Склад 1А/1Б</t>
        </is>
      </c>
      <c r="C192" s="4" t="inlineStr"/>
      <c r="D192" s="5" t="inlineStr">
        <is>
          <t>Задвижка клинкетная Ду60</t>
        </is>
      </c>
      <c r="E192" s="4" t="inlineStr"/>
      <c r="F192" s="4" t="n">
        <v>1</v>
      </c>
      <c r="G192" s="8" t="n"/>
      <c r="H192" s="4">
        <f>IF(G192="","",G192-F192)</f>
        <v/>
      </c>
      <c r="I192" s="9" t="n">
        <v>18000</v>
      </c>
      <c r="J192" s="9">
        <f>IF(G192="","",H192*I192)</f>
        <v/>
      </c>
      <c r="K192" s="8" t="inlineStr"/>
      <c r="L192" s="8" t="inlineStr"/>
      <c r="M192" s="10" t="inlineStr"/>
    </row>
    <row r="193">
      <c r="A193" s="4" t="n">
        <v>189</v>
      </c>
      <c r="B193" s="6" t="inlineStr">
        <is>
          <t>Склад 1А/1Б</t>
        </is>
      </c>
      <c r="C193" s="4" t="inlineStr"/>
      <c r="D193" s="5" t="inlineStr">
        <is>
          <t>Задвижка клинкетная Ду80 ( в разборе)</t>
        </is>
      </c>
      <c r="E193" s="4" t="inlineStr"/>
      <c r="F193" s="4" t="n">
        <v>2</v>
      </c>
      <c r="G193" s="8" t="n"/>
      <c r="H193" s="4">
        <f>IF(G193="","",G193-F193)</f>
        <v/>
      </c>
      <c r="I193" s="9" t="n">
        <v>24000</v>
      </c>
      <c r="J193" s="9">
        <f>IF(G193="","",H193*I193)</f>
        <v/>
      </c>
      <c r="K193" s="8" t="inlineStr"/>
      <c r="L193" s="8" t="inlineStr"/>
      <c r="M193" s="10" t="inlineStr"/>
    </row>
    <row r="194">
      <c r="A194" s="4" t="n">
        <v>190</v>
      </c>
      <c r="B194" s="6" t="inlineStr">
        <is>
          <t>Склад 1А/1Б</t>
        </is>
      </c>
      <c r="C194" s="4" t="inlineStr"/>
      <c r="D194" s="5" t="inlineStr">
        <is>
          <t>Захлопка Ду50Ру6 - БРАК</t>
        </is>
      </c>
      <c r="E194" s="4" t="inlineStr"/>
      <c r="F194" s="4" t="n">
        <v>3</v>
      </c>
      <c r="G194" s="8" t="n"/>
      <c r="H194" s="4">
        <f>IF(G194="","",G194-F194)</f>
        <v/>
      </c>
      <c r="I194" s="9" t="n">
        <v>17500</v>
      </c>
      <c r="J194" s="9">
        <f>IF(G194="","",H194*I194)</f>
        <v/>
      </c>
      <c r="K194" s="8" t="inlineStr"/>
      <c r="L194" s="8" t="inlineStr"/>
      <c r="M194" s="10" t="inlineStr"/>
    </row>
    <row r="195">
      <c r="A195" s="4" t="n">
        <v>191</v>
      </c>
      <c r="B195" s="6" t="inlineStr">
        <is>
          <t>Склад 1А/1Б</t>
        </is>
      </c>
      <c r="C195" s="4" t="inlineStr"/>
      <c r="D195" s="5" t="inlineStr">
        <is>
          <t>Клапан невозвратно-приемный фланцевый Ду 50 Ру1 (522-35.4043-01)</t>
        </is>
      </c>
      <c r="E195" s="4" t="inlineStr"/>
      <c r="F195" s="4" t="n">
        <v>6</v>
      </c>
      <c r="G195" s="8" t="n"/>
      <c r="H195" s="4">
        <f>IF(G195="","",G195-F195)</f>
        <v/>
      </c>
      <c r="I195" s="9" t="n">
        <v>7500</v>
      </c>
      <c r="J195" s="9">
        <f>IF(G195="","",H195*I195)</f>
        <v/>
      </c>
      <c r="K195" s="8" t="inlineStr"/>
      <c r="L195" s="8" t="inlineStr"/>
      <c r="M195" s="10" t="inlineStr"/>
    </row>
    <row r="196">
      <c r="A196" s="4" t="n">
        <v>192</v>
      </c>
      <c r="B196" s="6" t="inlineStr">
        <is>
          <t>Склад 1А/1Б</t>
        </is>
      </c>
      <c r="C196" s="4" t="inlineStr"/>
      <c r="D196" s="5" t="inlineStr">
        <is>
          <t>Клапан невозвратно-приемный фланцевый Ду 65 Ру1 (522-03.023)</t>
        </is>
      </c>
      <c r="E196" s="4" t="inlineStr"/>
      <c r="F196" s="4" t="n">
        <v>2</v>
      </c>
      <c r="G196" s="8" t="n"/>
      <c r="H196" s="4">
        <f>IF(G196="","",G196-F196)</f>
        <v/>
      </c>
      <c r="I196" s="9" t="n">
        <v>9750</v>
      </c>
      <c r="J196" s="9">
        <f>IF(G196="","",H196*I196)</f>
        <v/>
      </c>
      <c r="K196" s="8" t="inlineStr"/>
      <c r="L196" s="8" t="inlineStr"/>
      <c r="M196" s="10" t="inlineStr"/>
    </row>
    <row r="197">
      <c r="A197" s="4" t="n">
        <v>193</v>
      </c>
      <c r="B197" s="6" t="inlineStr">
        <is>
          <t>Склад 1А/1Б</t>
        </is>
      </c>
      <c r="C197" s="4" t="inlineStr"/>
      <c r="D197" s="5" t="inlineStr">
        <is>
          <t>Клапан невозвратно-приемный фланцевый Ду 65 Ру1 (522-35.4044-01)</t>
        </is>
      </c>
      <c r="E197" s="4" t="inlineStr"/>
      <c r="F197" s="4" t="n">
        <v>1</v>
      </c>
      <c r="G197" s="8" t="n"/>
      <c r="H197" s="4">
        <f>IF(G197="","",G197-F197)</f>
        <v/>
      </c>
      <c r="I197" s="9" t="n">
        <v>9750</v>
      </c>
      <c r="J197" s="9">
        <f>IF(G197="","",H197*I197)</f>
        <v/>
      </c>
      <c r="K197" s="8" t="inlineStr"/>
      <c r="L197" s="8" t="inlineStr"/>
      <c r="M197" s="10" t="inlineStr"/>
    </row>
    <row r="198">
      <c r="A198" s="4" t="n">
        <v>194</v>
      </c>
      <c r="B198" s="6" t="inlineStr">
        <is>
          <t>Склад 1А/1Б</t>
        </is>
      </c>
      <c r="C198" s="4" t="inlineStr"/>
      <c r="D198" s="5" t="inlineStr">
        <is>
          <t>Клапан предохранит. фланцевый угловой Ду32Ру4 (524-03.090)</t>
        </is>
      </c>
      <c r="E198" s="4" t="inlineStr"/>
      <c r="F198" s="4" t="n">
        <v>1</v>
      </c>
      <c r="G198" s="8" t="n"/>
      <c r="H198" s="4">
        <f>IF(G198="","",G198-F198)</f>
        <v/>
      </c>
      <c r="I198" s="9" t="n">
        <v>9600</v>
      </c>
      <c r="J198" s="9">
        <f>IF(G198="","",H198*I198)</f>
        <v/>
      </c>
      <c r="K198" s="8" t="inlineStr"/>
      <c r="L198" s="8" t="inlineStr"/>
      <c r="M198" s="10" t="inlineStr"/>
    </row>
    <row r="199">
      <c r="A199" s="4" t="n">
        <v>195</v>
      </c>
      <c r="B199" s="6" t="inlineStr">
        <is>
          <t>Склад 1А/1Б</t>
        </is>
      </c>
      <c r="C199" s="4" t="inlineStr"/>
      <c r="D199" s="5" t="inlineStr">
        <is>
          <t>Клапан проходной ДУ 125 корпус</t>
        </is>
      </c>
      <c r="E199" s="4" t="inlineStr"/>
      <c r="F199" s="4" t="n">
        <v>1</v>
      </c>
      <c r="G199" s="8" t="n"/>
      <c r="H199" s="4">
        <f>IF(G199="","",G199-F199)</f>
        <v/>
      </c>
      <c r="I199" s="9" t="n">
        <v>37000</v>
      </c>
      <c r="J199" s="9">
        <f>IF(G199="","",H199*I199)</f>
        <v/>
      </c>
      <c r="K199" s="8" t="inlineStr"/>
      <c r="L199" s="8" t="inlineStr"/>
      <c r="M199" s="10" t="inlineStr"/>
    </row>
    <row r="200">
      <c r="A200" s="4" t="n">
        <v>196</v>
      </c>
      <c r="B200" s="6" t="inlineStr">
        <is>
          <t>Склад 1А/1Б</t>
        </is>
      </c>
      <c r="C200" s="4" t="inlineStr"/>
      <c r="D200" s="5" t="inlineStr">
        <is>
          <t>Клапан проходной фланцевый Ду32 - БРАК</t>
        </is>
      </c>
      <c r="E200" s="4" t="inlineStr"/>
      <c r="F200" s="4" t="n">
        <v>6</v>
      </c>
      <c r="G200" s="8" t="n"/>
      <c r="H200" s="4">
        <f>IF(G200="","",G200-F200)</f>
        <v/>
      </c>
      <c r="I200" s="9" t="n">
        <v>10000</v>
      </c>
      <c r="J200" s="9">
        <f>IF(G200="","",H200*I200)</f>
        <v/>
      </c>
      <c r="K200" s="8" t="inlineStr"/>
      <c r="L200" s="8" t="inlineStr"/>
      <c r="M200" s="10" t="inlineStr"/>
    </row>
    <row r="201">
      <c r="A201" s="4" t="n">
        <v>197</v>
      </c>
      <c r="B201" s="6" t="inlineStr">
        <is>
          <t>Склад 1А/1Б</t>
        </is>
      </c>
      <c r="C201" s="4" t="inlineStr"/>
      <c r="D201" s="5" t="inlineStr">
        <is>
          <t>Клапан проходной фланцевый Ду40 - БРАК</t>
        </is>
      </c>
      <c r="E201" s="4" t="inlineStr"/>
      <c r="F201" s="4" t="n">
        <v>13</v>
      </c>
      <c r="G201" s="8" t="n"/>
      <c r="H201" s="4">
        <f>IF(G201="","",G201-F201)</f>
        <v/>
      </c>
      <c r="I201" s="9" t="n">
        <v>12000</v>
      </c>
      <c r="J201" s="9">
        <f>IF(G201="","",H201*I201)</f>
        <v/>
      </c>
      <c r="K201" s="8" t="inlineStr"/>
      <c r="L201" s="8" t="inlineStr"/>
      <c r="M201" s="10" t="inlineStr"/>
    </row>
    <row r="202">
      <c r="A202" s="4" t="n">
        <v>198</v>
      </c>
      <c r="B202" s="6" t="inlineStr">
        <is>
          <t>Склад 1А/1Б</t>
        </is>
      </c>
      <c r="C202" s="4" t="inlineStr"/>
      <c r="D202" s="5" t="inlineStr">
        <is>
          <t>Клапан проходной фланцевый Ду50 - БРАК</t>
        </is>
      </c>
      <c r="E202" s="4" t="inlineStr"/>
      <c r="F202" s="4" t="n">
        <v>8</v>
      </c>
      <c r="G202" s="8" t="n"/>
      <c r="H202" s="4">
        <f>IF(G202="","",G202-F202)</f>
        <v/>
      </c>
      <c r="I202" s="9" t="n">
        <v>18000</v>
      </c>
      <c r="J202" s="9">
        <f>IF(G202="","",H202*I202)</f>
        <v/>
      </c>
      <c r="K202" s="8" t="inlineStr"/>
      <c r="L202" s="8" t="inlineStr"/>
      <c r="M202" s="10" t="inlineStr"/>
    </row>
    <row r="203">
      <c r="A203" s="4" t="n">
        <v>199</v>
      </c>
      <c r="B203" s="6" t="inlineStr">
        <is>
          <t>Склад 1А/1Б</t>
        </is>
      </c>
      <c r="C203" s="4" t="inlineStr"/>
      <c r="D203" s="5" t="inlineStr">
        <is>
          <t>Клапан проходной фланцевый Ду65 КОРПУС - БРАК</t>
        </is>
      </c>
      <c r="E203" s="4" t="inlineStr"/>
      <c r="F203" s="4" t="n">
        <v>1</v>
      </c>
      <c r="G203" s="8" t="n"/>
      <c r="H203" s="4">
        <f>IF(G203="","",G203-F203)</f>
        <v/>
      </c>
      <c r="I203" s="9" t="n">
        <v>18000</v>
      </c>
      <c r="J203" s="9">
        <f>IF(G203="","",H203*I203)</f>
        <v/>
      </c>
      <c r="K203" s="8" t="inlineStr"/>
      <c r="L203" s="8" t="inlineStr"/>
      <c r="M203" s="10" t="inlineStr"/>
    </row>
    <row r="204">
      <c r="A204" s="4" t="n">
        <v>200</v>
      </c>
      <c r="B204" s="6" t="inlineStr">
        <is>
          <t>Склад 1А/1Б</t>
        </is>
      </c>
      <c r="C204" s="4" t="inlineStr"/>
      <c r="D204" s="5" t="inlineStr">
        <is>
          <t>Клапан угловой фланцевый Ду 40 - БРАК</t>
        </is>
      </c>
      <c r="E204" s="4" t="inlineStr"/>
      <c r="F204" s="4" t="n">
        <v>3</v>
      </c>
      <c r="G204" s="8" t="n"/>
      <c r="H204" s="4">
        <f>IF(G204="","",G204-F204)</f>
        <v/>
      </c>
      <c r="I204" s="9" t="n">
        <v>18000</v>
      </c>
      <c r="J204" s="9">
        <f>IF(G204="","",H204*I204)</f>
        <v/>
      </c>
      <c r="K204" s="8" t="inlineStr"/>
      <c r="L204" s="8" t="inlineStr"/>
      <c r="M204" s="10" t="inlineStr"/>
    </row>
    <row r="205">
      <c r="A205" s="4" t="n">
        <v>201</v>
      </c>
      <c r="B205" s="6" t="inlineStr">
        <is>
          <t>Склад 1А/1Б</t>
        </is>
      </c>
      <c r="C205" s="4" t="inlineStr"/>
      <c r="D205" s="5" t="inlineStr">
        <is>
          <t>Клапан фланцевый проходной Ду 125 (без чертежа)</t>
        </is>
      </c>
      <c r="E205" s="4" t="inlineStr"/>
      <c r="F205" s="4" t="n">
        <v>1</v>
      </c>
      <c r="G205" s="8" t="n"/>
      <c r="H205" s="4">
        <f>IF(G205="","",G205-F205)</f>
        <v/>
      </c>
      <c r="I205" s="9" t="n">
        <v>30000</v>
      </c>
      <c r="J205" s="9">
        <f>IF(G205="","",H205*I205)</f>
        <v/>
      </c>
      <c r="K205" s="8" t="inlineStr"/>
      <c r="L205" s="8" t="inlineStr"/>
      <c r="M205" s="10" t="inlineStr"/>
    </row>
    <row r="206">
      <c r="A206" s="4" t="n">
        <v>202</v>
      </c>
      <c r="B206" s="6" t="inlineStr">
        <is>
          <t>Склад 1А/1Б</t>
        </is>
      </c>
      <c r="C206" s="4" t="inlineStr"/>
      <c r="D206" s="5" t="inlineStr">
        <is>
          <t>Клапан фланцевый проходной Ду 80 Ру 10, 521 -35.3451</t>
        </is>
      </c>
      <c r="E206" s="4" t="inlineStr"/>
      <c r="F206" s="4" t="n">
        <v>1</v>
      </c>
      <c r="G206" s="8" t="n"/>
      <c r="H206" s="4">
        <f>IF(G206="","",G206-F206)</f>
        <v/>
      </c>
      <c r="I206" s="9" t="n">
        <v>32000</v>
      </c>
      <c r="J206" s="9">
        <f>IF(G206="","",H206*I206)</f>
        <v/>
      </c>
      <c r="K206" s="8" t="inlineStr"/>
      <c r="L206" s="8" t="inlineStr"/>
      <c r="M206" s="10" t="inlineStr"/>
    </row>
    <row r="207">
      <c r="A207" s="4" t="n">
        <v>203</v>
      </c>
      <c r="B207" s="6" t="inlineStr">
        <is>
          <t>Склад 1А/1Б</t>
        </is>
      </c>
      <c r="C207" s="4" t="inlineStr"/>
      <c r="D207" s="5" t="inlineStr">
        <is>
          <t>Клапан фланцевый проходной Ду200</t>
        </is>
      </c>
      <c r="E207" s="4" t="inlineStr"/>
      <c r="F207" s="4" t="n">
        <v>3</v>
      </c>
      <c r="G207" s="8" t="n"/>
      <c r="H207" s="4">
        <f>IF(G207="","",G207-F207)</f>
        <v/>
      </c>
      <c r="I207" s="9" t="n">
        <v>150000</v>
      </c>
      <c r="J207" s="9">
        <f>IF(G207="","",H207*I207)</f>
        <v/>
      </c>
      <c r="K207" s="8" t="inlineStr"/>
      <c r="L207" s="8" t="inlineStr"/>
      <c r="M207" s="10" t="inlineStr"/>
    </row>
    <row r="208">
      <c r="A208" s="4" t="n">
        <v>204</v>
      </c>
      <c r="B208" s="6" t="inlineStr">
        <is>
          <t>Склад 1А/1Б</t>
        </is>
      </c>
      <c r="C208" s="4" t="inlineStr"/>
      <c r="D208" s="5" t="inlineStr">
        <is>
          <t>Клапан фланцевый проходной Ду50 Ру 10 + ДУ 50 Ру 25</t>
        </is>
      </c>
      <c r="E208" s="4" t="inlineStr"/>
      <c r="F208" s="4" t="n">
        <v>98</v>
      </c>
      <c r="G208" s="8" t="n"/>
      <c r="H208" s="4">
        <f>IF(G208="","",G208-F208)</f>
        <v/>
      </c>
      <c r="I208" s="9" t="n">
        <v>20000</v>
      </c>
      <c r="J208" s="9">
        <f>IF(G208="","",H208*I208)</f>
        <v/>
      </c>
      <c r="K208" s="8" t="inlineStr"/>
      <c r="L208" s="8" t="inlineStr"/>
      <c r="M208" s="10" t="inlineStr"/>
    </row>
    <row r="209">
      <c r="A209" s="4" t="n">
        <v>205</v>
      </c>
      <c r="B209" s="6" t="inlineStr">
        <is>
          <t>Склад 1А/1Б</t>
        </is>
      </c>
      <c r="C209" s="4" t="inlineStr"/>
      <c r="D209" s="5" t="inlineStr">
        <is>
          <t>Клапан фланцевый проходной Ду50 Ру 40 сталь (522-01-322)</t>
        </is>
      </c>
      <c r="E209" s="4" t="inlineStr"/>
      <c r="F209" s="4" t="n">
        <v>2</v>
      </c>
      <c r="G209" s="8" t="n"/>
      <c r="H209" s="4">
        <f>IF(G209="","",G209-F209)</f>
        <v/>
      </c>
      <c r="I209" s="9" t="n">
        <v>15000</v>
      </c>
      <c r="J209" s="9">
        <f>IF(G209="","",H209*I209)</f>
        <v/>
      </c>
      <c r="K209" s="8" t="inlineStr"/>
      <c r="L209" s="8" t="inlineStr"/>
      <c r="M209" s="10" t="inlineStr"/>
    </row>
    <row r="210">
      <c r="A210" s="4" t="n">
        <v>206</v>
      </c>
      <c r="B210" s="6" t="inlineStr">
        <is>
          <t>Склад 1А/1Б</t>
        </is>
      </c>
      <c r="C210" s="4" t="inlineStr"/>
      <c r="D210" s="5" t="inlineStr">
        <is>
          <t>Клапан фланцевый проходной Ду80 Ру 40 сталь (521-35.3437)</t>
        </is>
      </c>
      <c r="E210" s="4" t="inlineStr"/>
      <c r="F210" s="4" t="n">
        <v>1</v>
      </c>
      <c r="G210" s="8" t="n"/>
      <c r="H210" s="4">
        <f>IF(G210="","",G210-F210)</f>
        <v/>
      </c>
      <c r="I210" s="9" t="n">
        <v>22000</v>
      </c>
      <c r="J210" s="9">
        <f>IF(G210="","",H210*I210)</f>
        <v/>
      </c>
      <c r="K210" s="8" t="inlineStr"/>
      <c r="L210" s="8" t="inlineStr"/>
      <c r="M210" s="10" t="inlineStr"/>
    </row>
    <row r="211">
      <c r="A211" s="4" t="n">
        <v>207</v>
      </c>
      <c r="B211" s="6" t="inlineStr">
        <is>
          <t>Склад 1А/1Б</t>
        </is>
      </c>
      <c r="C211" s="4" t="inlineStr"/>
      <c r="D211" s="5" t="inlineStr">
        <is>
          <t>Клапан фланцевый проходной Ду80 Ру 40 сталь (522-01.101)</t>
        </is>
      </c>
      <c r="E211" s="4" t="inlineStr"/>
      <c r="F211" s="4" t="n">
        <v>1</v>
      </c>
      <c r="G211" s="8" t="n"/>
      <c r="H211" s="4">
        <f>IF(G211="","",G211-F211)</f>
        <v/>
      </c>
      <c r="I211" s="9" t="n">
        <v>22000</v>
      </c>
      <c r="J211" s="9">
        <f>IF(G211="","",H211*I211)</f>
        <v/>
      </c>
      <c r="K211" s="8" t="inlineStr"/>
      <c r="L211" s="8" t="inlineStr"/>
      <c r="M211" s="10" t="inlineStr"/>
    </row>
    <row r="212">
      <c r="A212" s="4" t="n">
        <v>208</v>
      </c>
      <c r="B212" s="6" t="inlineStr">
        <is>
          <t>Склад 1А/1Б</t>
        </is>
      </c>
      <c r="C212" s="4" t="inlineStr"/>
      <c r="D212" s="5" t="inlineStr">
        <is>
          <t>Клапан фланцевый проходной невозвратный Ду 50 РУ 25 (522-01.164)</t>
        </is>
      </c>
      <c r="E212" s="4" t="inlineStr"/>
      <c r="F212" s="4" t="n">
        <v>1</v>
      </c>
      <c r="G212" s="8" t="n"/>
      <c r="H212" s="4">
        <f>IF(G212="","",G212-F212)</f>
        <v/>
      </c>
      <c r="I212" s="9" t="n">
        <v>25000</v>
      </c>
      <c r="J212" s="9">
        <f>IF(G212="","",H212*I212)</f>
        <v/>
      </c>
      <c r="K212" s="8" t="inlineStr"/>
      <c r="L212" s="8" t="inlineStr"/>
      <c r="M212" s="10" t="inlineStr"/>
    </row>
    <row r="213">
      <c r="A213" s="4" t="n">
        <v>209</v>
      </c>
      <c r="B213" s="6" t="inlineStr">
        <is>
          <t>Склад 1А/1Б</t>
        </is>
      </c>
      <c r="C213" s="4" t="inlineStr"/>
      <c r="D213" s="5" t="inlineStr">
        <is>
          <t>Клапана невозвратный проходной фланцевый Ду100 Ру10 (522-03.205)</t>
        </is>
      </c>
      <c r="E213" s="4" t="inlineStr"/>
      <c r="F213" s="4" t="n">
        <v>5</v>
      </c>
      <c r="G213" s="8" t="n"/>
      <c r="H213" s="4">
        <f>IF(G213="","",G213-F213)</f>
        <v/>
      </c>
      <c r="I213" s="9" t="n">
        <v>34000</v>
      </c>
      <c r="J213" s="9">
        <f>IF(G213="","",H213*I213)</f>
        <v/>
      </c>
      <c r="K213" s="8" t="inlineStr"/>
      <c r="L213" s="8" t="inlineStr"/>
      <c r="M213" s="10" t="inlineStr"/>
    </row>
    <row r="214">
      <c r="A214" s="4" t="n">
        <v>210</v>
      </c>
      <c r="B214" s="6" t="inlineStr">
        <is>
          <t>Склад 1А/1Б</t>
        </is>
      </c>
      <c r="C214" s="4" t="inlineStr"/>
      <c r="D214" s="5" t="inlineStr">
        <is>
          <t>Коробка 2-х клапанная корпус</t>
        </is>
      </c>
      <c r="E214" s="4" t="inlineStr"/>
      <c r="F214" s="4" t="n">
        <v>1</v>
      </c>
      <c r="G214" s="8" t="n"/>
      <c r="H214" s="4">
        <f>IF(G214="","",G214-F214)</f>
        <v/>
      </c>
      <c r="I214" s="9" t="n">
        <v>20000</v>
      </c>
      <c r="J214" s="9">
        <f>IF(G214="","",H214*I214)</f>
        <v/>
      </c>
      <c r="K214" s="8" t="inlineStr"/>
      <c r="L214" s="8" t="inlineStr"/>
      <c r="M214" s="10" t="inlineStr"/>
    </row>
    <row r="215">
      <c r="A215" s="4" t="n">
        <v>211</v>
      </c>
      <c r="B215" s="6" t="inlineStr">
        <is>
          <t>Склад 1А/1Б</t>
        </is>
      </c>
      <c r="C215" s="4" t="inlineStr"/>
      <c r="D215" s="5" t="inlineStr">
        <is>
          <t>Крышка цилиндра 8НВД48А2У (голые)</t>
        </is>
      </c>
      <c r="E215" s="4" t="inlineStr"/>
      <c r="F215" s="4" t="n">
        <v>8</v>
      </c>
      <c r="G215" s="8" t="n"/>
      <c r="H215" s="4">
        <f>IF(G215="","",G215-F215)</f>
        <v/>
      </c>
      <c r="I215" s="9" t="n">
        <v>80000</v>
      </c>
      <c r="J215" s="9">
        <f>IF(G215="","",H215*I215)</f>
        <v/>
      </c>
      <c r="K215" s="8" t="inlineStr"/>
      <c r="L215" s="8" t="inlineStr"/>
      <c r="M215" s="10" t="inlineStr"/>
    </row>
    <row r="216">
      <c r="A216" s="4" t="n">
        <v>212</v>
      </c>
      <c r="B216" s="6" t="inlineStr">
        <is>
          <t>Склад 1А/1Б</t>
        </is>
      </c>
      <c r="C216" s="4" t="inlineStr"/>
      <c r="D216" s="5" t="inlineStr">
        <is>
          <t>Крышка цилиндра Пилстик (зеленая) на входе</t>
        </is>
      </c>
      <c r="E216" s="4" t="inlineStr"/>
      <c r="F216" s="4" t="n">
        <v>1</v>
      </c>
      <c r="G216" s="8" t="n"/>
      <c r="H216" s="4">
        <f>IF(G216="","",G216-F216)</f>
        <v/>
      </c>
      <c r="I216" s="9" t="n">
        <v>550000</v>
      </c>
      <c r="J216" s="9">
        <f>IF(G216="","",H216*I216)</f>
        <v/>
      </c>
      <c r="K216" s="8" t="inlineStr"/>
      <c r="L216" s="8" t="inlineStr"/>
      <c r="M216" s="10" t="inlineStr"/>
    </row>
    <row r="217">
      <c r="A217" s="4" t="n">
        <v>213</v>
      </c>
      <c r="B217" s="6" t="inlineStr">
        <is>
          <t>Склад 1А/1Б</t>
        </is>
      </c>
      <c r="C217" s="4" t="inlineStr"/>
      <c r="D217" s="5" t="inlineStr">
        <is>
          <t>Противовес 3,2т (Корея)</t>
        </is>
      </c>
      <c r="E217" s="4" t="inlineStr"/>
      <c r="F217" s="4" t="n">
        <v>1</v>
      </c>
      <c r="G217" s="8" t="n"/>
      <c r="H217" s="4">
        <f>IF(G217="","",G217-F217)</f>
        <v/>
      </c>
      <c r="I217" s="9" t="n">
        <v>28600</v>
      </c>
      <c r="J217" s="9">
        <f>IF(G217="","",H217*I217)</f>
        <v/>
      </c>
      <c r="K217" s="8" t="inlineStr"/>
      <c r="L217" s="8" t="inlineStr"/>
      <c r="M217" s="10" t="inlineStr"/>
    </row>
    <row r="218">
      <c r="A218" s="4" t="n">
        <v>214</v>
      </c>
      <c r="B218" s="6" t="inlineStr">
        <is>
          <t>Склад 1А/1Б</t>
        </is>
      </c>
      <c r="C218" s="4" t="inlineStr"/>
      <c r="D218" s="5" t="inlineStr">
        <is>
          <t>Противовес 3,2т (Россия)</t>
        </is>
      </c>
      <c r="E218" s="4" t="inlineStr"/>
      <c r="F218" s="4" t="n">
        <v>1</v>
      </c>
      <c r="G218" s="8" t="n"/>
      <c r="H218" s="4">
        <f>IF(G218="","",G218-F218)</f>
        <v/>
      </c>
      <c r="I218" s="9" t="n">
        <v>28600</v>
      </c>
      <c r="J218" s="9">
        <f>IF(G218="","",H218*I218)</f>
        <v/>
      </c>
      <c r="K218" s="8" t="inlineStr"/>
      <c r="L218" s="8" t="inlineStr"/>
      <c r="M218" s="10" t="inlineStr"/>
    </row>
    <row r="219">
      <c r="A219" s="4" t="n">
        <v>215</v>
      </c>
      <c r="B219" s="6" t="inlineStr">
        <is>
          <t>Склад 1А/1Б</t>
        </is>
      </c>
      <c r="C219" s="4" t="inlineStr"/>
      <c r="D219" s="5" t="inlineStr">
        <is>
          <t>Скобы разные ( 1 большая+ 2 маленькие )</t>
        </is>
      </c>
      <c r="E219" s="4" t="inlineStr"/>
      <c r="F219" s="4" t="n">
        <v>3</v>
      </c>
      <c r="G219" s="8" t="n"/>
      <c r="H219" s="4">
        <f>IF(G219="","",G219-F219)</f>
        <v/>
      </c>
      <c r="I219" s="9" t="n">
        <v>10000</v>
      </c>
      <c r="J219" s="9">
        <f>IF(G219="","",H219*I219)</f>
        <v/>
      </c>
      <c r="K219" s="8" t="inlineStr"/>
      <c r="L219" s="8" t="inlineStr"/>
      <c r="M219" s="10" t="inlineStr"/>
    </row>
    <row r="220">
      <c r="A220" s="4" t="n">
        <v>216</v>
      </c>
      <c r="B220" s="6" t="inlineStr">
        <is>
          <t>Склад 2</t>
        </is>
      </c>
      <c r="C220" s="4" t="inlineStr">
        <is>
          <t>Барабан</t>
        </is>
      </c>
      <c r="D220" s="5" t="inlineStr">
        <is>
          <t>Барабан СЦ-1,5 (новые)</t>
        </is>
      </c>
      <c r="E220" s="4" t="inlineStr"/>
      <c r="F220" s="4" t="n">
        <v>5</v>
      </c>
      <c r="G220" s="8" t="n"/>
      <c r="H220" s="4">
        <f>IF(G220="","",G220-F220)</f>
        <v/>
      </c>
      <c r="I220" s="9" t="n">
        <v>156000</v>
      </c>
      <c r="J220" s="9">
        <f>IF(G220="","",H220*I220)</f>
        <v/>
      </c>
      <c r="K220" s="8" t="inlineStr"/>
      <c r="L220" s="8" t="inlineStr"/>
      <c r="M220" s="10" t="inlineStr"/>
    </row>
    <row r="221">
      <c r="A221" s="4" t="n">
        <v>217</v>
      </c>
      <c r="B221" s="6" t="inlineStr">
        <is>
          <t>Склад 2</t>
        </is>
      </c>
      <c r="C221" s="4" t="inlineStr">
        <is>
          <t>Барабан</t>
        </is>
      </c>
      <c r="D221" s="5" t="inlineStr">
        <is>
          <t>Барабан СЦ-1,5 б/у ( в сборе)</t>
        </is>
      </c>
      <c r="E221" s="4" t="inlineStr"/>
      <c r="F221" s="4" t="n">
        <v>1</v>
      </c>
      <c r="G221" s="8" t="n"/>
      <c r="H221" s="4">
        <f>IF(G221="","",G221-F221)</f>
        <v/>
      </c>
      <c r="I221" s="9" t="n">
        <v>100000</v>
      </c>
      <c r="J221" s="9">
        <f>IF(G221="","",H221*I221)</f>
        <v/>
      </c>
      <c r="K221" s="8" t="inlineStr"/>
      <c r="L221" s="8" t="inlineStr"/>
      <c r="M221" s="10" t="inlineStr"/>
    </row>
    <row r="222">
      <c r="A222" s="4" t="n">
        <v>218</v>
      </c>
      <c r="B222" s="6" t="inlineStr">
        <is>
          <t>Склад 2</t>
        </is>
      </c>
      <c r="C222" s="4" t="inlineStr">
        <is>
          <t>Барабан</t>
        </is>
      </c>
      <c r="D222" s="5" t="inlineStr">
        <is>
          <t>Барабан СЦ-1,5 б/у КОРПУС БАРАБАНА</t>
        </is>
      </c>
      <c r="E222" s="4" t="inlineStr"/>
      <c r="F222" s="4" t="n">
        <v>3</v>
      </c>
      <c r="G222" s="8" t="n"/>
      <c r="H222" s="4">
        <f>IF(G222="","",G222-F222)</f>
        <v/>
      </c>
      <c r="I222" s="9" t="n">
        <v>70000</v>
      </c>
      <c r="J222" s="9">
        <f>IF(G222="","",H222*I222)</f>
        <v/>
      </c>
      <c r="K222" s="8" t="inlineStr"/>
      <c r="L222" s="8" t="inlineStr"/>
      <c r="M222" s="10" t="inlineStr"/>
    </row>
    <row r="223">
      <c r="A223" s="4" t="n">
        <v>219</v>
      </c>
      <c r="B223" s="6" t="inlineStr">
        <is>
          <t>Склад 2</t>
        </is>
      </c>
      <c r="C223" s="4" t="inlineStr">
        <is>
          <t>Барабан</t>
        </is>
      </c>
      <c r="D223" s="5" t="inlineStr">
        <is>
          <t>Барабан СЦ-3 б/у КОРПУС БАРАБАНА</t>
        </is>
      </c>
      <c r="E223" s="4" t="inlineStr"/>
      <c r="F223" s="4" t="n">
        <v>2</v>
      </c>
      <c r="G223" s="8" t="n"/>
      <c r="H223" s="4">
        <f>IF(G223="","",G223-F223)</f>
        <v/>
      </c>
      <c r="I223" s="9" t="n">
        <v>100000</v>
      </c>
      <c r="J223" s="9">
        <f>IF(G223="","",H223*I223)</f>
        <v/>
      </c>
      <c r="K223" s="8" t="inlineStr"/>
      <c r="L223" s="8" t="inlineStr"/>
      <c r="M223" s="10" t="inlineStr"/>
    </row>
    <row r="224">
      <c r="A224" s="4" t="n">
        <v>220</v>
      </c>
      <c r="B224" s="6" t="inlineStr">
        <is>
          <t>Склад 2</t>
        </is>
      </c>
      <c r="C224" s="4" t="inlineStr">
        <is>
          <t>Задвижка клинкетная фланцевая Ду200 Ру6</t>
        </is>
      </c>
      <c r="D224" s="5" t="inlineStr">
        <is>
          <t>Задвижка клинкетная стальная Ду300</t>
        </is>
      </c>
      <c r="E224" s="4" t="inlineStr">
        <is>
          <t>544-03.067</t>
        </is>
      </c>
      <c r="F224" s="4" t="n">
        <v>2</v>
      </c>
      <c r="G224" s="8" t="n"/>
      <c r="H224" s="4">
        <f>IF(G224="","",G224-F224)</f>
        <v/>
      </c>
      <c r="I224" s="9" t="n">
        <v>75000</v>
      </c>
      <c r="J224" s="9">
        <f>IF(G224="","",H224*I224)</f>
        <v/>
      </c>
      <c r="K224" s="8" t="inlineStr"/>
      <c r="L224" s="8" t="inlineStr"/>
      <c r="M224" s="10" t="inlineStr"/>
    </row>
    <row r="225">
      <c r="A225" s="4" t="n">
        <v>221</v>
      </c>
      <c r="B225" s="6" t="inlineStr">
        <is>
          <t>Склад 2</t>
        </is>
      </c>
      <c r="C225" s="4" t="inlineStr">
        <is>
          <t>Захлопки</t>
        </is>
      </c>
      <c r="D225" s="5" t="inlineStr">
        <is>
          <t>Захлопка фланцевая вертикальная Ду100</t>
        </is>
      </c>
      <c r="E225" s="4" t="inlineStr">
        <is>
          <t>529-03.003</t>
        </is>
      </c>
      <c r="F225" s="4" t="n">
        <v>1</v>
      </c>
      <c r="G225" s="8" t="n"/>
      <c r="H225" s="4">
        <f>IF(G225="","",G225-F225)</f>
        <v/>
      </c>
      <c r="I225" s="9" t="n">
        <v>40000</v>
      </c>
      <c r="J225" s="9">
        <f>IF(G225="","",H225*I225)</f>
        <v/>
      </c>
      <c r="K225" s="8" t="inlineStr"/>
      <c r="L225" s="8" t="inlineStr"/>
      <c r="M225" s="10" t="inlineStr"/>
    </row>
    <row r="226">
      <c r="A226" s="4" t="n">
        <v>222</v>
      </c>
      <c r="B226" s="6" t="inlineStr">
        <is>
          <t>Склад 2</t>
        </is>
      </c>
      <c r="C226" s="4" t="inlineStr">
        <is>
          <t>Захлопки</t>
        </is>
      </c>
      <c r="D226" s="5" t="inlineStr">
        <is>
          <t>Захлопка фланцевая вертикальная Ду50Ру63</t>
        </is>
      </c>
      <c r="E226" s="4" t="inlineStr">
        <is>
          <t>529-35.1400-01</t>
        </is>
      </c>
      <c r="F226" s="4" t="n">
        <v>1</v>
      </c>
      <c r="G226" s="8" t="n"/>
      <c r="H226" s="4">
        <f>IF(G226="","",G226-F226)</f>
        <v/>
      </c>
      <c r="I226" s="9" t="n">
        <v>25000</v>
      </c>
      <c r="J226" s="9">
        <f>IF(G226="","",H226*I226)</f>
        <v/>
      </c>
      <c r="K226" s="8" t="inlineStr"/>
      <c r="L226" s="8" t="inlineStr"/>
      <c r="M226" s="10" t="inlineStr"/>
    </row>
    <row r="227">
      <c r="A227" s="4" t="n">
        <v>223</v>
      </c>
      <c r="B227" s="6" t="inlineStr">
        <is>
          <t>Склад 2</t>
        </is>
      </c>
      <c r="C227" s="4" t="inlineStr">
        <is>
          <t>Захлопки</t>
        </is>
      </c>
      <c r="D227" s="5" t="inlineStr">
        <is>
          <t>Захлопка фланцевая горизон. Ду100 Ру10</t>
        </is>
      </c>
      <c r="E227" s="4" t="inlineStr">
        <is>
          <t>529-03.074</t>
        </is>
      </c>
      <c r="F227" s="4" t="n">
        <v>3</v>
      </c>
      <c r="G227" s="8" t="n"/>
      <c r="H227" s="4">
        <f>IF(G227="","",G227-F227)</f>
        <v/>
      </c>
      <c r="I227" s="9" t="n">
        <v>40000</v>
      </c>
      <c r="J227" s="9">
        <f>IF(G227="","",H227*I227)</f>
        <v/>
      </c>
      <c r="K227" s="8" t="inlineStr"/>
      <c r="L227" s="8" t="inlineStr"/>
      <c r="M227" s="10" t="inlineStr"/>
    </row>
    <row r="228">
      <c r="A228" s="4" t="n">
        <v>224</v>
      </c>
      <c r="B228" s="6" t="inlineStr">
        <is>
          <t>Склад 2</t>
        </is>
      </c>
      <c r="C228" s="4" t="inlineStr">
        <is>
          <t>Захлопки</t>
        </is>
      </c>
      <c r="D228" s="5" t="inlineStr">
        <is>
          <t>Захлопка фланцевая горизонтальная Ду50</t>
        </is>
      </c>
      <c r="E228" s="4" t="inlineStr">
        <is>
          <t>529-03.011</t>
        </is>
      </c>
      <c r="F228" s="4" t="n">
        <v>1</v>
      </c>
      <c r="G228" s="8" t="n"/>
      <c r="H228" s="4">
        <f>IF(G228="","",G228-F228)</f>
        <v/>
      </c>
      <c r="I228" s="9" t="n">
        <v>25000</v>
      </c>
      <c r="J228" s="9">
        <f>IF(G228="","",H228*I228)</f>
        <v/>
      </c>
      <c r="K228" s="8" t="inlineStr"/>
      <c r="L228" s="8" t="inlineStr"/>
      <c r="M228" s="10" t="inlineStr"/>
    </row>
    <row r="229">
      <c r="A229" s="4" t="n">
        <v>225</v>
      </c>
      <c r="B229" s="6" t="inlineStr">
        <is>
          <t>Склад 2</t>
        </is>
      </c>
      <c r="C229" s="4" t="inlineStr">
        <is>
          <t>Захлопки</t>
        </is>
      </c>
      <c r="D229" s="5" t="inlineStr">
        <is>
          <t>Захлопка фланцевая проходная Ду100Ру6,3</t>
        </is>
      </c>
      <c r="E229" s="4" t="inlineStr">
        <is>
          <t>529-35.1406-01</t>
        </is>
      </c>
      <c r="F229" s="4" t="n">
        <v>1</v>
      </c>
      <c r="G229" s="8" t="n"/>
      <c r="H229" s="4">
        <f>IF(G229="","",G229-F229)</f>
        <v/>
      </c>
      <c r="I229" s="9" t="n">
        <v>40000</v>
      </c>
      <c r="J229" s="9">
        <f>IF(G229="","",H229*I229)</f>
        <v/>
      </c>
      <c r="K229" s="8" t="inlineStr"/>
      <c r="L229" s="8" t="inlineStr"/>
      <c r="M229" s="10" t="inlineStr"/>
    </row>
    <row r="230">
      <c r="A230" s="4" t="n">
        <v>226</v>
      </c>
      <c r="B230" s="6" t="inlineStr">
        <is>
          <t>Склад 2</t>
        </is>
      </c>
      <c r="C230" s="4" t="inlineStr">
        <is>
          <t>Захлопки</t>
        </is>
      </c>
      <c r="D230" s="5" t="inlineStr">
        <is>
          <t>Захлопка фланцевая угловая Ду100Ру10</t>
        </is>
      </c>
      <c r="E230" s="4" t="inlineStr">
        <is>
          <t>529-35-1405-01</t>
        </is>
      </c>
      <c r="F230" s="4" t="n">
        <v>1</v>
      </c>
      <c r="G230" s="8" t="n"/>
      <c r="H230" s="4">
        <f>IF(G230="","",G230-F230)</f>
        <v/>
      </c>
      <c r="I230" s="9" t="n">
        <v>40000</v>
      </c>
      <c r="J230" s="9">
        <f>IF(G230="","",H230*I230)</f>
        <v/>
      </c>
      <c r="K230" s="8" t="inlineStr"/>
      <c r="L230" s="8" t="inlineStr"/>
      <c r="M230" s="10" t="inlineStr"/>
    </row>
    <row r="231">
      <c r="A231" s="4" t="n">
        <v>227</v>
      </c>
      <c r="B231" s="6" t="inlineStr">
        <is>
          <t>Склад 2</t>
        </is>
      </c>
      <c r="C231" s="4" t="inlineStr">
        <is>
          <t>Кательная арматура</t>
        </is>
      </c>
      <c r="D231" s="5" t="inlineStr">
        <is>
          <t>Кланан Рр18-2 45/25</t>
        </is>
      </c>
      <c r="E231" s="4" t="inlineStr">
        <is>
          <t>2619802505</t>
        </is>
      </c>
      <c r="F231" s="4" t="n">
        <v>1</v>
      </c>
      <c r="G231" s="8" t="n"/>
      <c r="H231" s="4">
        <f>IF(G231="","",G231-F231)</f>
        <v/>
      </c>
      <c r="I231" s="9" t="n"/>
      <c r="J231" s="9">
        <f>IF(G231="","",H231*I231)</f>
        <v/>
      </c>
      <c r="K231" s="8" t="inlineStr"/>
      <c r="L231" s="8" t="inlineStr"/>
      <c r="M231" s="10" t="inlineStr"/>
    </row>
    <row r="232">
      <c r="A232" s="4" t="n">
        <v>228</v>
      </c>
      <c r="B232" s="6" t="inlineStr">
        <is>
          <t>Склад 2</t>
        </is>
      </c>
      <c r="C232" s="4" t="inlineStr">
        <is>
          <t>Кательная арматура</t>
        </is>
      </c>
      <c r="D232" s="5" t="inlineStr">
        <is>
          <t>Клапан Ду20/10</t>
        </is>
      </c>
      <c r="E232" s="4" t="inlineStr">
        <is>
          <t>581-С6.73</t>
        </is>
      </c>
      <c r="F232" s="4" t="n">
        <v>3</v>
      </c>
      <c r="G232" s="8" t="n"/>
      <c r="H232" s="4">
        <f>IF(G232="","",G232-F232)</f>
        <v/>
      </c>
      <c r="I232" s="9" t="n">
        <v>9000</v>
      </c>
      <c r="J232" s="9">
        <f>IF(G232="","",H232*I232)</f>
        <v/>
      </c>
      <c r="K232" s="8" t="inlineStr"/>
      <c r="L232" s="8" t="inlineStr"/>
      <c r="M232" s="10" t="inlineStr"/>
    </row>
    <row r="233">
      <c r="A233" s="4" t="n">
        <v>229</v>
      </c>
      <c r="B233" s="6" t="inlineStr">
        <is>
          <t>Склад 2</t>
        </is>
      </c>
      <c r="C233" s="4" t="inlineStr">
        <is>
          <t>Клапан для колонки указательной</t>
        </is>
      </c>
      <c r="D233" s="5" t="inlineStr">
        <is>
          <t>Клапан для колонки указательной Ду10 Ру16</t>
        </is>
      </c>
      <c r="E233" s="4" t="inlineStr">
        <is>
          <t>598-03.022-06</t>
        </is>
      </c>
      <c r="F233" s="4" t="n">
        <v>6</v>
      </c>
      <c r="G233" s="8" t="n"/>
      <c r="H233" s="4">
        <f>IF(G233="","",G233-F233)</f>
        <v/>
      </c>
      <c r="I233" s="9" t="n">
        <v>6000</v>
      </c>
      <c r="J233" s="9">
        <f>IF(G233="","",H233*I233)</f>
        <v/>
      </c>
      <c r="K233" s="8" t="inlineStr"/>
      <c r="L233" s="8" t="inlineStr"/>
      <c r="M233" s="10" t="inlineStr"/>
    </row>
    <row r="234">
      <c r="A234" s="4" t="n">
        <v>230</v>
      </c>
      <c r="B234" s="6" t="inlineStr">
        <is>
          <t>Склад 2</t>
        </is>
      </c>
      <c r="C234" s="4" t="inlineStr">
        <is>
          <t>Клапан для манометра штуцерный сальниковый Ду6Ру100</t>
        </is>
      </c>
      <c r="D234" s="5" t="inlineStr">
        <is>
          <t>Клапан для манометра штущерный Ду3Ру400 новый</t>
        </is>
      </c>
      <c r="E234" s="4" t="inlineStr">
        <is>
          <t>521-03.406</t>
        </is>
      </c>
      <c r="F234" s="4" t="n">
        <v>2</v>
      </c>
      <c r="G234" s="8" t="n"/>
      <c r="H234" s="4">
        <f>IF(G234="","",G234-F234)</f>
        <v/>
      </c>
      <c r="I234" s="9" t="n">
        <v>6000</v>
      </c>
      <c r="J234" s="9">
        <f>IF(G234="","",H234*I234)</f>
        <v/>
      </c>
      <c r="K234" s="8" t="inlineStr"/>
      <c r="L234" s="8" t="inlineStr"/>
      <c r="M234" s="10" t="inlineStr"/>
    </row>
    <row r="235">
      <c r="A235" s="4" t="n">
        <v>231</v>
      </c>
      <c r="B235" s="6" t="inlineStr">
        <is>
          <t>Склад 2</t>
        </is>
      </c>
      <c r="C235" s="4" t="inlineStr">
        <is>
          <t>Клапан для манометра штуцерный сальниковый Ду6Ру100</t>
        </is>
      </c>
      <c r="D235" s="5" t="inlineStr">
        <is>
          <t>Клапан для манометра штущерный сальниковый Ду6Ру100 б/у</t>
        </is>
      </c>
      <c r="E235" s="4" t="inlineStr">
        <is>
          <t>521-02.014</t>
        </is>
      </c>
      <c r="F235" s="4" t="n">
        <v>1</v>
      </c>
      <c r="G235" s="8" t="n"/>
      <c r="H235" s="4">
        <f>IF(G235="","",G235-F235)</f>
        <v/>
      </c>
      <c r="I235" s="9" t="n">
        <v>4500</v>
      </c>
      <c r="J235" s="9">
        <f>IF(G235="","",H235*I235)</f>
        <v/>
      </c>
      <c r="K235" s="8" t="inlineStr"/>
      <c r="L235" s="8" t="inlineStr"/>
      <c r="M235" s="10" t="inlineStr"/>
    </row>
    <row r="236">
      <c r="A236" s="4" t="n">
        <v>232</v>
      </c>
      <c r="B236" s="6" t="inlineStr">
        <is>
          <t>Склад 2</t>
        </is>
      </c>
      <c r="C236" s="4" t="inlineStr">
        <is>
          <t>Клапан для манометра штущерный сальниковый</t>
        </is>
      </c>
      <c r="D236" s="5" t="inlineStr">
        <is>
          <t>Клапан для манометра штущерный сальниковый Ду6Ру100 б/у</t>
        </is>
      </c>
      <c r="E236" s="4" t="inlineStr">
        <is>
          <t>521-02.013</t>
        </is>
      </c>
      <c r="F236" s="4" t="n">
        <v>1</v>
      </c>
      <c r="G236" s="8" t="n"/>
      <c r="H236" s="4">
        <f>IF(G236="","",G236-F236)</f>
        <v/>
      </c>
      <c r="I236" s="9" t="n">
        <v>4500</v>
      </c>
      <c r="J236" s="9">
        <f>IF(G236="","",H236*I236)</f>
        <v/>
      </c>
      <c r="K236" s="8" t="inlineStr"/>
      <c r="L236" s="8" t="inlineStr"/>
      <c r="M236" s="10" t="inlineStr"/>
    </row>
    <row r="237">
      <c r="A237" s="4" t="n">
        <v>233</v>
      </c>
      <c r="B237" s="6" t="inlineStr">
        <is>
          <t>Склад 2</t>
        </is>
      </c>
      <c r="C237" s="4" t="inlineStr">
        <is>
          <t>Клапан для манометра штущерный сальниковый</t>
        </is>
      </c>
      <c r="D237" s="5" t="inlineStr">
        <is>
          <t>Клапан для манометра штущерный сальниковый Ду6Ру100 новый</t>
        </is>
      </c>
      <c r="E237" s="4" t="inlineStr">
        <is>
          <t>521-02.013</t>
        </is>
      </c>
      <c r="F237" s="4" t="n">
        <v>95</v>
      </c>
      <c r="G237" s="8" t="n"/>
      <c r="H237" s="4">
        <f>IF(G237="","",G237-F237)</f>
        <v/>
      </c>
      <c r="I237" s="9" t="n">
        <v>4500</v>
      </c>
      <c r="J237" s="9">
        <f>IF(G237="","",H237*I237)</f>
        <v/>
      </c>
      <c r="K237" s="8" t="inlineStr"/>
      <c r="L237" s="8" t="inlineStr"/>
      <c r="M237" s="10" t="inlineStr"/>
    </row>
    <row r="238">
      <c r="A238" s="4" t="n">
        <v>234</v>
      </c>
      <c r="B238" s="6" t="inlineStr">
        <is>
          <t>Склад 2</t>
        </is>
      </c>
      <c r="C238" s="4" t="inlineStr">
        <is>
          <t>Клапан дроссельный угловой штуцерный</t>
        </is>
      </c>
      <c r="D238" s="5" t="inlineStr">
        <is>
          <t>Клапан дроссельный угловой штуцерный</t>
        </is>
      </c>
      <c r="E238" s="4" t="inlineStr">
        <is>
          <t>525-35.577</t>
        </is>
      </c>
      <c r="F238" s="4" t="n">
        <v>1</v>
      </c>
      <c r="G238" s="8" t="n"/>
      <c r="H238" s="4">
        <f>IF(G238="","",G238-F238)</f>
        <v/>
      </c>
      <c r="I238" s="9" t="n"/>
      <c r="J238" s="9">
        <f>IF(G238="","",H238*I238)</f>
        <v/>
      </c>
      <c r="K238" s="8" t="inlineStr"/>
      <c r="L238" s="8" t="inlineStr"/>
      <c r="M238" s="10" t="inlineStr"/>
    </row>
    <row r="239">
      <c r="A239" s="4" t="n">
        <v>235</v>
      </c>
      <c r="B239" s="6" t="inlineStr">
        <is>
          <t>Склад 2</t>
        </is>
      </c>
      <c r="C239" s="4" t="inlineStr">
        <is>
          <t>Клапан запорный штуцерный проходной</t>
        </is>
      </c>
      <c r="D239" s="5" t="inlineStr">
        <is>
          <t>Клапан запорный штуцерный проходной Ду10 Ру16</t>
        </is>
      </c>
      <c r="E239" s="4" t="inlineStr">
        <is>
          <t>521-35.2754</t>
        </is>
      </c>
      <c r="F239" s="4" t="n">
        <v>6</v>
      </c>
      <c r="G239" s="8" t="n"/>
      <c r="H239" s="4">
        <f>IF(G239="","",G239-F239)</f>
        <v/>
      </c>
      <c r="I239" s="9" t="n">
        <v>4000</v>
      </c>
      <c r="J239" s="9">
        <f>IF(G239="","",H239*I239)</f>
        <v/>
      </c>
      <c r="K239" s="8" t="inlineStr"/>
      <c r="L239" s="8" t="inlineStr"/>
      <c r="M239" s="10" t="inlineStr"/>
    </row>
    <row r="240">
      <c r="A240" s="4" t="n">
        <v>236</v>
      </c>
      <c r="B240" s="6" t="inlineStr">
        <is>
          <t>Склад 2</t>
        </is>
      </c>
      <c r="C240" s="4" t="inlineStr">
        <is>
          <t>Клапан муфтовый проходной запорный</t>
        </is>
      </c>
      <c r="D240" s="5" t="inlineStr">
        <is>
          <t>Клапан муфтовый проходной запорный Ду20Ру16</t>
        </is>
      </c>
      <c r="E240" s="4" t="inlineStr"/>
      <c r="F240" s="4" t="n">
        <v>1</v>
      </c>
      <c r="G240" s="8" t="n"/>
      <c r="H240" s="4">
        <f>IF(G240="","",G240-F240)</f>
        <v/>
      </c>
      <c r="I240" s="9" t="n">
        <v>1000</v>
      </c>
      <c r="J240" s="9">
        <f>IF(G240="","",H240*I240)</f>
        <v/>
      </c>
      <c r="K240" s="8" t="inlineStr"/>
      <c r="L240" s="8" t="inlineStr"/>
      <c r="M240" s="10" t="inlineStr"/>
    </row>
    <row r="241">
      <c r="A241" s="4" t="n">
        <v>237</v>
      </c>
      <c r="B241" s="6" t="inlineStr">
        <is>
          <t>Склад 2</t>
        </is>
      </c>
      <c r="C241" s="4" t="inlineStr">
        <is>
          <t>Клапан муфтовый проходной запорный</t>
        </is>
      </c>
      <c r="D241" s="5" t="inlineStr">
        <is>
          <t>Клапан муфтовый проходной запорный Ду25Ру16</t>
        </is>
      </c>
      <c r="E241" s="4" t="inlineStr">
        <is>
          <t>521-03.124</t>
        </is>
      </c>
      <c r="F241" s="4" t="n">
        <v>2</v>
      </c>
      <c r="G241" s="8" t="n"/>
      <c r="H241" s="4">
        <f>IF(G241="","",G241-F241)</f>
        <v/>
      </c>
      <c r="I241" s="9" t="n">
        <v>1250</v>
      </c>
      <c r="J241" s="9">
        <f>IF(G241="","",H241*I241)</f>
        <v/>
      </c>
      <c r="K241" s="8" t="inlineStr"/>
      <c r="L241" s="8" t="inlineStr"/>
      <c r="M241" s="10" t="inlineStr"/>
    </row>
    <row r="242">
      <c r="A242" s="4" t="n">
        <v>238</v>
      </c>
      <c r="B242" s="6" t="inlineStr">
        <is>
          <t>Склад 2</t>
        </is>
      </c>
      <c r="C242" s="4" t="inlineStr">
        <is>
          <t>Клапан муфтовый проходной запорный</t>
        </is>
      </c>
      <c r="D242" s="5" t="inlineStr">
        <is>
          <t>Клапан муфтовый проходной запорный Ду32Ру10</t>
        </is>
      </c>
      <c r="E242" s="4" t="inlineStr"/>
      <c r="F242" s="4" t="n">
        <v>1</v>
      </c>
      <c r="G242" s="8" t="n"/>
      <c r="H242" s="4">
        <f>IF(G242="","",G242-F242)</f>
        <v/>
      </c>
      <c r="I242" s="9" t="n">
        <v>1500</v>
      </c>
      <c r="J242" s="9">
        <f>IF(G242="","",H242*I242)</f>
        <v/>
      </c>
      <c r="K242" s="8" t="inlineStr"/>
      <c r="L242" s="8" t="inlineStr"/>
      <c r="M242" s="10" t="inlineStr"/>
    </row>
    <row r="243">
      <c r="A243" s="4" t="n">
        <v>239</v>
      </c>
      <c r="B243" s="6" t="inlineStr">
        <is>
          <t>Склад 2</t>
        </is>
      </c>
      <c r="C243" s="4" t="inlineStr">
        <is>
          <t>Клапан невозв-запорн.с присоед.под дюрит проходной</t>
        </is>
      </c>
      <c r="D243" s="5" t="inlineStr">
        <is>
          <t>Клапан невозв-запорн.с присоед.под дюрит прох. Ду 50 Ру6</t>
        </is>
      </c>
      <c r="E243" s="4" t="inlineStr">
        <is>
          <t>522-03.124-04</t>
        </is>
      </c>
      <c r="F243" s="4" t="n">
        <v>1</v>
      </c>
      <c r="G243" s="8" t="n"/>
      <c r="H243" s="4">
        <f>IF(G243="","",G243-F243)</f>
        <v/>
      </c>
      <c r="I243" s="9" t="n">
        <v>10000</v>
      </c>
      <c r="J243" s="9">
        <f>IF(G243="","",H243*I243)</f>
        <v/>
      </c>
      <c r="K243" s="8" t="inlineStr"/>
      <c r="L243" s="8" t="inlineStr"/>
      <c r="M243" s="10" t="inlineStr"/>
    </row>
    <row r="244">
      <c r="A244" s="4" t="n">
        <v>240</v>
      </c>
      <c r="B244" s="6" t="inlineStr">
        <is>
          <t>Склад 2</t>
        </is>
      </c>
      <c r="C244" s="4" t="inlineStr">
        <is>
          <t>Клапан паровой</t>
        </is>
      </c>
      <c r="D244" s="5" t="inlineStr">
        <is>
          <t>Клапан паровой Ду65Ру10</t>
        </is>
      </c>
      <c r="E244" s="4" t="inlineStr">
        <is>
          <t>581-03.034</t>
        </is>
      </c>
      <c r="F244" s="4" t="n">
        <v>1</v>
      </c>
      <c r="G244" s="8" t="n"/>
      <c r="H244" s="4">
        <f>IF(G244="","",G244-F244)</f>
        <v/>
      </c>
      <c r="I244" s="9" t="n"/>
      <c r="J244" s="9">
        <f>IF(G244="","",H244*I244)</f>
        <v/>
      </c>
      <c r="K244" s="8" t="inlineStr"/>
      <c r="L244" s="8" t="inlineStr"/>
      <c r="M244" s="10" t="inlineStr"/>
    </row>
    <row r="245">
      <c r="A245" s="4" t="n">
        <v>241</v>
      </c>
      <c r="B245" s="6" t="inlineStr">
        <is>
          <t>Склад 2</t>
        </is>
      </c>
      <c r="C245" s="4" t="inlineStr">
        <is>
          <t>Клапан педальный</t>
        </is>
      </c>
      <c r="D245" s="5" t="inlineStr">
        <is>
          <t>Клапан педальный Ду25</t>
        </is>
      </c>
      <c r="E245" s="4" t="inlineStr">
        <is>
          <t>М528-03.001</t>
        </is>
      </c>
      <c r="F245" s="4" t="n">
        <v>1</v>
      </c>
      <c r="G245" s="8" t="n"/>
      <c r="H245" s="4">
        <f>IF(G245="","",G245-F245)</f>
        <v/>
      </c>
      <c r="I245" s="9" t="n">
        <v>12500</v>
      </c>
      <c r="J245" s="9">
        <f>IF(G245="","",H245*I245)</f>
        <v/>
      </c>
      <c r="K245" s="8" t="inlineStr"/>
      <c r="L245" s="8" t="inlineStr"/>
      <c r="M245" s="10" t="inlineStr"/>
    </row>
    <row r="246">
      <c r="A246" s="4" t="n">
        <v>242</v>
      </c>
      <c r="B246" s="6" t="inlineStr">
        <is>
          <t>Склад 2</t>
        </is>
      </c>
      <c r="C246" s="4" t="inlineStr">
        <is>
          <t>Клапан педальный</t>
        </is>
      </c>
      <c r="D246" s="5" t="inlineStr">
        <is>
          <t>Клапан педальный Ду25 Китай</t>
        </is>
      </c>
      <c r="E246" s="4" t="inlineStr">
        <is>
          <t>М528-03.001</t>
        </is>
      </c>
      <c r="F246" s="4" t="n">
        <v>62</v>
      </c>
      <c r="G246" s="8" t="n"/>
      <c r="H246" s="4">
        <f>IF(G246="","",G246-F246)</f>
        <v/>
      </c>
      <c r="I246" s="9" t="n">
        <v>12500</v>
      </c>
      <c r="J246" s="9">
        <f>IF(G246="","",H246*I246)</f>
        <v/>
      </c>
      <c r="K246" s="8" t="inlineStr"/>
      <c r="L246" s="8" t="inlineStr"/>
      <c r="M246" s="10" t="inlineStr"/>
    </row>
    <row r="247">
      <c r="A247" s="4" t="n">
        <v>243</v>
      </c>
      <c r="B247" s="6" t="inlineStr">
        <is>
          <t>Склад 2</t>
        </is>
      </c>
      <c r="C247" s="4" t="inlineStr">
        <is>
          <t>Клапан предохранительный штуцерный сигнальный Ду6 Ру100-230</t>
        </is>
      </c>
      <c r="D247" s="5" t="inlineStr">
        <is>
          <t>Клапан предохранительный штуцерный сигнальный Ду10Ру1,3-6,5</t>
        </is>
      </c>
      <c r="E247" s="4" t="inlineStr">
        <is>
          <t>524-03.174</t>
        </is>
      </c>
      <c r="F247" s="4" t="n">
        <v>1</v>
      </c>
      <c r="G247" s="8" t="n"/>
      <c r="H247" s="4">
        <f>IF(G247="","",G247-F247)</f>
        <v/>
      </c>
      <c r="I247" s="9" t="n">
        <v>6000</v>
      </c>
      <c r="J247" s="9">
        <f>IF(G247="","",H247*I247)</f>
        <v/>
      </c>
      <c r="K247" s="8" t="inlineStr"/>
      <c r="L247" s="8" t="inlineStr"/>
      <c r="M247" s="10" t="inlineStr"/>
    </row>
    <row r="248">
      <c r="A248" s="4" t="n">
        <v>244</v>
      </c>
      <c r="B248" s="6" t="inlineStr">
        <is>
          <t>Склад 2</t>
        </is>
      </c>
      <c r="C248" s="4" t="inlineStr">
        <is>
          <t>Клапан предохранительный штуцерный сигнальный Ду6 Ру100-230</t>
        </is>
      </c>
      <c r="D248" s="5" t="inlineStr">
        <is>
          <t>Клапан предохранительный штуцерный сигнальный Ду10Ру2,5-6,5</t>
        </is>
      </c>
      <c r="E248" s="4" t="inlineStr">
        <is>
          <t>524-03.173</t>
        </is>
      </c>
      <c r="F248" s="4" t="n">
        <v>1</v>
      </c>
      <c r="G248" s="8" t="n"/>
      <c r="H248" s="4">
        <f>IF(G248="","",G248-F248)</f>
        <v/>
      </c>
      <c r="I248" s="9" t="n">
        <v>6000</v>
      </c>
      <c r="J248" s="9">
        <f>IF(G248="","",H248*I248)</f>
        <v/>
      </c>
      <c r="K248" s="8" t="inlineStr"/>
      <c r="L248" s="8" t="inlineStr"/>
      <c r="M248" s="10" t="inlineStr"/>
    </row>
    <row r="249">
      <c r="A249" s="4" t="n">
        <v>245</v>
      </c>
      <c r="B249" s="6" t="inlineStr">
        <is>
          <t>Склад 2</t>
        </is>
      </c>
      <c r="C249" s="4" t="inlineStr">
        <is>
          <t>Клапан предохранительный штуцерный сигнальный Ду6 Ру100-230</t>
        </is>
      </c>
      <c r="D249" s="5" t="inlineStr">
        <is>
          <t>Клапан предохранительный штуцерный сигнальный Ду6 Ру100-230</t>
        </is>
      </c>
      <c r="E249" s="4" t="inlineStr">
        <is>
          <t>524-35.2423-01</t>
        </is>
      </c>
      <c r="F249" s="4" t="n">
        <v>1</v>
      </c>
      <c r="G249" s="8" t="n"/>
      <c r="H249" s="4">
        <f>IF(G249="","",G249-F249)</f>
        <v/>
      </c>
      <c r="I249" s="9" t="n">
        <v>4500</v>
      </c>
      <c r="J249" s="9">
        <f>IF(G249="","",H249*I249)</f>
        <v/>
      </c>
      <c r="K249" s="8" t="inlineStr"/>
      <c r="L249" s="8" t="inlineStr"/>
      <c r="M249" s="10" t="inlineStr"/>
    </row>
    <row r="250">
      <c r="A250" s="4" t="n">
        <v>246</v>
      </c>
      <c r="B250" s="6" t="inlineStr">
        <is>
          <t>Склад 2</t>
        </is>
      </c>
      <c r="C250" s="4" t="inlineStr">
        <is>
          <t>Клапан предохранительный штуцерный сигнальный Ду6 Ру100-230</t>
        </is>
      </c>
      <c r="D250" s="5" t="inlineStr">
        <is>
          <t>Клапан предохранительный штуцерный сигнальный Ду6Ру100-250</t>
        </is>
      </c>
      <c r="E250" s="4" t="inlineStr">
        <is>
          <t>524-03.188</t>
        </is>
      </c>
      <c r="F250" s="4" t="n">
        <v>2</v>
      </c>
      <c r="G250" s="8" t="n"/>
      <c r="H250" s="4">
        <f>IF(G250="","",G250-F250)</f>
        <v/>
      </c>
      <c r="I250" s="9" t="n">
        <v>4500</v>
      </c>
      <c r="J250" s="9">
        <f>IF(G250="","",H250*I250)</f>
        <v/>
      </c>
      <c r="K250" s="8" t="inlineStr"/>
      <c r="L250" s="8" t="inlineStr"/>
      <c r="M250" s="10" t="inlineStr"/>
    </row>
    <row r="251">
      <c r="A251" s="4" t="n">
        <v>247</v>
      </c>
      <c r="B251" s="6" t="inlineStr">
        <is>
          <t>Склад 2</t>
        </is>
      </c>
      <c r="C251" s="4" t="inlineStr">
        <is>
          <t>Клапан предохранительный штуцерный сигнальный Ду6 Ру100-230</t>
        </is>
      </c>
      <c r="D251" s="5" t="inlineStr">
        <is>
          <t>Клапан пусковой Ду20Ру125</t>
        </is>
      </c>
      <c r="E251" s="4" t="inlineStr"/>
      <c r="F251" s="4" t="n">
        <v>7</v>
      </c>
      <c r="G251" s="8" t="n"/>
      <c r="H251" s="4">
        <f>IF(G251="","",G251-F251)</f>
        <v/>
      </c>
      <c r="I251" s="9" t="n"/>
      <c r="J251" s="9">
        <f>IF(G251="","",H251*I251)</f>
        <v/>
      </c>
      <c r="K251" s="8" t="inlineStr"/>
      <c r="L251" s="8" t="inlineStr"/>
      <c r="M251" s="10" t="inlineStr"/>
    </row>
    <row r="252">
      <c r="A252" s="4" t="n">
        <v>248</v>
      </c>
      <c r="B252" s="6" t="inlineStr">
        <is>
          <t>Склад 2</t>
        </is>
      </c>
      <c r="C252" s="4" t="inlineStr">
        <is>
          <t>Клапан предохранительный штуцерный сигнальный Ду6 Ру100-230</t>
        </is>
      </c>
      <c r="D252" s="5" t="inlineStr">
        <is>
          <t>Клапан пусковой Ду32Ру125</t>
        </is>
      </c>
      <c r="E252" s="4" t="inlineStr">
        <is>
          <t>587-03,082</t>
        </is>
      </c>
      <c r="F252" s="4" t="n">
        <v>8</v>
      </c>
      <c r="G252" s="8" t="n"/>
      <c r="H252" s="4">
        <f>IF(G252="","",G252-F252)</f>
        <v/>
      </c>
      <c r="I252" s="9" t="n"/>
      <c r="J252" s="9">
        <f>IF(G252="","",H252*I252)</f>
        <v/>
      </c>
      <c r="K252" s="8" t="inlineStr"/>
      <c r="L252" s="8" t="inlineStr"/>
      <c r="M252" s="10" t="inlineStr"/>
    </row>
    <row r="253">
      <c r="A253" s="4" t="n">
        <v>249</v>
      </c>
      <c r="B253" s="6" t="inlineStr">
        <is>
          <t>Склад 2</t>
        </is>
      </c>
      <c r="C253" s="4" t="inlineStr">
        <is>
          <t>Клапан предохранительный штуцерный угловой Ду10Ру5-9</t>
        </is>
      </c>
      <c r="D253" s="5" t="inlineStr">
        <is>
          <t>Клапан предохранительный штуцерный угловой Ду6,5-9</t>
        </is>
      </c>
      <c r="E253" s="4" t="inlineStr">
        <is>
          <t>524-03.004</t>
        </is>
      </c>
      <c r="F253" s="4" t="n">
        <v>1</v>
      </c>
      <c r="G253" s="8" t="n"/>
      <c r="H253" s="4">
        <f>IF(G253="","",G253-F253)</f>
        <v/>
      </c>
      <c r="I253" s="9" t="n">
        <v>9000</v>
      </c>
      <c r="J253" s="9">
        <f>IF(G253="","",H253*I253)</f>
        <v/>
      </c>
      <c r="K253" s="8" t="inlineStr"/>
      <c r="L253" s="8" t="inlineStr"/>
      <c r="M253" s="10" t="inlineStr"/>
    </row>
    <row r="254">
      <c r="A254" s="4" t="n">
        <v>250</v>
      </c>
      <c r="B254" s="6" t="inlineStr">
        <is>
          <t>Склад 2</t>
        </is>
      </c>
      <c r="C254" s="4" t="inlineStr">
        <is>
          <t>Клапан редукционный проходной</t>
        </is>
      </c>
      <c r="D254" s="5" t="inlineStr">
        <is>
          <t>Клапан редукционный штуц.проход.односедельный Ду20Ру400 у входа</t>
        </is>
      </c>
      <c r="E254" s="4" t="inlineStr">
        <is>
          <t>525-03.044</t>
        </is>
      </c>
      <c r="F254" s="4" t="n">
        <v>9</v>
      </c>
      <c r="G254" s="8" t="n"/>
      <c r="H254" s="4">
        <f>IF(G254="","",G254-F254)</f>
        <v/>
      </c>
      <c r="I254" s="9" t="n"/>
      <c r="J254" s="9">
        <f>IF(G254="","",H254*I254)</f>
        <v/>
      </c>
      <c r="K254" s="8" t="inlineStr"/>
      <c r="L254" s="8" t="inlineStr"/>
      <c r="M254" s="10" t="inlineStr"/>
    </row>
    <row r="255">
      <c r="A255" s="4" t="n">
        <v>251</v>
      </c>
      <c r="B255" s="6" t="inlineStr">
        <is>
          <t>Склад 2</t>
        </is>
      </c>
      <c r="C255" s="4" t="inlineStr">
        <is>
          <t>Клапан редукционный штуцерный угловой Ду10Ру200…30</t>
        </is>
      </c>
      <c r="D255" s="5" t="inlineStr">
        <is>
          <t>Клапан редукционный штуцерный угловой Ду10Ру200…30 с манометром</t>
        </is>
      </c>
      <c r="E255" s="4" t="inlineStr">
        <is>
          <t>525-35.2634</t>
        </is>
      </c>
      <c r="F255" s="4" t="n">
        <v>1</v>
      </c>
      <c r="G255" s="8" t="n"/>
      <c r="H255" s="4">
        <f>IF(G255="","",G255-F255)</f>
        <v/>
      </c>
      <c r="I255" s="9" t="n">
        <v>6000</v>
      </c>
      <c r="J255" s="9">
        <f>IF(G255="","",H255*I255)</f>
        <v/>
      </c>
      <c r="K255" s="8" t="inlineStr"/>
      <c r="L255" s="8" t="inlineStr"/>
      <c r="M255" s="10" t="inlineStr"/>
    </row>
    <row r="256">
      <c r="A256" s="4" t="n">
        <v>252</v>
      </c>
      <c r="B256" s="6" t="inlineStr">
        <is>
          <t>Склад 2</t>
        </is>
      </c>
      <c r="C256" s="4" t="inlineStr">
        <is>
          <t>Клапан редукционный штуцерный угловой Ду10Ру200…30</t>
        </is>
      </c>
      <c r="D256" s="5" t="inlineStr">
        <is>
          <t>Клапан редукционный штуцерный угловой Ду10Ру200…30 с манометром</t>
        </is>
      </c>
      <c r="E256" s="4" t="inlineStr">
        <is>
          <t>525-35.2634-04</t>
        </is>
      </c>
      <c r="F256" s="4" t="n">
        <v>1</v>
      </c>
      <c r="G256" s="8" t="n"/>
      <c r="H256" s="4">
        <f>IF(G256="","",G256-F256)</f>
        <v/>
      </c>
      <c r="I256" s="9" t="n">
        <v>6000</v>
      </c>
      <c r="J256" s="9">
        <f>IF(G256="","",H256*I256)</f>
        <v/>
      </c>
      <c r="K256" s="8" t="inlineStr"/>
      <c r="L256" s="8" t="inlineStr"/>
      <c r="M256" s="10" t="inlineStr"/>
    </row>
    <row r="257">
      <c r="A257" s="4" t="n">
        <v>253</v>
      </c>
      <c r="B257" s="6" t="inlineStr">
        <is>
          <t>Склад 2</t>
        </is>
      </c>
      <c r="C257" s="4" t="inlineStr">
        <is>
          <t>Клапан с электромагнитным ручным управлением</t>
        </is>
      </c>
      <c r="D257" s="5" t="inlineStr">
        <is>
          <t>Клапан</t>
        </is>
      </c>
      <c r="E257" s="4" t="inlineStr">
        <is>
          <t>587-182.126</t>
        </is>
      </c>
      <c r="F257" s="4" t="n">
        <v>1</v>
      </c>
      <c r="G257" s="8" t="n"/>
      <c r="H257" s="4">
        <f>IF(G257="","",G257-F257)</f>
        <v/>
      </c>
      <c r="I257" s="9" t="n"/>
      <c r="J257" s="9">
        <f>IF(G257="","",H257*I257)</f>
        <v/>
      </c>
      <c r="K257" s="8" t="inlineStr"/>
      <c r="L257" s="8" t="inlineStr"/>
      <c r="M257" s="10" t="inlineStr"/>
    </row>
    <row r="258">
      <c r="A258" s="4" t="n">
        <v>254</v>
      </c>
      <c r="B258" s="6" t="inlineStr">
        <is>
          <t>Склад 2</t>
        </is>
      </c>
      <c r="C258" s="4" t="inlineStr">
        <is>
          <t>Клапан с электромагнитным ручным управлением</t>
        </is>
      </c>
      <c r="D258" s="5" t="inlineStr">
        <is>
          <t>Клапан с электромагнитным ручным управлением Ду20/10 перем. 220В</t>
        </is>
      </c>
      <c r="E258" s="4" t="inlineStr">
        <is>
          <t>587-35.8490-04</t>
        </is>
      </c>
      <c r="F258" s="4" t="n">
        <v>1</v>
      </c>
      <c r="G258" s="8" t="n"/>
      <c r="H258" s="4">
        <f>IF(G258="","",G258-F258)</f>
        <v/>
      </c>
      <c r="I258" s="9" t="n"/>
      <c r="J258" s="9">
        <f>IF(G258="","",H258*I258)</f>
        <v/>
      </c>
      <c r="K258" s="8" t="inlineStr"/>
      <c r="L258" s="8" t="inlineStr"/>
      <c r="M258" s="10" t="inlineStr"/>
    </row>
    <row r="259">
      <c r="A259" s="4" t="n">
        <v>255</v>
      </c>
      <c r="B259" s="6" t="inlineStr">
        <is>
          <t>Склад 2</t>
        </is>
      </c>
      <c r="C259" s="4" t="inlineStr">
        <is>
          <t>Клапан самозакрывающий проходной муфтовый</t>
        </is>
      </c>
      <c r="D259" s="5" t="inlineStr">
        <is>
          <t>(Кнопка)Клапан самозакрывающий проходной муфтовый Ду15Ру3</t>
        </is>
      </c>
      <c r="E259" s="4" t="inlineStr">
        <is>
          <t>528-35.176</t>
        </is>
      </c>
      <c r="F259" s="4" t="n">
        <v>1</v>
      </c>
      <c r="G259" s="8" t="n"/>
      <c r="H259" s="4">
        <f>IF(G259="","",G259-F259)</f>
        <v/>
      </c>
      <c r="I259" s="9" t="n"/>
      <c r="J259" s="9">
        <f>IF(G259="","",H259*I259)</f>
        <v/>
      </c>
      <c r="K259" s="8" t="inlineStr"/>
      <c r="L259" s="8" t="inlineStr"/>
      <c r="M259" s="10" t="inlineStr"/>
    </row>
    <row r="260">
      <c r="A260" s="4" t="n">
        <v>256</v>
      </c>
      <c r="B260" s="6" t="inlineStr">
        <is>
          <t>Склад 2</t>
        </is>
      </c>
      <c r="C260" s="4" t="inlineStr">
        <is>
          <t>Клапан угловой с присоединением под дюрит</t>
        </is>
      </c>
      <c r="D260" s="5" t="inlineStr">
        <is>
          <t>Клапан угловой с присоединением под дюрит Ду50Ру4</t>
        </is>
      </c>
      <c r="E260" s="4" t="inlineStr">
        <is>
          <t>521-03.445-04</t>
        </is>
      </c>
      <c r="F260" s="4" t="n">
        <v>4</v>
      </c>
      <c r="G260" s="8" t="n"/>
      <c r="H260" s="4">
        <f>IF(G260="","",G260-F260)</f>
        <v/>
      </c>
      <c r="I260" s="9" t="n">
        <v>10000</v>
      </c>
      <c r="J260" s="9">
        <f>IF(G260="","",H260*I260)</f>
        <v/>
      </c>
      <c r="K260" s="8" t="inlineStr"/>
      <c r="L260" s="8" t="inlineStr"/>
      <c r="M260" s="10" t="inlineStr"/>
    </row>
    <row r="261">
      <c r="A261" s="4" t="n">
        <v>257</v>
      </c>
      <c r="B261" s="6" t="inlineStr">
        <is>
          <t>Склад 2</t>
        </is>
      </c>
      <c r="C261" s="4" t="inlineStr">
        <is>
          <t>Клапан фланц. концевой пожарный угловой Ду50 Ру25</t>
        </is>
      </c>
      <c r="D261" s="5" t="inlineStr">
        <is>
          <t>Клапан фланц. концевой пожарный угловой Ду32 Ру10</t>
        </is>
      </c>
      <c r="E261" s="4" t="inlineStr">
        <is>
          <t>595-03-006</t>
        </is>
      </c>
      <c r="F261" s="4" t="n">
        <v>1</v>
      </c>
      <c r="G261" s="8" t="n"/>
      <c r="H261" s="4">
        <f>IF(G261="","",G261-F261)</f>
        <v/>
      </c>
      <c r="I261" s="9" t="n"/>
      <c r="J261" s="9">
        <f>IF(G261="","",H261*I261)</f>
        <v/>
      </c>
      <c r="K261" s="8" t="inlineStr"/>
      <c r="L261" s="8" t="inlineStr"/>
      <c r="M261" s="10" t="inlineStr"/>
    </row>
    <row r="262">
      <c r="A262" s="4" t="n">
        <v>258</v>
      </c>
      <c r="B262" s="6" t="inlineStr">
        <is>
          <t>Склад 2</t>
        </is>
      </c>
      <c r="C262" s="4" t="inlineStr">
        <is>
          <t>Клапан фланц. концевой пожарный угловой Ду50 Ру25</t>
        </is>
      </c>
      <c r="D262" s="5" t="inlineStr">
        <is>
          <t>Клапан фланц. концевой пожарный угловой Ду32 Ру16</t>
        </is>
      </c>
      <c r="E262" s="4" t="inlineStr">
        <is>
          <t>595-01-010</t>
        </is>
      </c>
      <c r="F262" s="4" t="n">
        <v>2</v>
      </c>
      <c r="G262" s="8" t="n"/>
      <c r="H262" s="4">
        <f>IF(G262="","",G262-F262)</f>
        <v/>
      </c>
      <c r="I262" s="9" t="n"/>
      <c r="J262" s="9">
        <f>IF(G262="","",H262*I262)</f>
        <v/>
      </c>
      <c r="K262" s="8" t="inlineStr"/>
      <c r="L262" s="8" t="inlineStr"/>
      <c r="M262" s="10" t="inlineStr"/>
    </row>
    <row r="263">
      <c r="A263" s="4" t="n">
        <v>259</v>
      </c>
      <c r="B263" s="6" t="inlineStr">
        <is>
          <t>Склад 2</t>
        </is>
      </c>
      <c r="C263" s="4" t="inlineStr">
        <is>
          <t>Клапан фланц. концевой пожарный угловой Ду50 Ру25</t>
        </is>
      </c>
      <c r="D263" s="5" t="inlineStr">
        <is>
          <t>Клапан фланц. концевой пожарный угловой Ду50 Ру25</t>
        </is>
      </c>
      <c r="E263" s="4" t="inlineStr">
        <is>
          <t>595-3М-48</t>
        </is>
      </c>
      <c r="F263" s="4" t="n">
        <v>1</v>
      </c>
      <c r="G263" s="8" t="n"/>
      <c r="H263" s="4">
        <f>IF(G263="","",G263-F263)</f>
        <v/>
      </c>
      <c r="I263" s="9" t="n"/>
      <c r="J263" s="9">
        <f>IF(G263="","",H263*I263)</f>
        <v/>
      </c>
      <c r="K263" s="8" t="inlineStr"/>
      <c r="L263" s="8" t="inlineStr"/>
      <c r="M263" s="10" t="inlineStr"/>
    </row>
    <row r="264">
      <c r="A264" s="4" t="n">
        <v>260</v>
      </c>
      <c r="B264" s="6" t="inlineStr">
        <is>
          <t>Склад 2</t>
        </is>
      </c>
      <c r="C264" s="4" t="inlineStr">
        <is>
          <t>Клапан фланц. концевой пожарный угловой Ду50 Ру25</t>
        </is>
      </c>
      <c r="D264" s="5" t="inlineStr">
        <is>
          <t>Клапан фланц. концевой пожарный угловой Ду50 Ру25</t>
        </is>
      </c>
      <c r="E264" s="4" t="inlineStr">
        <is>
          <t>595-35-021</t>
        </is>
      </c>
      <c r="F264" s="4" t="n">
        <v>1</v>
      </c>
      <c r="G264" s="8" t="n"/>
      <c r="H264" s="4">
        <f>IF(G264="","",G264-F264)</f>
        <v/>
      </c>
      <c r="I264" s="9" t="n"/>
      <c r="J264" s="9">
        <f>IF(G264="","",H264*I264)</f>
        <v/>
      </c>
      <c r="K264" s="8" t="inlineStr"/>
      <c r="L264" s="8" t="inlineStr"/>
      <c r="M264" s="10" t="inlineStr"/>
    </row>
    <row r="265">
      <c r="A265" s="4" t="n">
        <v>261</v>
      </c>
      <c r="B265" s="6" t="inlineStr">
        <is>
          <t>Склад 2</t>
        </is>
      </c>
      <c r="C265" s="4" t="inlineStr">
        <is>
          <t>Клапан фланцевый проходной</t>
        </is>
      </c>
      <c r="D265" s="5" t="inlineStr">
        <is>
          <t>Клапан фланцевый проходной Ду125 ок.входа</t>
        </is>
      </c>
      <c r="E265" s="4" t="inlineStr">
        <is>
          <t>521-35.3455-02</t>
        </is>
      </c>
      <c r="F265" s="4" t="n">
        <v>2</v>
      </c>
      <c r="G265" s="8" t="n"/>
      <c r="H265" s="4">
        <f>IF(G265="","",G265-F265)</f>
        <v/>
      </c>
      <c r="I265" s="9" t="n">
        <v>37500</v>
      </c>
      <c r="J265" s="9">
        <f>IF(G265="","",H265*I265)</f>
        <v/>
      </c>
      <c r="K265" s="8" t="inlineStr"/>
      <c r="L265" s="8" t="inlineStr"/>
      <c r="M265" s="10" t="inlineStr"/>
    </row>
    <row r="266">
      <c r="A266" s="4" t="n">
        <v>262</v>
      </c>
      <c r="B266" s="6" t="inlineStr">
        <is>
          <t>Склад 2</t>
        </is>
      </c>
      <c r="C266" s="4" t="inlineStr">
        <is>
          <t>Клапан фланцевый угловой</t>
        </is>
      </c>
      <c r="D266" s="5" t="inlineStr">
        <is>
          <t>Клапан фланцевый угловой Ду40 Ру25 сталь ок.входа</t>
        </is>
      </c>
      <c r="E266" s="4" t="inlineStr">
        <is>
          <t>522-35.445-19</t>
        </is>
      </c>
      <c r="F266" s="4" t="n">
        <v>2</v>
      </c>
      <c r="G266" s="8" t="n"/>
      <c r="H266" s="4">
        <f>IF(G266="","",G266-F266)</f>
        <v/>
      </c>
      <c r="I266" s="9" t="n">
        <v>18000</v>
      </c>
      <c r="J266" s="9">
        <f>IF(G266="","",H266*I266)</f>
        <v/>
      </c>
      <c r="K266" s="8" t="inlineStr"/>
      <c r="L266" s="8" t="inlineStr"/>
      <c r="M266" s="10" t="inlineStr"/>
    </row>
    <row r="267">
      <c r="A267" s="4" t="n">
        <v>263</v>
      </c>
      <c r="B267" s="6" t="inlineStr">
        <is>
          <t>Склад 2</t>
        </is>
      </c>
      <c r="C267" s="4" t="inlineStr">
        <is>
          <t>Клапан фреоновый</t>
        </is>
      </c>
      <c r="D267" s="5" t="inlineStr">
        <is>
          <t>Клапан фреоновый саленоидный</t>
        </is>
      </c>
      <c r="E267" s="4" t="inlineStr"/>
      <c r="F267" s="4" t="n">
        <v>2</v>
      </c>
      <c r="G267" s="8" t="n"/>
      <c r="H267" s="4">
        <f>IF(G267="","",G267-F267)</f>
        <v/>
      </c>
      <c r="I267" s="9" t="n"/>
      <c r="J267" s="9">
        <f>IF(G267="","",H267*I267)</f>
        <v/>
      </c>
      <c r="K267" s="8" t="inlineStr"/>
      <c r="L267" s="8" t="inlineStr"/>
      <c r="M267" s="10" t="inlineStr"/>
    </row>
    <row r="268">
      <c r="A268" s="4" t="n">
        <v>264</v>
      </c>
      <c r="B268" s="6" t="inlineStr">
        <is>
          <t>Склад 2</t>
        </is>
      </c>
      <c r="C268" s="4" t="inlineStr">
        <is>
          <t>Клапан цапковый угловой под дюрит</t>
        </is>
      </c>
      <c r="D268" s="5" t="inlineStr">
        <is>
          <t>Клапан невозв-запор.цапковый угловой под дюрит Ду20Ру6</t>
        </is>
      </c>
      <c r="E268" s="4" t="inlineStr">
        <is>
          <t>522-03.123</t>
        </is>
      </c>
      <c r="F268" s="4" t="n">
        <v>2</v>
      </c>
      <c r="G268" s="8" t="n"/>
      <c r="H268" s="4">
        <f>IF(G268="","",G268-F268)</f>
        <v/>
      </c>
      <c r="I268" s="9" t="n">
        <v>4800</v>
      </c>
      <c r="J268" s="9">
        <f>IF(G268="","",H268*I268)</f>
        <v/>
      </c>
      <c r="K268" s="8" t="inlineStr"/>
      <c r="L268" s="8" t="inlineStr"/>
      <c r="M268" s="10" t="inlineStr"/>
    </row>
    <row r="269">
      <c r="A269" s="4" t="n">
        <v>265</v>
      </c>
      <c r="B269" s="6" t="inlineStr">
        <is>
          <t>Склад 2</t>
        </is>
      </c>
      <c r="C269" s="4" t="inlineStr">
        <is>
          <t>Клапан штуцерный проходной</t>
        </is>
      </c>
      <c r="D269" s="5" t="inlineStr">
        <is>
          <t>Клапан штуцерный проходной Ду 10 Ру100</t>
        </is>
      </c>
      <c r="E269" s="4" t="inlineStr">
        <is>
          <t>521-01.469-03</t>
        </is>
      </c>
      <c r="F269" s="4" t="n">
        <v>7</v>
      </c>
      <c r="G269" s="8" t="n"/>
      <c r="H269" s="4">
        <f>IF(G269="","",G269-F269)</f>
        <v/>
      </c>
      <c r="I269" s="9" t="n">
        <v>4500</v>
      </c>
      <c r="J269" s="9">
        <f>IF(G269="","",H269*I269)</f>
        <v/>
      </c>
      <c r="K269" s="8" t="inlineStr"/>
      <c r="L269" s="8" t="inlineStr"/>
      <c r="M269" s="10" t="inlineStr"/>
    </row>
    <row r="270">
      <c r="A270" s="4" t="n">
        <v>266</v>
      </c>
      <c r="B270" s="6" t="inlineStr">
        <is>
          <t>Склад 2</t>
        </is>
      </c>
      <c r="C270" s="4" t="inlineStr">
        <is>
          <t>Клапан штуцерный проходной</t>
        </is>
      </c>
      <c r="D270" s="5" t="inlineStr">
        <is>
          <t>Клапан штуцерный проходной Ду 10 Ру100</t>
        </is>
      </c>
      <c r="E270" s="4" t="inlineStr">
        <is>
          <t>521-01.469-02</t>
        </is>
      </c>
      <c r="F270" s="4" t="n">
        <v>2</v>
      </c>
      <c r="G270" s="8" t="n"/>
      <c r="H270" s="4">
        <f>IF(G270="","",G270-F270)</f>
        <v/>
      </c>
      <c r="I270" s="9" t="n">
        <v>2500</v>
      </c>
      <c r="J270" s="9">
        <f>IF(G270="","",H270*I270)</f>
        <v/>
      </c>
      <c r="K270" s="8" t="inlineStr"/>
      <c r="L270" s="8" t="inlineStr"/>
      <c r="M270" s="10" t="inlineStr"/>
    </row>
    <row r="271">
      <c r="A271" s="4" t="n">
        <v>267</v>
      </c>
      <c r="B271" s="6" t="inlineStr">
        <is>
          <t>Склад 2</t>
        </is>
      </c>
      <c r="C271" s="4" t="inlineStr">
        <is>
          <t>Клапан штуцерный проходной</t>
        </is>
      </c>
      <c r="D271" s="5" t="inlineStr">
        <is>
          <t>Клапан штуцерный проходной Ду 10 Ру25 СТАЛЬ</t>
        </is>
      </c>
      <c r="E271" s="4" t="inlineStr">
        <is>
          <t>521-3м-953</t>
        </is>
      </c>
      <c r="F271" s="4" t="n">
        <v>1</v>
      </c>
      <c r="G271" s="8" t="n"/>
      <c r="H271" s="4">
        <f>IF(G271="","",G271-F271)</f>
        <v/>
      </c>
      <c r="I271" s="9" t="n">
        <v>2000</v>
      </c>
      <c r="J271" s="9">
        <f>IF(G271="","",H271*I271)</f>
        <v/>
      </c>
      <c r="K271" s="8" t="inlineStr"/>
      <c r="L271" s="8" t="inlineStr"/>
      <c r="M271" s="10" t="inlineStr"/>
    </row>
    <row r="272">
      <c r="A272" s="4" t="n">
        <v>268</v>
      </c>
      <c r="B272" s="6" t="inlineStr">
        <is>
          <t>Склад 2</t>
        </is>
      </c>
      <c r="C272" s="4" t="inlineStr">
        <is>
          <t>Клапан штуцерный проходной</t>
        </is>
      </c>
      <c r="D272" s="5" t="inlineStr">
        <is>
          <t>Клапан штуцерный проходной Ду 10 Ру40</t>
        </is>
      </c>
      <c r="E272" s="4" t="inlineStr">
        <is>
          <t>521-01.471-01</t>
        </is>
      </c>
      <c r="F272" s="4" t="n">
        <v>18</v>
      </c>
      <c r="G272" s="8" t="n"/>
      <c r="H272" s="4">
        <f>IF(G272="","",G272-F272)</f>
        <v/>
      </c>
      <c r="I272" s="9" t="n">
        <v>3000</v>
      </c>
      <c r="J272" s="9">
        <f>IF(G272="","",H272*I272)</f>
        <v/>
      </c>
      <c r="K272" s="8" t="inlineStr"/>
      <c r="L272" s="8" t="inlineStr"/>
      <c r="M272" s="10" t="inlineStr"/>
    </row>
    <row r="273">
      <c r="A273" s="4" t="n">
        <v>269</v>
      </c>
      <c r="B273" s="6" t="inlineStr">
        <is>
          <t>Склад 2</t>
        </is>
      </c>
      <c r="C273" s="4" t="inlineStr">
        <is>
          <t>Клапан штуцерный проходной</t>
        </is>
      </c>
      <c r="D273" s="5" t="inlineStr">
        <is>
          <t>Клапан штуцерный проходной Ду 10 Ру6</t>
        </is>
      </c>
      <c r="E273" s="4" t="inlineStr">
        <is>
          <t>521-3м-52</t>
        </is>
      </c>
      <c r="F273" s="4" t="n">
        <v>1</v>
      </c>
      <c r="G273" s="8" t="n"/>
      <c r="H273" s="4">
        <f>IF(G273="","",G273-F273)</f>
        <v/>
      </c>
      <c r="I273" s="9" t="n">
        <v>2000</v>
      </c>
      <c r="J273" s="9">
        <f>IF(G273="","",H273*I273)</f>
        <v/>
      </c>
      <c r="K273" s="8" t="inlineStr"/>
      <c r="L273" s="8" t="inlineStr"/>
      <c r="M273" s="10" t="inlineStr"/>
    </row>
    <row r="274">
      <c r="A274" s="4" t="n">
        <v>270</v>
      </c>
      <c r="B274" s="6" t="inlineStr">
        <is>
          <t>Склад 2</t>
        </is>
      </c>
      <c r="C274" s="4" t="inlineStr">
        <is>
          <t>Клапан штуцерный проходной</t>
        </is>
      </c>
      <c r="D274" s="5" t="inlineStr">
        <is>
          <t>Клапан штуцерный проходной Ду 10 Ру63 СТАЛЬ</t>
        </is>
      </c>
      <c r="E274" s="4" t="inlineStr">
        <is>
          <t>522-03.134</t>
        </is>
      </c>
      <c r="F274" s="4" t="n">
        <v>1</v>
      </c>
      <c r="G274" s="8" t="n"/>
      <c r="H274" s="4">
        <f>IF(G274="","",G274-F274)</f>
        <v/>
      </c>
      <c r="I274" s="9" t="n">
        <v>2000</v>
      </c>
      <c r="J274" s="9">
        <f>IF(G274="","",H274*I274)</f>
        <v/>
      </c>
      <c r="K274" s="8" t="inlineStr"/>
      <c r="L274" s="8" t="inlineStr"/>
      <c r="M274" s="10" t="inlineStr"/>
    </row>
    <row r="275">
      <c r="A275" s="4" t="n">
        <v>271</v>
      </c>
      <c r="B275" s="6" t="inlineStr">
        <is>
          <t>Склад 2</t>
        </is>
      </c>
      <c r="C275" s="4" t="inlineStr">
        <is>
          <t>Клапан штуцерный проходной Ду 10 Ру100</t>
        </is>
      </c>
      <c r="D275" s="5" t="inlineStr">
        <is>
          <t>Клапан невозвратный штуцерный проходной Ду20 Ру40</t>
        </is>
      </c>
      <c r="E275" s="4" t="inlineStr">
        <is>
          <t>522-3м-9</t>
        </is>
      </c>
      <c r="F275" s="4" t="n">
        <v>1</v>
      </c>
      <c r="G275" s="8" t="n"/>
      <c r="H275" s="4">
        <f>IF(G275="","",G275-F275)</f>
        <v/>
      </c>
      <c r="I275" s="9" t="n">
        <v>4000</v>
      </c>
      <c r="J275" s="9">
        <f>IF(G275="","",H275*I275)</f>
        <v/>
      </c>
      <c r="K275" s="8" t="inlineStr"/>
      <c r="L275" s="8" t="inlineStr"/>
      <c r="M275" s="10" t="inlineStr"/>
    </row>
    <row r="276">
      <c r="A276" s="4" t="n">
        <v>272</v>
      </c>
      <c r="B276" s="6" t="inlineStr">
        <is>
          <t>Склад 2</t>
        </is>
      </c>
      <c r="C276" s="4" t="inlineStr">
        <is>
          <t>Клапан штуцерный проходной Ду 10 Ру100</t>
        </is>
      </c>
      <c r="D276" s="5" t="inlineStr">
        <is>
          <t>Клапан невозвратный штуцерный проходной Ду20Ру160</t>
        </is>
      </c>
      <c r="E276" s="4" t="inlineStr">
        <is>
          <t>522-03.089</t>
        </is>
      </c>
      <c r="F276" s="4" t="n">
        <v>1</v>
      </c>
      <c r="G276" s="8" t="n"/>
      <c r="H276" s="4">
        <f>IF(G276="","",G276-F276)</f>
        <v/>
      </c>
      <c r="I276" s="9" t="n">
        <v>6000</v>
      </c>
      <c r="J276" s="9">
        <f>IF(G276="","",H276*I276)</f>
        <v/>
      </c>
      <c r="K276" s="8" t="inlineStr"/>
      <c r="L276" s="8" t="inlineStr"/>
      <c r="M276" s="10" t="inlineStr"/>
    </row>
    <row r="277">
      <c r="A277" s="4" t="n">
        <v>273</v>
      </c>
      <c r="B277" s="6" t="inlineStr">
        <is>
          <t>Склад 2</t>
        </is>
      </c>
      <c r="C277" s="4" t="inlineStr">
        <is>
          <t>Клапан штуцерный проходной Ду 10 Ру100</t>
        </is>
      </c>
      <c r="D277" s="5" t="inlineStr">
        <is>
          <t>Клапан штуцерный проходной Ду 10 Ру400</t>
        </is>
      </c>
      <c r="E277" s="4" t="inlineStr">
        <is>
          <t>521-35.3238</t>
        </is>
      </c>
      <c r="F277" s="4" t="n">
        <v>1</v>
      </c>
      <c r="G277" s="8" t="n"/>
      <c r="H277" s="4">
        <f>IF(G277="","",G277-F277)</f>
        <v/>
      </c>
      <c r="I277" s="9" t="n">
        <v>6000</v>
      </c>
      <c r="J277" s="9">
        <f>IF(G277="","",H277*I277)</f>
        <v/>
      </c>
      <c r="K277" s="8" t="inlineStr"/>
      <c r="L277" s="8" t="inlineStr"/>
      <c r="M277" s="10" t="inlineStr"/>
    </row>
    <row r="278">
      <c r="A278" s="4" t="n">
        <v>274</v>
      </c>
      <c r="B278" s="6" t="inlineStr">
        <is>
          <t>Склад 2</t>
        </is>
      </c>
      <c r="C278" s="4" t="inlineStr">
        <is>
          <t>Клапан штуцерный проходной Ду 10 Ру100</t>
        </is>
      </c>
      <c r="D278" s="5" t="inlineStr">
        <is>
          <t>Клапан штуцерный проходной Ду 10 Ру400</t>
        </is>
      </c>
      <c r="E278" s="4" t="inlineStr">
        <is>
          <t>521-03.420</t>
        </is>
      </c>
      <c r="F278" s="4" t="n">
        <v>2</v>
      </c>
      <c r="G278" s="8" t="n"/>
      <c r="H278" s="4">
        <f>IF(G278="","",G278-F278)</f>
        <v/>
      </c>
      <c r="I278" s="9" t="n">
        <v>6000</v>
      </c>
      <c r="J278" s="9">
        <f>IF(G278="","",H278*I278)</f>
        <v/>
      </c>
      <c r="K278" s="8" t="inlineStr"/>
      <c r="L278" s="8" t="inlineStr"/>
      <c r="M278" s="10" t="inlineStr"/>
    </row>
    <row r="279">
      <c r="A279" s="4" t="n">
        <v>275</v>
      </c>
      <c r="B279" s="6" t="inlineStr">
        <is>
          <t>Склад 2</t>
        </is>
      </c>
      <c r="C279" s="4" t="inlineStr">
        <is>
          <t>Клапан штуцерный проходной бессальниковый с герметизацией</t>
        </is>
      </c>
      <c r="D279" s="5" t="inlineStr">
        <is>
          <t>Клапан штуцерный проходной бессальниковый Ду15/1</t>
        </is>
      </c>
      <c r="E279" s="4" t="inlineStr">
        <is>
          <t>521-35.2608-01</t>
        </is>
      </c>
      <c r="F279" s="4" t="n">
        <v>3</v>
      </c>
      <c r="G279" s="8" t="n"/>
      <c r="H279" s="4">
        <f>IF(G279="","",G279-F279)</f>
        <v/>
      </c>
      <c r="I279" s="9" t="n"/>
      <c r="J279" s="9">
        <f>IF(G279="","",H279*I279)</f>
        <v/>
      </c>
      <c r="K279" s="8" t="inlineStr"/>
      <c r="L279" s="8" t="inlineStr"/>
      <c r="M279" s="10" t="inlineStr"/>
    </row>
    <row r="280">
      <c r="A280" s="4" t="n">
        <v>276</v>
      </c>
      <c r="B280" s="6" t="inlineStr">
        <is>
          <t>Склад 2</t>
        </is>
      </c>
      <c r="C280" s="4" t="inlineStr">
        <is>
          <t>Клапан штуцерный проходной невозвратный</t>
        </is>
      </c>
      <c r="D280" s="5" t="inlineStr">
        <is>
          <t>Клапан штуцерный проходной невозвратный Ду10Ру100</t>
        </is>
      </c>
      <c r="E280" s="4" t="inlineStr">
        <is>
          <t>522-01-493</t>
        </is>
      </c>
      <c r="F280" s="4" t="n">
        <v>5</v>
      </c>
      <c r="G280" s="8" t="n"/>
      <c r="H280" s="4">
        <f>IF(G280="","",G280-F280)</f>
        <v/>
      </c>
      <c r="I280" s="9" t="n">
        <v>4000</v>
      </c>
      <c r="J280" s="9">
        <f>IF(G280="","",H280*I280)</f>
        <v/>
      </c>
      <c r="K280" s="8" t="inlineStr"/>
      <c r="L280" s="8" t="inlineStr"/>
      <c r="M280" s="10" t="inlineStr"/>
    </row>
    <row r="281">
      <c r="A281" s="4" t="n">
        <v>277</v>
      </c>
      <c r="B281" s="6" t="inlineStr">
        <is>
          <t>Склад 2</t>
        </is>
      </c>
      <c r="C281" s="4" t="inlineStr">
        <is>
          <t>Клапан штуцерный проходной невозвратный</t>
        </is>
      </c>
      <c r="D281" s="5" t="inlineStr">
        <is>
          <t>Клапан штуцерный проходной невозвратный Ду10Ру100</t>
        </is>
      </c>
      <c r="E281" s="4" t="inlineStr">
        <is>
          <t>522-01-493-01</t>
        </is>
      </c>
      <c r="F281" s="4" t="n">
        <v>1</v>
      </c>
      <c r="G281" s="8" t="n"/>
      <c r="H281" s="4">
        <f>IF(G281="","",G281-F281)</f>
        <v/>
      </c>
      <c r="I281" s="9" t="n">
        <v>4000</v>
      </c>
      <c r="J281" s="9">
        <f>IF(G281="","",H281*I281)</f>
        <v/>
      </c>
      <c r="K281" s="8" t="inlineStr"/>
      <c r="L281" s="8" t="inlineStr"/>
      <c r="M281" s="10" t="inlineStr"/>
    </row>
    <row r="282">
      <c r="A282" s="4" t="n">
        <v>278</v>
      </c>
      <c r="B282" s="6" t="inlineStr">
        <is>
          <t>Склад 2</t>
        </is>
      </c>
      <c r="C282" s="4" t="inlineStr">
        <is>
          <t>Клапан штуцерный угловой</t>
        </is>
      </c>
      <c r="D282" s="5" t="inlineStr">
        <is>
          <t>Клапан штуцерный угловой Ду10 Р160</t>
        </is>
      </c>
      <c r="E282" s="4" t="inlineStr">
        <is>
          <t>522-03,149</t>
        </is>
      </c>
      <c r="F282" s="4" t="n">
        <v>6</v>
      </c>
      <c r="G282" s="8" t="n"/>
      <c r="H282" s="4">
        <f>IF(G282="","",G282-F282)</f>
        <v/>
      </c>
      <c r="I282" s="9" t="n">
        <v>4000</v>
      </c>
      <c r="J282" s="9">
        <f>IF(G282="","",H282*I282)</f>
        <v/>
      </c>
      <c r="K282" s="8" t="inlineStr"/>
      <c r="L282" s="8" t="inlineStr"/>
      <c r="M282" s="10" t="inlineStr"/>
    </row>
    <row r="283">
      <c r="A283" s="4" t="n">
        <v>279</v>
      </c>
      <c r="B283" s="6" t="inlineStr">
        <is>
          <t>Склад 2</t>
        </is>
      </c>
      <c r="C283" s="4" t="inlineStr">
        <is>
          <t>Клапан штуцерный угловой</t>
        </is>
      </c>
      <c r="D283" s="5" t="inlineStr">
        <is>
          <t>Клапан штуцерный угловой Ду6Ру100</t>
        </is>
      </c>
      <c r="E283" s="4" t="inlineStr">
        <is>
          <t>521-01.467-02</t>
        </is>
      </c>
      <c r="F283" s="4" t="n">
        <v>3</v>
      </c>
      <c r="G283" s="8" t="n"/>
      <c r="H283" s="4">
        <f>IF(G283="","",G283-F283)</f>
        <v/>
      </c>
      <c r="I283" s="9" t="n">
        <v>2000</v>
      </c>
      <c r="J283" s="9">
        <f>IF(G283="","",H283*I283)</f>
        <v/>
      </c>
      <c r="K283" s="8" t="inlineStr"/>
      <c r="L283" s="8" t="inlineStr"/>
      <c r="M283" s="10" t="inlineStr"/>
    </row>
    <row r="284">
      <c r="A284" s="4" t="n">
        <v>280</v>
      </c>
      <c r="B284" s="6" t="inlineStr">
        <is>
          <t>Склад 2</t>
        </is>
      </c>
      <c r="C284" s="4" t="inlineStr">
        <is>
          <t>Клапан штуцерный угловой Ду10 Ру100</t>
        </is>
      </c>
      <c r="D284" s="5" t="inlineStr">
        <is>
          <t>Клапан штуцерный угловой Ду НЕРЖ</t>
        </is>
      </c>
      <c r="E284" s="4" t="inlineStr">
        <is>
          <t>521-03.472-01</t>
        </is>
      </c>
      <c r="F284" s="4" t="n">
        <v>1</v>
      </c>
      <c r="G284" s="8" t="n"/>
      <c r="H284" s="4">
        <f>IF(G284="","",G284-F284)</f>
        <v/>
      </c>
      <c r="I284" s="9" t="n"/>
      <c r="J284" s="9">
        <f>IF(G284="","",H284*I284)</f>
        <v/>
      </c>
      <c r="K284" s="8" t="inlineStr"/>
      <c r="L284" s="8" t="inlineStr"/>
      <c r="M284" s="10" t="inlineStr"/>
    </row>
    <row r="285">
      <c r="A285" s="4" t="n">
        <v>281</v>
      </c>
      <c r="B285" s="6" t="inlineStr">
        <is>
          <t>Склад 2</t>
        </is>
      </c>
      <c r="C285" s="4" t="inlineStr">
        <is>
          <t>Клапан штуцерный угловой Ду10 Ру100</t>
        </is>
      </c>
      <c r="D285" s="5" t="inlineStr">
        <is>
          <t>Клапан штуцерный угловой Ду10 Ру100</t>
        </is>
      </c>
      <c r="E285" s="4" t="inlineStr">
        <is>
          <t>521-01.493-02</t>
        </is>
      </c>
      <c r="F285" s="4" t="n">
        <v>1</v>
      </c>
      <c r="G285" s="8" t="n"/>
      <c r="H285" s="4">
        <f>IF(G285="","",G285-F285)</f>
        <v/>
      </c>
      <c r="I285" s="9" t="n"/>
      <c r="J285" s="9">
        <f>IF(G285="","",H285*I285)</f>
        <v/>
      </c>
      <c r="K285" s="8" t="inlineStr"/>
      <c r="L285" s="8" t="inlineStr"/>
      <c r="M285" s="10" t="inlineStr"/>
    </row>
    <row r="286">
      <c r="A286" s="4" t="n">
        <v>282</v>
      </c>
      <c r="B286" s="6" t="inlineStr">
        <is>
          <t>Склад 2</t>
        </is>
      </c>
      <c r="C286" s="4" t="inlineStr">
        <is>
          <t>Клапан штуцерный угловой Ду10 Ру100</t>
        </is>
      </c>
      <c r="D286" s="5" t="inlineStr">
        <is>
          <t>Клапан штуцерный угловой Ду10 Ру100</t>
        </is>
      </c>
      <c r="E286" s="4" t="inlineStr">
        <is>
          <t>522-01.499-01</t>
        </is>
      </c>
      <c r="F286" s="4" t="n">
        <v>1</v>
      </c>
      <c r="G286" s="8" t="n"/>
      <c r="H286" s="4">
        <f>IF(G286="","",G286-F286)</f>
        <v/>
      </c>
      <c r="I286" s="9" t="n">
        <v>2000</v>
      </c>
      <c r="J286" s="9">
        <f>IF(G286="","",H286*I286)</f>
        <v/>
      </c>
      <c r="K286" s="8" t="inlineStr"/>
      <c r="L286" s="8" t="inlineStr"/>
      <c r="M286" s="10" t="inlineStr"/>
    </row>
    <row r="287">
      <c r="A287" s="4" t="n">
        <v>283</v>
      </c>
      <c r="B287" s="6" t="inlineStr">
        <is>
          <t>Склад 2</t>
        </is>
      </c>
      <c r="C287" s="4" t="inlineStr">
        <is>
          <t>Клапан штуцерный угловой Ду10 Ру100</t>
        </is>
      </c>
      <c r="D287" s="5" t="inlineStr">
        <is>
          <t>Клапан штуцерный угловой Ду10 Ру100</t>
        </is>
      </c>
      <c r="E287" s="4" t="inlineStr">
        <is>
          <t>521-01.465-01</t>
        </is>
      </c>
      <c r="F287" s="4" t="n">
        <v>1</v>
      </c>
      <c r="G287" s="8" t="n"/>
      <c r="H287" s="4">
        <f>IF(G287="","",G287-F287)</f>
        <v/>
      </c>
      <c r="I287" s="9" t="n">
        <v>20200</v>
      </c>
      <c r="J287" s="9">
        <f>IF(G287="","",H287*I287)</f>
        <v/>
      </c>
      <c r="K287" s="8" t="inlineStr"/>
      <c r="L287" s="8" t="inlineStr"/>
      <c r="M287" s="10" t="inlineStr"/>
    </row>
    <row r="288">
      <c r="A288" s="4" t="n">
        <v>284</v>
      </c>
      <c r="B288" s="6" t="inlineStr">
        <is>
          <t>Склад 2</t>
        </is>
      </c>
      <c r="C288" s="4" t="inlineStr">
        <is>
          <t>Клапан штуцерный угловой Ду10 Ру100</t>
        </is>
      </c>
      <c r="D288" s="5" t="inlineStr">
        <is>
          <t>Клапан штуцерный угловой Ду10 Ру100</t>
        </is>
      </c>
      <c r="E288" s="4" t="inlineStr">
        <is>
          <t>521-01.467-03</t>
        </is>
      </c>
      <c r="F288" s="4" t="n">
        <v>1</v>
      </c>
      <c r="G288" s="8" t="n"/>
      <c r="H288" s="4">
        <f>IF(G288="","",G288-F288)</f>
        <v/>
      </c>
      <c r="I288" s="9" t="n">
        <v>2000</v>
      </c>
      <c r="J288" s="9">
        <f>IF(G288="","",H288*I288)</f>
        <v/>
      </c>
      <c r="K288" s="8" t="inlineStr"/>
      <c r="L288" s="8" t="inlineStr"/>
      <c r="M288" s="10" t="inlineStr"/>
    </row>
    <row r="289">
      <c r="A289" s="4" t="n">
        <v>285</v>
      </c>
      <c r="B289" s="6" t="inlineStr">
        <is>
          <t>Склад 2</t>
        </is>
      </c>
      <c r="C289" s="4" t="inlineStr">
        <is>
          <t>Клапан штуцерный угловой Ду10 Ру100</t>
        </is>
      </c>
      <c r="D289" s="5" t="inlineStr">
        <is>
          <t>Клапан штуцерный угловой Ду15 Ру160</t>
        </is>
      </c>
      <c r="E289" s="4" t="inlineStr">
        <is>
          <t>521-03.387</t>
        </is>
      </c>
      <c r="F289" s="4" t="n">
        <v>4</v>
      </c>
      <c r="G289" s="8" t="n"/>
      <c r="H289" s="4">
        <f>IF(G289="","",G289-F289)</f>
        <v/>
      </c>
      <c r="I289" s="9" t="n">
        <v>9000</v>
      </c>
      <c r="J289" s="9">
        <f>IF(G289="","",H289*I289)</f>
        <v/>
      </c>
      <c r="K289" s="8" t="inlineStr"/>
      <c r="L289" s="8" t="inlineStr"/>
      <c r="M289" s="10" t="inlineStr"/>
    </row>
    <row r="290">
      <c r="A290" s="4" t="n">
        <v>286</v>
      </c>
      <c r="B290" s="6" t="inlineStr">
        <is>
          <t>Склад 2</t>
        </is>
      </c>
      <c r="C290" s="4" t="inlineStr">
        <is>
          <t>Клапан штуцерный угловой Ду10 Ру100</t>
        </is>
      </c>
      <c r="D290" s="5" t="inlineStr">
        <is>
          <t>Клапан штуцерный угловой Ду20 Ру100</t>
        </is>
      </c>
      <c r="E290" s="4" t="inlineStr">
        <is>
          <t>521-01.468-05</t>
        </is>
      </c>
      <c r="F290" s="4" t="n">
        <v>5</v>
      </c>
      <c r="G290" s="8" t="n"/>
      <c r="H290" s="4">
        <f>IF(G290="","",G290-F290)</f>
        <v/>
      </c>
      <c r="I290" s="9" t="n">
        <v>3000</v>
      </c>
      <c r="J290" s="9">
        <f>IF(G290="","",H290*I290)</f>
        <v/>
      </c>
      <c r="K290" s="8" t="inlineStr"/>
      <c r="L290" s="8" t="inlineStr"/>
      <c r="M290" s="10" t="inlineStr"/>
    </row>
    <row r="291">
      <c r="A291" s="4" t="n">
        <v>287</v>
      </c>
      <c r="B291" s="6" t="inlineStr">
        <is>
          <t>Склад 2</t>
        </is>
      </c>
      <c r="C291" s="4" t="inlineStr">
        <is>
          <t>Клапан штуцерный угловой Ду10 Ру100</t>
        </is>
      </c>
      <c r="D291" s="5" t="inlineStr">
        <is>
          <t>Клапан штуцерный угловой Ду20 Ру160</t>
        </is>
      </c>
      <c r="E291" s="4" t="inlineStr">
        <is>
          <t>521-03.479</t>
        </is>
      </c>
      <c r="F291" s="4" t="n">
        <v>1</v>
      </c>
      <c r="G291" s="8" t="n"/>
      <c r="H291" s="4">
        <f>IF(G291="","",G291-F291)</f>
        <v/>
      </c>
      <c r="I291" s="9" t="n">
        <v>9000</v>
      </c>
      <c r="J291" s="9">
        <f>IF(G291="","",H291*I291)</f>
        <v/>
      </c>
      <c r="K291" s="8" t="inlineStr"/>
      <c r="L291" s="8" t="inlineStr"/>
      <c r="M291" s="10" t="inlineStr"/>
    </row>
    <row r="292">
      <c r="A292" s="4" t="n">
        <v>288</v>
      </c>
      <c r="B292" s="6" t="inlineStr">
        <is>
          <t>Склад 2</t>
        </is>
      </c>
      <c r="C292" s="4" t="inlineStr">
        <is>
          <t>Клапан штуцерный угловой Ду10 Ру100</t>
        </is>
      </c>
      <c r="D292" s="5" t="inlineStr">
        <is>
          <t>Клапан штуцерный угловой Ду25</t>
        </is>
      </c>
      <c r="E292" s="4" t="inlineStr">
        <is>
          <t>521--01.468-08</t>
        </is>
      </c>
      <c r="F292" s="4" t="n">
        <v>1</v>
      </c>
      <c r="G292" s="8" t="n"/>
      <c r="H292" s="4">
        <f>IF(G292="","",G292-F292)</f>
        <v/>
      </c>
      <c r="I292" s="9" t="n">
        <v>7500</v>
      </c>
      <c r="J292" s="9">
        <f>IF(G292="","",H292*I292)</f>
        <v/>
      </c>
      <c r="K292" s="8" t="inlineStr"/>
      <c r="L292" s="8" t="inlineStr"/>
      <c r="M292" s="10" t="inlineStr"/>
    </row>
    <row r="293">
      <c r="A293" s="4" t="n">
        <v>289</v>
      </c>
      <c r="B293" s="6" t="inlineStr">
        <is>
          <t>Склад 2</t>
        </is>
      </c>
      <c r="C293" s="4" t="inlineStr">
        <is>
          <t>Клапан штуцерный угловой Ду10 Ру100</t>
        </is>
      </c>
      <c r="D293" s="5" t="inlineStr">
        <is>
          <t>Клапан штуцерный угловой Ду25</t>
        </is>
      </c>
      <c r="E293" s="4" t="inlineStr">
        <is>
          <t>521--35.3363</t>
        </is>
      </c>
      <c r="F293" s="4" t="n">
        <v>1</v>
      </c>
      <c r="G293" s="8" t="n"/>
      <c r="H293" s="4">
        <f>IF(G293="","",G293-F293)</f>
        <v/>
      </c>
      <c r="I293" s="9" t="n">
        <v>7500</v>
      </c>
      <c r="J293" s="9">
        <f>IF(G293="","",H293*I293)</f>
        <v/>
      </c>
      <c r="K293" s="8" t="inlineStr"/>
      <c r="L293" s="8" t="inlineStr"/>
      <c r="M293" s="10" t="inlineStr"/>
    </row>
    <row r="294">
      <c r="A294" s="4" t="n">
        <v>290</v>
      </c>
      <c r="B294" s="6" t="inlineStr">
        <is>
          <t>Склад 2</t>
        </is>
      </c>
      <c r="C294" s="4" t="inlineStr">
        <is>
          <t>Клапан штуцерный угловой Ду10 Ру100</t>
        </is>
      </c>
      <c r="D294" s="5" t="inlineStr">
        <is>
          <t>Клапан штуцерный угловой Ду32Ру100 (Яшик мет.)</t>
        </is>
      </c>
      <c r="E294" s="4" t="inlineStr">
        <is>
          <t>521-01.468-07</t>
        </is>
      </c>
      <c r="F294" s="4" t="n">
        <v>31</v>
      </c>
      <c r="G294" s="8" t="n"/>
      <c r="H294" s="4">
        <f>IF(G294="","",G294-F294)</f>
        <v/>
      </c>
      <c r="I294" s="9" t="n">
        <v>9600</v>
      </c>
      <c r="J294" s="9">
        <f>IF(G294="","",H294*I294)</f>
        <v/>
      </c>
      <c r="K294" s="8" t="inlineStr"/>
      <c r="L294" s="8" t="inlineStr"/>
      <c r="M294" s="10" t="inlineStr"/>
    </row>
    <row r="295">
      <c r="A295" s="4" t="n">
        <v>291</v>
      </c>
      <c r="B295" s="6" t="inlineStr">
        <is>
          <t>Склад 2</t>
        </is>
      </c>
      <c r="C295" s="4" t="inlineStr">
        <is>
          <t>Клапан штуцерный угловой Ду10 Ру100</t>
        </is>
      </c>
      <c r="D295" s="5" t="inlineStr">
        <is>
          <t>Клапан штуцерный угловой Ду32Ру100 (Яшик мет.)</t>
        </is>
      </c>
      <c r="E295" s="4" t="inlineStr">
        <is>
          <t>521-01.464-07</t>
        </is>
      </c>
      <c r="F295" s="4" t="n">
        <v>14</v>
      </c>
      <c r="G295" s="8" t="n"/>
      <c r="H295" s="4">
        <f>IF(G295="","",G295-F295)</f>
        <v/>
      </c>
      <c r="I295" s="9" t="n">
        <v>9600</v>
      </c>
      <c r="J295" s="9">
        <f>IF(G295="","",H295*I295)</f>
        <v/>
      </c>
      <c r="K295" s="8" t="inlineStr"/>
      <c r="L295" s="8" t="inlineStr"/>
      <c r="M295" s="10" t="inlineStr"/>
    </row>
    <row r="296">
      <c r="A296" s="4" t="n">
        <v>292</v>
      </c>
      <c r="B296" s="6" t="inlineStr">
        <is>
          <t>Склад 2</t>
        </is>
      </c>
      <c r="C296" s="4" t="inlineStr">
        <is>
          <t>Клапан штуцерный угловой Ду10 Ру100</t>
        </is>
      </c>
      <c r="D296" s="5" t="inlineStr">
        <is>
          <t>Клапан штуцерный угловой Ду32Ру100 (Яшик мет.)</t>
        </is>
      </c>
      <c r="E296" s="4" t="inlineStr">
        <is>
          <t>521-01.464-06</t>
        </is>
      </c>
      <c r="F296" s="4" t="n">
        <v>1</v>
      </c>
      <c r="G296" s="8" t="n"/>
      <c r="H296" s="4">
        <f>IF(G296="","",G296-F296)</f>
        <v/>
      </c>
      <c r="I296" s="9" t="n">
        <v>9600</v>
      </c>
      <c r="J296" s="9">
        <f>IF(G296="","",H296*I296)</f>
        <v/>
      </c>
      <c r="K296" s="8" t="inlineStr"/>
      <c r="L296" s="8" t="inlineStr"/>
      <c r="M296" s="10" t="inlineStr"/>
    </row>
    <row r="297">
      <c r="A297" s="4" t="n">
        <v>293</v>
      </c>
      <c r="B297" s="6" t="inlineStr">
        <is>
          <t>Склад 2</t>
        </is>
      </c>
      <c r="C297" s="4" t="inlineStr">
        <is>
          <t>Клапан штуцерный угловой Ду10 Ру100</t>
        </is>
      </c>
      <c r="D297" s="5" t="inlineStr">
        <is>
          <t>Клапан штуцерный угловой Ду32Ру100 (Яшик мет.)</t>
        </is>
      </c>
      <c r="E297" s="4" t="inlineStr">
        <is>
          <t>522-01.500-07</t>
        </is>
      </c>
      <c r="F297" s="4" t="n">
        <v>1</v>
      </c>
      <c r="G297" s="8" t="n"/>
      <c r="H297" s="4">
        <f>IF(G297="","",G297-F297)</f>
        <v/>
      </c>
      <c r="I297" s="9" t="n">
        <v>9600</v>
      </c>
      <c r="J297" s="9">
        <f>IF(G297="","",H297*I297)</f>
        <v/>
      </c>
      <c r="K297" s="8" t="inlineStr"/>
      <c r="L297" s="8" t="inlineStr"/>
      <c r="M297" s="10" t="inlineStr"/>
    </row>
    <row r="298">
      <c r="A298" s="4" t="n">
        <v>294</v>
      </c>
      <c r="B298" s="6" t="inlineStr">
        <is>
          <t>Склад 2</t>
        </is>
      </c>
      <c r="C298" s="4" t="inlineStr">
        <is>
          <t>Клапан штуцерный угловой Ду10 Ру100</t>
        </is>
      </c>
      <c r="D298" s="5" t="inlineStr">
        <is>
          <t>Клапан штуцерный угловой Рр150/10</t>
        </is>
      </c>
      <c r="E298" s="4" t="inlineStr">
        <is>
          <t>521-ц22п</t>
        </is>
      </c>
      <c r="F298" s="4" t="n">
        <v>8</v>
      </c>
      <c r="G298" s="8" t="n"/>
      <c r="H298" s="4">
        <f>IF(G298="","",G298-F298)</f>
        <v/>
      </c>
      <c r="I298" s="9" t="n">
        <v>4000</v>
      </c>
      <c r="J298" s="9">
        <f>IF(G298="","",H298*I298)</f>
        <v/>
      </c>
      <c r="K298" s="8" t="inlineStr"/>
      <c r="L298" s="8" t="inlineStr"/>
      <c r="M298" s="10" t="inlineStr"/>
    </row>
    <row r="299">
      <c r="A299" s="4" t="n">
        <v>295</v>
      </c>
      <c r="B299" s="6" t="inlineStr">
        <is>
          <t>Склад 2</t>
        </is>
      </c>
      <c r="C299" s="4" t="inlineStr">
        <is>
          <t>Клапана быстрозапорн.фланцевые проходные</t>
        </is>
      </c>
      <c r="D299" s="5" t="inlineStr">
        <is>
          <t>Клапан быстрозапор. фланц.проход.с тросиков.приводом Ду65 Ру6,3</t>
        </is>
      </c>
      <c r="E299" s="4" t="inlineStr">
        <is>
          <t>521-03-022</t>
        </is>
      </c>
      <c r="F299" s="4" t="n">
        <v>1</v>
      </c>
      <c r="G299" s="8" t="n"/>
      <c r="H299" s="4">
        <f>IF(G299="","",G299-F299)</f>
        <v/>
      </c>
      <c r="I299" s="9" t="n">
        <v>35000</v>
      </c>
      <c r="J299" s="9">
        <f>IF(G299="","",H299*I299)</f>
        <v/>
      </c>
      <c r="K299" s="8" t="inlineStr"/>
      <c r="L299" s="8" t="inlineStr"/>
      <c r="M299" s="10" t="inlineStr"/>
    </row>
    <row r="300">
      <c r="A300" s="4" t="n">
        <v>296</v>
      </c>
      <c r="B300" s="6" t="inlineStr">
        <is>
          <t>Склад 2</t>
        </is>
      </c>
      <c r="C300" s="4" t="inlineStr">
        <is>
          <t>Клапана быстрозапорн.фланцевые проходные</t>
        </is>
      </c>
      <c r="D300" s="5" t="inlineStr">
        <is>
          <t>Клапан быстрозапор. фланц.проход.с тросиков.приводом Ду70 Ру6,3</t>
        </is>
      </c>
      <c r="E300" s="4" t="inlineStr">
        <is>
          <t>БЕЗ ЧЕРТЕЖА</t>
        </is>
      </c>
      <c r="F300" s="4" t="n">
        <v>3</v>
      </c>
      <c r="G300" s="8" t="n"/>
      <c r="H300" s="4">
        <f>IF(G300="","",G300-F300)</f>
        <v/>
      </c>
      <c r="I300" s="9" t="n">
        <v>40000</v>
      </c>
      <c r="J300" s="9">
        <f>IF(G300="","",H300*I300)</f>
        <v/>
      </c>
      <c r="K300" s="8" t="inlineStr"/>
      <c r="L300" s="8" t="inlineStr"/>
      <c r="M300" s="10" t="inlineStr"/>
    </row>
    <row r="301">
      <c r="A301" s="4" t="n">
        <v>297</v>
      </c>
      <c r="B301" s="6" t="inlineStr">
        <is>
          <t>Склад 2</t>
        </is>
      </c>
      <c r="C301" s="4" t="inlineStr">
        <is>
          <t>Клапана быстрозапорн.фланцевые проходные</t>
        </is>
      </c>
      <c r="D301" s="5" t="inlineStr">
        <is>
          <t>Клапан быстрозапор. фланц.проход.с тросиков.приводом Ду80 Ру6,3</t>
        </is>
      </c>
      <c r="E301" s="4" t="inlineStr">
        <is>
          <t>521-03.023</t>
        </is>
      </c>
      <c r="F301" s="4" t="n">
        <v>2</v>
      </c>
      <c r="G301" s="8" t="n"/>
      <c r="H301" s="4">
        <f>IF(G301="","",G301-F301)</f>
        <v/>
      </c>
      <c r="I301" s="9" t="n">
        <v>45000</v>
      </c>
      <c r="J301" s="9">
        <f>IF(G301="","",H301*I301)</f>
        <v/>
      </c>
      <c r="K301" s="8" t="inlineStr"/>
      <c r="L301" s="8" t="inlineStr"/>
      <c r="M301" s="10" t="inlineStr"/>
    </row>
    <row r="302">
      <c r="A302" s="4" t="n">
        <v>298</v>
      </c>
      <c r="B302" s="6" t="inlineStr">
        <is>
          <t>Склад 2</t>
        </is>
      </c>
      <c r="C302" s="4" t="inlineStr">
        <is>
          <t>Клапана фланцевые проходные титановые</t>
        </is>
      </c>
      <c r="D302" s="5" t="inlineStr">
        <is>
          <t>Клапан фланцевый проходной титановые Ду100Ру10</t>
        </is>
      </c>
      <c r="E302" s="4" t="inlineStr">
        <is>
          <t>521-182.116</t>
        </is>
      </c>
      <c r="F302" s="4" t="n">
        <v>1</v>
      </c>
      <c r="G302" s="8" t="n"/>
      <c r="H302" s="4">
        <f>IF(G302="","",G302-F302)</f>
        <v/>
      </c>
      <c r="I302" s="9" t="n"/>
      <c r="J302" s="9">
        <f>IF(G302="","",H302*I302)</f>
        <v/>
      </c>
      <c r="K302" s="8" t="inlineStr"/>
      <c r="L302" s="8" t="inlineStr"/>
      <c r="M302" s="10" t="inlineStr"/>
    </row>
    <row r="303">
      <c r="A303" s="4" t="n">
        <v>299</v>
      </c>
      <c r="B303" s="6" t="inlineStr">
        <is>
          <t>Склад 2</t>
        </is>
      </c>
      <c r="C303" s="4" t="inlineStr">
        <is>
          <t>Клапана фланцевые проходные титановые</t>
        </is>
      </c>
      <c r="D303" s="5" t="inlineStr">
        <is>
          <t>Клапан фланцевый проходной титановые Ду50Ру10</t>
        </is>
      </c>
      <c r="E303" s="4" t="inlineStr">
        <is>
          <t>521-182.110</t>
        </is>
      </c>
      <c r="F303" s="4" t="n">
        <v>5</v>
      </c>
      <c r="G303" s="8" t="n"/>
      <c r="H303" s="4">
        <f>IF(G303="","",G303-F303)</f>
        <v/>
      </c>
      <c r="I303" s="9" t="n"/>
      <c r="J303" s="9">
        <f>IF(G303="","",H303*I303)</f>
        <v/>
      </c>
      <c r="K303" s="8" t="inlineStr"/>
      <c r="L303" s="8" t="inlineStr"/>
      <c r="M303" s="10" t="inlineStr"/>
    </row>
    <row r="304">
      <c r="A304" s="4" t="n">
        <v>300</v>
      </c>
      <c r="B304" s="6" t="inlineStr">
        <is>
          <t>Склад 2</t>
        </is>
      </c>
      <c r="C304" s="4" t="inlineStr">
        <is>
          <t>Коробка 2-х клапановая фланцевая</t>
        </is>
      </c>
      <c r="D304" s="5" t="inlineStr">
        <is>
          <t>Коробка 2-х клапановая фланцевая Ду50</t>
        </is>
      </c>
      <c r="E304" s="4" t="inlineStr"/>
      <c r="F304" s="4" t="n">
        <v>2</v>
      </c>
      <c r="G304" s="8" t="n"/>
      <c r="H304" s="4">
        <f>IF(G304="","",G304-F304)</f>
        <v/>
      </c>
      <c r="I304" s="9" t="n"/>
      <c r="J304" s="9">
        <f>IF(G304="","",H304*I304)</f>
        <v/>
      </c>
      <c r="K304" s="8" t="inlineStr"/>
      <c r="L304" s="8" t="inlineStr"/>
      <c r="M304" s="10" t="inlineStr"/>
    </row>
    <row r="305">
      <c r="A305" s="4" t="n">
        <v>301</v>
      </c>
      <c r="B305" s="6" t="inlineStr">
        <is>
          <t>Склад 2</t>
        </is>
      </c>
      <c r="C305" s="4" t="inlineStr">
        <is>
          <t>Коробка 2-х клапановая фланцевая</t>
        </is>
      </c>
      <c r="D305" s="5" t="inlineStr">
        <is>
          <t>Коробка 2-х клапановая фланцевая Ду80</t>
        </is>
      </c>
      <c r="E305" s="4" t="inlineStr"/>
      <c r="F305" s="4" t="n">
        <v>13</v>
      </c>
      <c r="G305" s="8" t="n"/>
      <c r="H305" s="4">
        <f>IF(G305="","",G305-F305)</f>
        <v/>
      </c>
      <c r="I305" s="9" t="n"/>
      <c r="J305" s="9">
        <f>IF(G305="","",H305*I305)</f>
        <v/>
      </c>
      <c r="K305" s="8" t="inlineStr"/>
      <c r="L305" s="8" t="inlineStr"/>
      <c r="M305" s="10" t="inlineStr"/>
    </row>
    <row r="306">
      <c r="A306" s="4" t="n">
        <v>302</v>
      </c>
      <c r="B306" s="6" t="inlineStr">
        <is>
          <t>Склад 2</t>
        </is>
      </c>
      <c r="C306" s="4" t="inlineStr">
        <is>
          <t>Коробка 3-х клапановая фланцевая невозврат.</t>
        </is>
      </c>
      <c r="D306" s="5" t="inlineStr">
        <is>
          <t>Коробка 3-х клап.фланцевая Ду100</t>
        </is>
      </c>
      <c r="E306" s="4" t="inlineStr"/>
      <c r="F306" s="4" t="n">
        <v>1</v>
      </c>
      <c r="G306" s="8" t="n"/>
      <c r="H306" s="4">
        <f>IF(G306="","",G306-F306)</f>
        <v/>
      </c>
      <c r="I306" s="9" t="n"/>
      <c r="J306" s="9">
        <f>IF(G306="","",H306*I306)</f>
        <v/>
      </c>
      <c r="K306" s="8" t="inlineStr"/>
      <c r="L306" s="8" t="inlineStr"/>
      <c r="M306" s="10" t="inlineStr"/>
    </row>
    <row r="307">
      <c r="A307" s="4" t="n">
        <v>303</v>
      </c>
      <c r="B307" s="6" t="inlineStr">
        <is>
          <t>Склад 2</t>
        </is>
      </c>
      <c r="C307" s="4" t="inlineStr">
        <is>
          <t>Коробка 3-х клапановая фланцевая невозврат.</t>
        </is>
      </c>
      <c r="D307" s="5" t="inlineStr">
        <is>
          <t>Коробка 3-х клап.фланцевая Ду50</t>
        </is>
      </c>
      <c r="E307" s="4" t="inlineStr"/>
      <c r="F307" s="4" t="n">
        <v>3</v>
      </c>
      <c r="G307" s="8" t="n"/>
      <c r="H307" s="4">
        <f>IF(G307="","",G307-F307)</f>
        <v/>
      </c>
      <c r="I307" s="9" t="n"/>
      <c r="J307" s="9">
        <f>IF(G307="","",H307*I307)</f>
        <v/>
      </c>
      <c r="K307" s="8" t="inlineStr"/>
      <c r="L307" s="8" t="inlineStr"/>
      <c r="M307" s="10" t="inlineStr"/>
    </row>
    <row r="308">
      <c r="A308" s="4" t="n">
        <v>304</v>
      </c>
      <c r="B308" s="6" t="inlineStr">
        <is>
          <t>Склад 2</t>
        </is>
      </c>
      <c r="C308" s="4" t="inlineStr">
        <is>
          <t>Коробка 3-х клапановая фланцевая невозврат.</t>
        </is>
      </c>
      <c r="D308" s="5" t="inlineStr">
        <is>
          <t>Коробка 3-х клап.фланцевая Ду80</t>
        </is>
      </c>
      <c r="E308" s="4" t="inlineStr"/>
      <c r="F308" s="4" t="n">
        <v>8</v>
      </c>
      <c r="G308" s="8" t="n"/>
      <c r="H308" s="4">
        <f>IF(G308="","",G308-F308)</f>
        <v/>
      </c>
      <c r="I308" s="9" t="n"/>
      <c r="J308" s="9">
        <f>IF(G308="","",H308*I308)</f>
        <v/>
      </c>
      <c r="K308" s="8" t="inlineStr"/>
      <c r="L308" s="8" t="inlineStr"/>
      <c r="M308" s="10" t="inlineStr"/>
    </row>
    <row r="309">
      <c r="A309" s="4" t="n">
        <v>305</v>
      </c>
      <c r="B309" s="6" t="inlineStr">
        <is>
          <t>Склад 2</t>
        </is>
      </c>
      <c r="C309" s="4" t="inlineStr">
        <is>
          <t>Кран двухходовой фланцевый</t>
        </is>
      </c>
      <c r="D309" s="5" t="inlineStr">
        <is>
          <t>Кран двухходовой фланцевый Ду32 Ру6</t>
        </is>
      </c>
      <c r="E309" s="4" t="inlineStr">
        <is>
          <t>536-3М.72</t>
        </is>
      </c>
      <c r="F309" s="4" t="n">
        <v>1</v>
      </c>
      <c r="G309" s="8" t="n"/>
      <c r="H309" s="4">
        <f>IF(G309="","",G309-F309)</f>
        <v/>
      </c>
      <c r="I309" s="9" t="n">
        <v>9600</v>
      </c>
      <c r="J309" s="9">
        <f>IF(G309="","",H309*I309)</f>
        <v/>
      </c>
      <c r="K309" s="8" t="inlineStr"/>
      <c r="L309" s="8" t="inlineStr"/>
      <c r="M309" s="10" t="inlineStr"/>
    </row>
    <row r="310">
      <c r="A310" s="4" t="n">
        <v>306</v>
      </c>
      <c r="B310" s="6" t="inlineStr">
        <is>
          <t>Склад 2</t>
        </is>
      </c>
      <c r="C310" s="4" t="inlineStr">
        <is>
          <t>Кран двухходовой штуцерный</t>
        </is>
      </c>
      <c r="D310" s="5" t="inlineStr">
        <is>
          <t>Кран двухходовой штуцерный Ду20 Ру16</t>
        </is>
      </c>
      <c r="E310" s="4" t="inlineStr">
        <is>
          <t>536-3М5</t>
        </is>
      </c>
      <c r="F310" s="4" t="n">
        <v>3</v>
      </c>
      <c r="G310" s="8" t="n"/>
      <c r="H310" s="4">
        <f>IF(G310="","",G310-F310)</f>
        <v/>
      </c>
      <c r="I310" s="9" t="n">
        <v>4000</v>
      </c>
      <c r="J310" s="9">
        <f>IF(G310="","",H310*I310)</f>
        <v/>
      </c>
      <c r="K310" s="8" t="inlineStr"/>
      <c r="L310" s="8" t="inlineStr"/>
      <c r="M310" s="10" t="inlineStr"/>
    </row>
    <row r="311">
      <c r="A311" s="4" t="n">
        <v>307</v>
      </c>
      <c r="B311" s="6" t="inlineStr">
        <is>
          <t>Склад 2</t>
        </is>
      </c>
      <c r="C311" s="4" t="inlineStr">
        <is>
          <t>Кран трехходовой штуцерный</t>
        </is>
      </c>
      <c r="D311" s="5" t="inlineStr">
        <is>
          <t>Кран трехходовой штуцерный Ду20 Ру16</t>
        </is>
      </c>
      <c r="E311" s="4" t="inlineStr">
        <is>
          <t>536-35.695</t>
        </is>
      </c>
      <c r="F311" s="4" t="n">
        <v>7</v>
      </c>
      <c r="G311" s="8" t="n"/>
      <c r="H311" s="4">
        <f>IF(G311="","",G311-F311)</f>
        <v/>
      </c>
      <c r="I311" s="9" t="n">
        <v>9000</v>
      </c>
      <c r="J311" s="9">
        <f>IF(G311="","",H311*I311)</f>
        <v/>
      </c>
      <c r="K311" s="8" t="inlineStr"/>
      <c r="L311" s="8" t="inlineStr"/>
      <c r="M311" s="10" t="inlineStr"/>
    </row>
    <row r="312">
      <c r="A312" s="4" t="n">
        <v>308</v>
      </c>
      <c r="B312" s="6" t="inlineStr">
        <is>
          <t>Склад 2</t>
        </is>
      </c>
      <c r="C312" s="4" t="inlineStr">
        <is>
          <t>Кран трехходовой штуцерный</t>
        </is>
      </c>
      <c r="D312" s="5" t="inlineStr">
        <is>
          <t>Кран трехходовой штуцерный Ду32 Ру10</t>
        </is>
      </c>
      <c r="E312" s="4" t="inlineStr">
        <is>
          <t>536-35.696</t>
        </is>
      </c>
      <c r="F312" s="4" t="n">
        <v>2</v>
      </c>
      <c r="G312" s="8" t="n"/>
      <c r="H312" s="4">
        <f>IF(G312="","",G312-F312)</f>
        <v/>
      </c>
      <c r="I312" s="9" t="n">
        <v>14400</v>
      </c>
      <c r="J312" s="9">
        <f>IF(G312="","",H312*I312)</f>
        <v/>
      </c>
      <c r="K312" s="8" t="inlineStr"/>
      <c r="L312" s="8" t="inlineStr"/>
      <c r="M312" s="10" t="inlineStr"/>
    </row>
    <row r="313">
      <c r="A313" s="4" t="n">
        <v>309</v>
      </c>
      <c r="B313" s="6" t="inlineStr">
        <is>
          <t>Склад 2</t>
        </is>
      </c>
      <c r="C313" s="4" t="inlineStr">
        <is>
          <t>Кран штуцерный спусковой самозапорный проходной</t>
        </is>
      </c>
      <c r="D313" s="5" t="inlineStr">
        <is>
          <t>Кран штуцерный спусковой самозапорный проходной Ду15 Ру25</t>
        </is>
      </c>
      <c r="E313" s="4" t="inlineStr"/>
      <c r="F313" s="4" t="n">
        <v>4</v>
      </c>
      <c r="G313" s="8" t="n"/>
      <c r="H313" s="4">
        <f>IF(G313="","",G313-F313)</f>
        <v/>
      </c>
      <c r="I313" s="9" t="n">
        <v>7500</v>
      </c>
      <c r="J313" s="9">
        <f>IF(G313="","",H313*I313)</f>
        <v/>
      </c>
      <c r="K313" s="8" t="inlineStr"/>
      <c r="L313" s="8" t="inlineStr"/>
      <c r="M313" s="10" t="inlineStr"/>
    </row>
    <row r="314">
      <c r="A314" s="4" t="n">
        <v>310</v>
      </c>
      <c r="B314" s="6" t="inlineStr">
        <is>
          <t>Склад 2</t>
        </is>
      </c>
      <c r="C314" s="4" t="inlineStr">
        <is>
          <t>Кран штуцерный спусковой самозапорный проходной</t>
        </is>
      </c>
      <c r="D314" s="5" t="inlineStr">
        <is>
          <t>Кран штуцерный спусковой самозапорный проходной Ду20 Ру10</t>
        </is>
      </c>
      <c r="E314" s="4" t="inlineStr">
        <is>
          <t>528-3М129</t>
        </is>
      </c>
      <c r="F314" s="4" t="n">
        <v>36</v>
      </c>
      <c r="G314" s="8" t="n"/>
      <c r="H314" s="4">
        <f>IF(G314="","",G314-F314)</f>
        <v/>
      </c>
      <c r="I314" s="9" t="n">
        <v>9000</v>
      </c>
      <c r="J314" s="9">
        <f>IF(G314="","",H314*I314)</f>
        <v/>
      </c>
      <c r="K314" s="8" t="inlineStr"/>
      <c r="L314" s="8" t="inlineStr"/>
      <c r="M314" s="10" t="inlineStr"/>
    </row>
    <row r="315">
      <c r="A315" s="4" t="n">
        <v>311</v>
      </c>
      <c r="B315" s="6" t="inlineStr">
        <is>
          <t>Склад 2</t>
        </is>
      </c>
      <c r="C315" s="4" t="inlineStr">
        <is>
          <t>Насосы</t>
        </is>
      </c>
      <c r="D315" s="5" t="inlineStr">
        <is>
          <t>Насос пресновод.д/осушения танков 4390/4-588-001</t>
        </is>
      </c>
      <c r="E315" s="4" t="inlineStr"/>
      <c r="F315" s="4" t="n">
        <v>1</v>
      </c>
      <c r="G315" s="8" t="n"/>
      <c r="H315" s="4">
        <f>IF(G315="","",G315-F315)</f>
        <v/>
      </c>
      <c r="I315" s="9" t="n">
        <v>100000</v>
      </c>
      <c r="J315" s="9">
        <f>IF(G315="","",H315*I315)</f>
        <v/>
      </c>
      <c r="K315" s="8" t="inlineStr"/>
      <c r="L315" s="8" t="inlineStr"/>
      <c r="M315" s="10" t="inlineStr"/>
    </row>
    <row r="316">
      <c r="A316" s="4" t="n">
        <v>312</v>
      </c>
      <c r="B316" s="6" t="inlineStr">
        <is>
          <t>Склад 2</t>
        </is>
      </c>
      <c r="C316" s="4" t="inlineStr">
        <is>
          <t>Прочее</t>
        </is>
      </c>
      <c r="D316" s="5" t="inlineStr">
        <is>
          <t>Сетка на фильтр Ду100 (медь) на кингстон РС-300</t>
        </is>
      </c>
      <c r="E316" s="4" t="inlineStr"/>
      <c r="F316" s="4" t="n">
        <v>2</v>
      </c>
      <c r="G316" s="8" t="n"/>
      <c r="H316" s="4">
        <f>IF(G316="","",G316-F316)</f>
        <v/>
      </c>
      <c r="I316" s="9" t="n">
        <v>10000</v>
      </c>
      <c r="J316" s="9">
        <f>IF(G316="","",H316*I316)</f>
        <v/>
      </c>
      <c r="K316" s="8" t="inlineStr"/>
      <c r="L316" s="8" t="inlineStr"/>
      <c r="M316" s="10" t="inlineStr"/>
    </row>
    <row r="317">
      <c r="A317" s="4" t="n">
        <v>313</v>
      </c>
      <c r="B317" s="6" t="inlineStr">
        <is>
          <t>Склад 2</t>
        </is>
      </c>
      <c r="C317" s="4" t="inlineStr">
        <is>
          <t>Прочее</t>
        </is>
      </c>
      <c r="D317" s="5" t="inlineStr">
        <is>
          <t>Сетка на фильтр Ду100 или Ду80</t>
        </is>
      </c>
      <c r="E317" s="4" t="inlineStr"/>
      <c r="F317" s="4" t="n">
        <v>2</v>
      </c>
      <c r="G317" s="8" t="n"/>
      <c r="H317" s="4">
        <f>IF(G317="","",G317-F317)</f>
        <v/>
      </c>
      <c r="I317" s="9" t="n">
        <v>10000</v>
      </c>
      <c r="J317" s="9">
        <f>IF(G317="","",H317*I317)</f>
        <v/>
      </c>
      <c r="K317" s="8" t="inlineStr"/>
      <c r="L317" s="8" t="inlineStr"/>
      <c r="M317" s="10" t="inlineStr"/>
    </row>
    <row r="318">
      <c r="A318" s="4" t="n">
        <v>314</v>
      </c>
      <c r="B318" s="6" t="inlineStr">
        <is>
          <t>Склад 2</t>
        </is>
      </c>
      <c r="C318" s="4" t="inlineStr">
        <is>
          <t>Прочее</t>
        </is>
      </c>
      <c r="D318" s="5" t="inlineStr">
        <is>
          <t>Сетка на фильтр Ду20 маленькая</t>
        </is>
      </c>
      <c r="E318" s="4" t="inlineStr"/>
      <c r="F318" s="4" t="n">
        <v>1</v>
      </c>
      <c r="G318" s="8" t="n"/>
      <c r="H318" s="4">
        <f>IF(G318="","",G318-F318)</f>
        <v/>
      </c>
      <c r="I318" s="9" t="n">
        <v>3000</v>
      </c>
      <c r="J318" s="9">
        <f>IF(G318="","",H318*I318)</f>
        <v/>
      </c>
      <c r="K318" s="8" t="inlineStr"/>
      <c r="L318" s="8" t="inlineStr"/>
      <c r="M318" s="10" t="inlineStr"/>
    </row>
    <row r="319">
      <c r="A319" s="4" t="n">
        <v>315</v>
      </c>
      <c r="B319" s="6" t="inlineStr">
        <is>
          <t>Склад 2</t>
        </is>
      </c>
      <c r="C319" s="4" t="inlineStr">
        <is>
          <t>Регулятор РТНД</t>
        </is>
      </c>
      <c r="D319" s="5" t="inlineStr">
        <is>
          <t>Регулятор РТНД-150</t>
        </is>
      </c>
      <c r="E319" s="4" t="inlineStr"/>
      <c r="F319" s="4" t="n">
        <v>3</v>
      </c>
      <c r="G319" s="8" t="n"/>
      <c r="H319" s="4">
        <f>IF(G319="","",G319-F319)</f>
        <v/>
      </c>
      <c r="I319" s="9" t="n">
        <v>1150000</v>
      </c>
      <c r="J319" s="9">
        <f>IF(G319="","",H319*I319)</f>
        <v/>
      </c>
      <c r="K319" s="8" t="inlineStr"/>
      <c r="L319" s="8" t="inlineStr"/>
      <c r="M319" s="10" t="inlineStr"/>
    </row>
    <row r="320">
      <c r="A320" s="4" t="n">
        <v>316</v>
      </c>
      <c r="B320" s="6" t="inlineStr">
        <is>
          <t>Склад 2</t>
        </is>
      </c>
      <c r="C320" s="4" t="inlineStr">
        <is>
          <t>Стакан переборочный</t>
        </is>
      </c>
      <c r="D320" s="5" t="inlineStr">
        <is>
          <t>Стакан переборочный Ду10Ру100</t>
        </is>
      </c>
      <c r="E320" s="4" t="inlineStr">
        <is>
          <t>554-35.265</t>
        </is>
      </c>
      <c r="F320" s="4" t="n">
        <v>5</v>
      </c>
      <c r="G320" s="8" t="n"/>
      <c r="H320" s="4">
        <f>IF(G320="","",G320-F320)</f>
        <v/>
      </c>
      <c r="I320" s="9" t="n"/>
      <c r="J320" s="9">
        <f>IF(G320="","",H320*I320)</f>
        <v/>
      </c>
      <c r="K320" s="8" t="inlineStr"/>
      <c r="L320" s="8" t="inlineStr"/>
      <c r="M320" s="10" t="inlineStr"/>
    </row>
    <row r="321">
      <c r="A321" s="4" t="n">
        <v>317</v>
      </c>
      <c r="B321" s="6" t="inlineStr">
        <is>
          <t>Склад 2</t>
        </is>
      </c>
      <c r="C321" s="4" t="inlineStr">
        <is>
          <t>Стакан переборочный</t>
        </is>
      </c>
      <c r="D321" s="5" t="inlineStr">
        <is>
          <t>Стакан переборочный Ду20Ру100</t>
        </is>
      </c>
      <c r="E321" s="4" t="inlineStr">
        <is>
          <t>554-03.909-03</t>
        </is>
      </c>
      <c r="F321" s="4" t="n">
        <v>3</v>
      </c>
      <c r="G321" s="8" t="n"/>
      <c r="H321" s="4">
        <f>IF(G321="","",G321-F321)</f>
        <v/>
      </c>
      <c r="I321" s="9" t="n"/>
      <c r="J321" s="9">
        <f>IF(G321="","",H321*I321)</f>
        <v/>
      </c>
      <c r="K321" s="8" t="inlineStr"/>
      <c r="L321" s="8" t="inlineStr"/>
      <c r="M321" s="10" t="inlineStr"/>
    </row>
    <row r="322">
      <c r="A322" s="4" t="n">
        <v>318</v>
      </c>
      <c r="B322" s="6" t="inlineStr">
        <is>
          <t>Склад 2</t>
        </is>
      </c>
      <c r="C322" s="4" t="inlineStr">
        <is>
          <t>Стакан переборочный</t>
        </is>
      </c>
      <c r="D322" s="5" t="inlineStr">
        <is>
          <t>Стакан переборочный Ду20Ру100</t>
        </is>
      </c>
      <c r="E322" s="4" t="inlineStr">
        <is>
          <t>554-03.905-06</t>
        </is>
      </c>
      <c r="F322" s="4" t="n">
        <v>8</v>
      </c>
      <c r="G322" s="8" t="n"/>
      <c r="H322" s="4">
        <f>IF(G322="","",G322-F322)</f>
        <v/>
      </c>
      <c r="I322" s="9" t="n"/>
      <c r="J322" s="9">
        <f>IF(G322="","",H322*I322)</f>
        <v/>
      </c>
      <c r="K322" s="8" t="inlineStr"/>
      <c r="L322" s="8" t="inlineStr"/>
      <c r="M322" s="10" t="inlineStr"/>
    </row>
    <row r="323">
      <c r="A323" s="4" t="n">
        <v>319</v>
      </c>
      <c r="B323" s="6" t="inlineStr">
        <is>
          <t>Склад 2</t>
        </is>
      </c>
      <c r="C323" s="4" t="inlineStr">
        <is>
          <t>Стакан переборочный Ду20Ру100 (в ящике под полкой)</t>
        </is>
      </c>
      <c r="D323" s="5" t="inlineStr">
        <is>
          <t>Стакан переборочный Ду25Ру100</t>
        </is>
      </c>
      <c r="E323" s="4" t="inlineStr">
        <is>
          <t>554-35.156</t>
        </is>
      </c>
      <c r="F323" s="4" t="n">
        <v>2</v>
      </c>
      <c r="G323" s="8" t="n"/>
      <c r="H323" s="4">
        <f>IF(G323="","",G323-F323)</f>
        <v/>
      </c>
      <c r="I323" s="9" t="n"/>
      <c r="J323" s="9">
        <f>IF(G323="","",H323*I323)</f>
        <v/>
      </c>
      <c r="K323" s="8" t="inlineStr"/>
      <c r="L323" s="8" t="inlineStr"/>
      <c r="M323" s="10" t="inlineStr"/>
    </row>
    <row r="324">
      <c r="A324" s="4" t="n">
        <v>320</v>
      </c>
      <c r="B324" s="6" t="inlineStr">
        <is>
          <t>Склад 2</t>
        </is>
      </c>
      <c r="C324" s="4" t="inlineStr">
        <is>
          <t>Фильтр фланц.прох. забортной воды Ду80</t>
        </is>
      </c>
      <c r="D324" s="5" t="inlineStr">
        <is>
          <t>Фильтр фланц.прох. забортной воды Ду100 Ру4</t>
        </is>
      </c>
      <c r="E324" s="4" t="inlineStr">
        <is>
          <t>427-03-109-2</t>
        </is>
      </c>
      <c r="F324" s="4" t="n">
        <v>3</v>
      </c>
      <c r="G324" s="8" t="n"/>
      <c r="H324" s="4">
        <f>IF(G324="","",G324-F324)</f>
        <v/>
      </c>
      <c r="I324" s="9" t="n">
        <v>120000</v>
      </c>
      <c r="J324" s="9">
        <f>IF(G324="","",H324*I324)</f>
        <v/>
      </c>
      <c r="K324" s="8" t="inlineStr"/>
      <c r="L324" s="8" t="inlineStr"/>
      <c r="M324" s="10" t="inlineStr"/>
    </row>
    <row r="325">
      <c r="A325" s="4" t="n">
        <v>321</v>
      </c>
      <c r="B325" s="6" t="inlineStr">
        <is>
          <t>Склад 2</t>
        </is>
      </c>
      <c r="C325" s="4" t="inlineStr">
        <is>
          <t>Фланец приварной</t>
        </is>
      </c>
      <c r="D325" s="5" t="inlineStr">
        <is>
          <t>Фланец Ду65</t>
        </is>
      </c>
      <c r="E325" s="4" t="inlineStr"/>
      <c r="F325" s="4" t="n">
        <v>39</v>
      </c>
      <c r="G325" s="8" t="n"/>
      <c r="H325" s="4">
        <f>IF(G325="","",G325-F325)</f>
        <v/>
      </c>
      <c r="I325" s="9" t="n"/>
      <c r="J325" s="9">
        <f>IF(G325="","",H325*I325)</f>
        <v/>
      </c>
      <c r="K325" s="8" t="inlineStr"/>
      <c r="L325" s="8" t="inlineStr"/>
      <c r="M325" s="10" t="inlineStr"/>
    </row>
    <row r="326">
      <c r="A326" s="4" t="n">
        <v>322</v>
      </c>
      <c r="B326" s="6" t="inlineStr">
        <is>
          <t>Склад 2</t>
        </is>
      </c>
      <c r="C326" s="4" t="inlineStr">
        <is>
          <t>Фланец приварной</t>
        </is>
      </c>
      <c r="D326" s="5" t="inlineStr">
        <is>
          <t>Фланец свободный Ду80</t>
        </is>
      </c>
      <c r="E326" s="4" t="inlineStr">
        <is>
          <t>555-35.1755</t>
        </is>
      </c>
      <c r="F326" s="4" t="n">
        <v>12</v>
      </c>
      <c r="G326" s="8" t="n"/>
      <c r="H326" s="4">
        <f>IF(G326="","",G326-F326)</f>
        <v/>
      </c>
      <c r="I326" s="9" t="n"/>
      <c r="J326" s="9">
        <f>IF(G326="","",H326*I326)</f>
        <v/>
      </c>
      <c r="K326" s="8" t="inlineStr"/>
      <c r="L326" s="8" t="inlineStr"/>
      <c r="M326" s="10" t="inlineStr"/>
    </row>
    <row r="327">
      <c r="A327" s="4" t="n">
        <v>323</v>
      </c>
      <c r="B327" s="6" t="inlineStr">
        <is>
          <t>Склад 2</t>
        </is>
      </c>
      <c r="C327" s="4" t="inlineStr">
        <is>
          <t>ЭЛЕКТРИКА</t>
        </is>
      </c>
      <c r="D327" s="5" t="inlineStr">
        <is>
          <t>Контроллер (грузовая лебедка) большая б/у</t>
        </is>
      </c>
      <c r="E327" s="4" t="inlineStr">
        <is>
          <t>1</t>
        </is>
      </c>
      <c r="F327" s="4" t="n">
        <v>1</v>
      </c>
      <c r="G327" s="8" t="n"/>
      <c r="H327" s="4">
        <f>IF(G327="","",G327-F327)</f>
        <v/>
      </c>
      <c r="I327" s="9" t="n">
        <v>100000</v>
      </c>
      <c r="J327" s="9">
        <f>IF(G327="","",H327*I327)</f>
        <v/>
      </c>
      <c r="K327" s="8" t="inlineStr"/>
      <c r="L327" s="8" t="inlineStr"/>
      <c r="M327" s="10" t="inlineStr"/>
    </row>
    <row r="328">
      <c r="A328" s="4" t="n">
        <v>324</v>
      </c>
      <c r="B328" s="6" t="inlineStr">
        <is>
          <t>Склад 2</t>
        </is>
      </c>
      <c r="C328" s="4" t="inlineStr">
        <is>
          <t>ЭЛЕКТРИКА</t>
        </is>
      </c>
      <c r="D328" s="5" t="inlineStr">
        <is>
          <t>Контроллер КВ-00285(грузовая лебедка), б/у</t>
        </is>
      </c>
      <c r="E328" s="4" t="inlineStr">
        <is>
          <t>1</t>
        </is>
      </c>
      <c r="F328" s="4" t="n">
        <v>1</v>
      </c>
      <c r="G328" s="8" t="n"/>
      <c r="H328" s="4">
        <f>IF(G328="","",G328-F328)</f>
        <v/>
      </c>
      <c r="I328" s="9" t="n">
        <v>170500</v>
      </c>
      <c r="J328" s="9">
        <f>IF(G328="","",H328*I328)</f>
        <v/>
      </c>
      <c r="K328" s="8" t="inlineStr"/>
      <c r="L328" s="8" t="inlineStr"/>
      <c r="M328" s="10" t="inlineStr"/>
    </row>
    <row r="329">
      <c r="A329" s="4" t="n">
        <v>325</v>
      </c>
      <c r="B329" s="6" t="inlineStr">
        <is>
          <t>Склад 2</t>
        </is>
      </c>
      <c r="C329" s="4" t="inlineStr">
        <is>
          <t>ЭЛЕКТРИКА</t>
        </is>
      </c>
      <c r="D329" s="5" t="inlineStr">
        <is>
          <t>Контроллер КВ-00287(грузовая лебедка), б/у</t>
        </is>
      </c>
      <c r="E329" s="4" t="inlineStr">
        <is>
          <t>1</t>
        </is>
      </c>
      <c r="F329" s="4" t="n">
        <v>1</v>
      </c>
      <c r="G329" s="8" t="n"/>
      <c r="H329" s="4">
        <f>IF(G329="","",G329-F329)</f>
        <v/>
      </c>
      <c r="I329" s="9" t="n">
        <v>112000</v>
      </c>
      <c r="J329" s="9">
        <f>IF(G329="","",H329*I329)</f>
        <v/>
      </c>
      <c r="K329" s="8" t="inlineStr"/>
      <c r="L329" s="8" t="inlineStr"/>
      <c r="M329" s="10" t="inlineStr"/>
    </row>
    <row r="330">
      <c r="A330" s="4" t="n">
        <v>326</v>
      </c>
      <c r="B330" s="6" t="inlineStr">
        <is>
          <t>Склад 2</t>
        </is>
      </c>
      <c r="C330" s="4" t="inlineStr">
        <is>
          <t>ЭЛЕКТРИКА</t>
        </is>
      </c>
      <c r="D330" s="5" t="inlineStr">
        <is>
          <t>Контроллер КВ1831 для шпиля Ш-3</t>
        </is>
      </c>
      <c r="E330" s="4" t="inlineStr">
        <is>
          <t>1</t>
        </is>
      </c>
      <c r="F330" s="4" t="n">
        <v>1</v>
      </c>
      <c r="G330" s="8" t="n"/>
      <c r="H330" s="4">
        <f>IF(G330="","",G330-F330)</f>
        <v/>
      </c>
      <c r="I330" s="9" t="n">
        <v>140000</v>
      </c>
      <c r="J330" s="9">
        <f>IF(G330="","",H330*I330)</f>
        <v/>
      </c>
      <c r="K330" s="8" t="inlineStr"/>
      <c r="L330" s="8" t="inlineStr"/>
      <c r="M330" s="10" t="inlineStr"/>
    </row>
    <row r="331">
      <c r="A331" s="4" t="n">
        <v>327</v>
      </c>
      <c r="B331" s="6" t="inlineStr">
        <is>
          <t>Склад 2</t>
        </is>
      </c>
      <c r="C331" s="4" t="inlineStr">
        <is>
          <t>ЭЛЕКТРИКА</t>
        </is>
      </c>
      <c r="D331" s="5" t="inlineStr">
        <is>
          <t>Светильник СС-328 ДНО без армотизации</t>
        </is>
      </c>
      <c r="E331" s="4" t="inlineStr">
        <is>
          <t>21</t>
        </is>
      </c>
      <c r="F331" s="4" t="n">
        <v>21</v>
      </c>
      <c r="G331" s="8" t="n"/>
      <c r="H331" s="4">
        <f>IF(G331="","",G331-F331)</f>
        <v/>
      </c>
      <c r="I331" s="9" t="n">
        <v>500</v>
      </c>
      <c r="J331" s="9">
        <f>IF(G331="","",H331*I331)</f>
        <v/>
      </c>
      <c r="K331" s="8" t="inlineStr"/>
      <c r="L331" s="8" t="inlineStr"/>
      <c r="M331" s="10" t="inlineStr"/>
    </row>
    <row r="332">
      <c r="A332" s="4" t="n">
        <v>328</v>
      </c>
      <c r="B332" s="6" t="inlineStr">
        <is>
          <t>Склад 2</t>
        </is>
      </c>
      <c r="C332" s="4" t="inlineStr">
        <is>
          <t>ЭЛЕКТРИКА</t>
        </is>
      </c>
      <c r="D332" s="5" t="inlineStr">
        <is>
          <t>Светильник СС-328 ДНО с Армотизатором</t>
        </is>
      </c>
      <c r="E332" s="4" t="inlineStr">
        <is>
          <t>17</t>
        </is>
      </c>
      <c r="F332" s="4" t="n">
        <v>17</v>
      </c>
      <c r="G332" s="8" t="n"/>
      <c r="H332" s="4">
        <f>IF(G332="","",G332-F332)</f>
        <v/>
      </c>
      <c r="I332" s="9" t="n">
        <v>500</v>
      </c>
      <c r="J332" s="9">
        <f>IF(G332="","",H332*I332)</f>
        <v/>
      </c>
      <c r="K332" s="8" t="inlineStr"/>
      <c r="L332" s="8" t="inlineStr"/>
      <c r="M332" s="10" t="inlineStr"/>
    </row>
    <row r="333">
      <c r="A333" s="4" t="n">
        <v>329</v>
      </c>
      <c r="B333" s="6" t="inlineStr">
        <is>
          <t>Склад 2</t>
        </is>
      </c>
      <c r="C333" s="4" t="inlineStr">
        <is>
          <t>ЭЛЕКТРИКА</t>
        </is>
      </c>
      <c r="D333" s="5" t="inlineStr">
        <is>
          <t>Светильник СС-328 решетка</t>
        </is>
      </c>
      <c r="E333" s="4" t="inlineStr">
        <is>
          <t>38</t>
        </is>
      </c>
      <c r="F333" s="4" t="n">
        <v>38</v>
      </c>
      <c r="G333" s="8" t="n"/>
      <c r="H333" s="4">
        <f>IF(G333="","",G333-F333)</f>
        <v/>
      </c>
      <c r="I333" s="9" t="n">
        <v>800</v>
      </c>
      <c r="J333" s="9">
        <f>IF(G333="","",H333*I333)</f>
        <v/>
      </c>
      <c r="K333" s="8" t="inlineStr"/>
      <c r="L333" s="8" t="inlineStr"/>
      <c r="M333" s="10" t="inlineStr"/>
    </row>
    <row r="334">
      <c r="A334" s="4" t="n">
        <v>330</v>
      </c>
      <c r="B334" s="6" t="inlineStr">
        <is>
          <t>Склад 2</t>
        </is>
      </c>
      <c r="C334" s="4" t="inlineStr">
        <is>
          <t>ЭЛЕКТРИКА</t>
        </is>
      </c>
      <c r="D334" s="5" t="inlineStr">
        <is>
          <t>Светильник СС-373 в сборе</t>
        </is>
      </c>
      <c r="E334" s="4" t="inlineStr">
        <is>
          <t>2</t>
        </is>
      </c>
      <c r="F334" s="4" t="n">
        <v>2</v>
      </c>
      <c r="G334" s="8" t="n"/>
      <c r="H334" s="4">
        <f>IF(G334="","",G334-F334)</f>
        <v/>
      </c>
      <c r="I334" s="9" t="n">
        <v>4950</v>
      </c>
      <c r="J334" s="9">
        <f>IF(G334="","",H334*I334)</f>
        <v/>
      </c>
      <c r="K334" s="8" t="inlineStr"/>
      <c r="L334" s="8" t="inlineStr"/>
      <c r="M334" s="10" t="inlineStr"/>
    </row>
    <row r="335">
      <c r="A335" s="4" t="n">
        <v>331</v>
      </c>
      <c r="B335" s="6" t="inlineStr">
        <is>
          <t>Склад 2</t>
        </is>
      </c>
      <c r="C335" s="4" t="inlineStr">
        <is>
          <t>ЭЛЕКТРИКА</t>
        </is>
      </c>
      <c r="D335" s="5" t="inlineStr">
        <is>
          <t>Светильник СС328 (Эра комсом-на-амуре)</t>
        </is>
      </c>
      <c r="E335" s="4" t="inlineStr">
        <is>
          <t>4</t>
        </is>
      </c>
      <c r="F335" s="4" t="n">
        <v>4</v>
      </c>
      <c r="G335" s="8" t="n"/>
      <c r="H335" s="4">
        <f>IF(G335="","",G335-F335)</f>
        <v/>
      </c>
      <c r="I335" s="9" t="n">
        <v>4000</v>
      </c>
      <c r="J335" s="9">
        <f>IF(G335="","",H335*I335)</f>
        <v/>
      </c>
      <c r="K335" s="8" t="inlineStr"/>
      <c r="L335" s="8" t="inlineStr"/>
      <c r="M335" s="10" t="inlineStr"/>
    </row>
    <row r="336">
      <c r="A336" s="4" t="n">
        <v>332</v>
      </c>
      <c r="B336" s="6" t="inlineStr">
        <is>
          <t>Склад 2</t>
        </is>
      </c>
      <c r="C336" s="4" t="inlineStr">
        <is>
          <t>ЭЛЕКТРИКА</t>
        </is>
      </c>
      <c r="D336" s="5" t="inlineStr">
        <is>
          <t>Светильник СС328 (дно)Украина приход 31.01.14</t>
        </is>
      </c>
      <c r="E336" s="4" t="inlineStr">
        <is>
          <t>23</t>
        </is>
      </c>
      <c r="F336" s="4" t="n">
        <v>23</v>
      </c>
      <c r="G336" s="8" t="n"/>
      <c r="H336" s="4">
        <f>IF(G336="","",G336-F336)</f>
        <v/>
      </c>
      <c r="I336" s="9" t="n">
        <v>500</v>
      </c>
      <c r="J336" s="9">
        <f>IF(G336="","",H336*I336)</f>
        <v/>
      </c>
      <c r="K336" s="8" t="inlineStr"/>
      <c r="L336" s="8" t="inlineStr"/>
      <c r="M336" s="10" t="inlineStr"/>
    </row>
    <row r="337">
      <c r="A337" s="4" t="n">
        <v>333</v>
      </c>
      <c r="B337" s="6" t="inlineStr">
        <is>
          <t>Склад 2</t>
        </is>
      </c>
      <c r="C337" s="4" t="inlineStr">
        <is>
          <t>ЭЛЕКТРИКА</t>
        </is>
      </c>
      <c r="D337" s="5" t="inlineStr">
        <is>
          <t>Светильник СС328 (китай)</t>
        </is>
      </c>
      <c r="E337" s="4" t="inlineStr">
        <is>
          <t>10</t>
        </is>
      </c>
      <c r="F337" s="4" t="n">
        <v>10</v>
      </c>
      <c r="G337" s="8" t="n"/>
      <c r="H337" s="4">
        <f>IF(G337="","",G337-F337)</f>
        <v/>
      </c>
      <c r="I337" s="9" t="n">
        <v>1533</v>
      </c>
      <c r="J337" s="9">
        <f>IF(G337="","",H337*I337)</f>
        <v/>
      </c>
      <c r="K337" s="8" t="inlineStr"/>
      <c r="L337" s="8" t="inlineStr"/>
      <c r="M337" s="10" t="inlineStr"/>
    </row>
    <row r="338">
      <c r="A338" s="4" t="n">
        <v>334</v>
      </c>
      <c r="B338" s="6" t="inlineStr">
        <is>
          <t>Склад 2</t>
        </is>
      </c>
      <c r="C338" s="4" t="inlineStr">
        <is>
          <t>ЭЛЕКТРИКА</t>
        </is>
      </c>
      <c r="D338" s="5" t="inlineStr">
        <is>
          <t>Светильник СС373 (дно)</t>
        </is>
      </c>
      <c r="E338" s="4" t="inlineStr">
        <is>
          <t>3</t>
        </is>
      </c>
      <c r="F338" s="4" t="n">
        <v>3</v>
      </c>
      <c r="G338" s="8" t="n"/>
      <c r="H338" s="4">
        <f>IF(G338="","",G338-F338)</f>
        <v/>
      </c>
      <c r="I338" s="9" t="n">
        <v>1500</v>
      </c>
      <c r="J338" s="9">
        <f>IF(G338="","",H338*I338)</f>
        <v/>
      </c>
      <c r="K338" s="8" t="inlineStr"/>
      <c r="L338" s="8" t="inlineStr"/>
      <c r="M338" s="10" t="inlineStr"/>
    </row>
    <row r="339">
      <c r="A339" s="4" t="n">
        <v>335</v>
      </c>
      <c r="B339" s="6" t="inlineStr">
        <is>
          <t>Склад 2</t>
        </is>
      </c>
      <c r="C339" s="4" t="inlineStr">
        <is>
          <t>ЭЛЕКТРИКА</t>
        </is>
      </c>
      <c r="D339" s="5" t="inlineStr">
        <is>
          <t>Светильник СС373 (решетка)</t>
        </is>
      </c>
      <c r="E339" s="4" t="inlineStr">
        <is>
          <t>8</t>
        </is>
      </c>
      <c r="F339" s="4" t="n">
        <v>8</v>
      </c>
      <c r="G339" s="8" t="n"/>
      <c r="H339" s="4">
        <f>IF(G339="","",G339-F339)</f>
        <v/>
      </c>
      <c r="I339" s="9" t="n">
        <v>1632</v>
      </c>
      <c r="J339" s="9">
        <f>IF(G339="","",H339*I339)</f>
        <v/>
      </c>
      <c r="K339" s="8" t="inlineStr"/>
      <c r="L339" s="8" t="inlineStr"/>
      <c r="M339" s="10" t="inlineStr"/>
    </row>
    <row r="340">
      <c r="A340" s="4" t="n">
        <v>336</v>
      </c>
      <c r="B340" s="6" t="inlineStr">
        <is>
          <t>Склад 2</t>
        </is>
      </c>
      <c r="C340" s="4" t="inlineStr">
        <is>
          <t>ЭЛЕКТРИКА</t>
        </is>
      </c>
      <c r="D340" s="5" t="inlineStr">
        <is>
          <t>Светильник СС854 (прикроватный) КИТАЙ</t>
        </is>
      </c>
      <c r="E340" s="4" t="inlineStr">
        <is>
          <t>1</t>
        </is>
      </c>
      <c r="F340" s="4" t="n">
        <v>1</v>
      </c>
      <c r="G340" s="8" t="n"/>
      <c r="H340" s="4">
        <f>IF(G340="","",G340-F340)</f>
        <v/>
      </c>
      <c r="I340" s="9" t="n">
        <v>1000</v>
      </c>
      <c r="J340" s="9">
        <f>IF(G340="","",H340*I340)</f>
        <v/>
      </c>
      <c r="K340" s="8" t="inlineStr"/>
      <c r="L340" s="8" t="inlineStr"/>
      <c r="M340" s="10" t="inlineStr"/>
    </row>
    <row r="341">
      <c r="A341" s="4" t="n">
        <v>337</v>
      </c>
      <c r="B341" s="6" t="inlineStr">
        <is>
          <t>Склад 2</t>
        </is>
      </c>
      <c r="C341" s="4" t="inlineStr">
        <is>
          <t>Эжектор</t>
        </is>
      </c>
      <c r="D341" s="5" t="inlineStr">
        <is>
          <t>Эжектор ВЭЖ 6,3</t>
        </is>
      </c>
      <c r="E341" s="4" t="inlineStr"/>
      <c r="F341" s="4" t="n">
        <v>1</v>
      </c>
      <c r="G341" s="8" t="n"/>
      <c r="H341" s="4">
        <f>IF(G341="","",G341-F341)</f>
        <v/>
      </c>
      <c r="I341" s="9" t="n">
        <v>25000</v>
      </c>
      <c r="J341" s="9">
        <f>IF(G341="","",H341*I341)</f>
        <v/>
      </c>
      <c r="K341" s="8" t="inlineStr"/>
      <c r="L341" s="8" t="inlineStr"/>
      <c r="M341" s="10" t="inlineStr"/>
    </row>
    <row r="342">
      <c r="A342" s="4" t="n">
        <v>338</v>
      </c>
      <c r="B342" s="6" t="inlineStr">
        <is>
          <t>Склад 3</t>
        </is>
      </c>
      <c r="C342" s="4" t="inlineStr">
        <is>
          <t>Гайка пожарная</t>
        </is>
      </c>
      <c r="D342" s="5" t="inlineStr">
        <is>
          <t>Гайка Богданова муфтовая Ду65Ру10</t>
        </is>
      </c>
      <c r="E342" s="4" t="inlineStr">
        <is>
          <t>557-35.997-01</t>
        </is>
      </c>
      <c r="F342" s="4" t="n">
        <v>7</v>
      </c>
      <c r="G342" s="8" t="n"/>
      <c r="H342" s="4">
        <f>IF(G342="","",G342-F342)</f>
        <v/>
      </c>
      <c r="I342" s="9" t="n"/>
      <c r="J342" s="9">
        <f>IF(G342="","",H342*I342)</f>
        <v/>
      </c>
      <c r="K342" s="8" t="inlineStr"/>
      <c r="L342" s="8" t="inlineStr"/>
      <c r="M342" s="10" t="inlineStr"/>
    </row>
    <row r="343">
      <c r="A343" s="4" t="n">
        <v>339</v>
      </c>
      <c r="B343" s="6" t="inlineStr">
        <is>
          <t>Склад 3</t>
        </is>
      </c>
      <c r="C343" s="4" t="inlineStr">
        <is>
          <t>Гайка пожарная</t>
        </is>
      </c>
      <c r="D343" s="5" t="inlineStr">
        <is>
          <t>Гайка Богданова рукавная Ду65Ру10</t>
        </is>
      </c>
      <c r="E343" s="4" t="inlineStr"/>
      <c r="F343" s="4" t="n">
        <v>11</v>
      </c>
      <c r="G343" s="8" t="n"/>
      <c r="H343" s="4">
        <f>IF(G343="","",G343-F343)</f>
        <v/>
      </c>
      <c r="I343" s="9" t="n"/>
      <c r="J343" s="9">
        <f>IF(G343="","",H343*I343)</f>
        <v/>
      </c>
      <c r="K343" s="8" t="inlineStr"/>
      <c r="L343" s="8" t="inlineStr"/>
      <c r="M343" s="10" t="inlineStr"/>
    </row>
    <row r="344">
      <c r="A344" s="4" t="n">
        <v>340</v>
      </c>
      <c r="B344" s="6" t="inlineStr">
        <is>
          <t>Склад 3</t>
        </is>
      </c>
      <c r="C344" s="4" t="inlineStr">
        <is>
          <t>Гайка пожарная</t>
        </is>
      </c>
      <c r="D344" s="5" t="inlineStr">
        <is>
          <t>Гайка Ротта муфтовая Ду65Ру10</t>
        </is>
      </c>
      <c r="E344" s="4" t="inlineStr">
        <is>
          <t>557-3М123</t>
        </is>
      </c>
      <c r="F344" s="4" t="n">
        <v>11</v>
      </c>
      <c r="G344" s="8" t="n"/>
      <c r="H344" s="4">
        <f>IF(G344="","",G344-F344)</f>
        <v/>
      </c>
      <c r="I344" s="9" t="n"/>
      <c r="J344" s="9">
        <f>IF(G344="","",H344*I344)</f>
        <v/>
      </c>
      <c r="K344" s="8" t="inlineStr"/>
      <c r="L344" s="8" t="inlineStr"/>
      <c r="M344" s="10" t="inlineStr"/>
    </row>
    <row r="345">
      <c r="A345" s="4" t="n">
        <v>341</v>
      </c>
      <c r="B345" s="6" t="inlineStr">
        <is>
          <t>Склад 3</t>
        </is>
      </c>
      <c r="C345" s="4" t="inlineStr">
        <is>
          <t>Гайка пожарная</t>
        </is>
      </c>
      <c r="D345" s="5" t="inlineStr">
        <is>
          <t>Гайка Ротта цапковая Ду65Ру10</t>
        </is>
      </c>
      <c r="E345" s="4" t="inlineStr">
        <is>
          <t>557-3М115</t>
        </is>
      </c>
      <c r="F345" s="4" t="n">
        <v>2</v>
      </c>
      <c r="G345" s="8" t="n"/>
      <c r="H345" s="4">
        <f>IF(G345="","",G345-F345)</f>
        <v/>
      </c>
      <c r="I345" s="9" t="n"/>
      <c r="J345" s="9">
        <f>IF(G345="","",H345*I345)</f>
        <v/>
      </c>
      <c r="K345" s="8" t="inlineStr"/>
      <c r="L345" s="8" t="inlineStr"/>
      <c r="M345" s="10" t="inlineStr"/>
    </row>
    <row r="346">
      <c r="A346" s="4" t="n">
        <v>342</v>
      </c>
      <c r="B346" s="6" t="inlineStr">
        <is>
          <t>Склад 3</t>
        </is>
      </c>
      <c r="C346" s="4" t="inlineStr">
        <is>
          <t>Гайка пожарная</t>
        </is>
      </c>
      <c r="D346" s="5" t="inlineStr">
        <is>
          <t>Гайка Шторца муфтовая Ду80Ру10</t>
        </is>
      </c>
      <c r="E346" s="4" t="inlineStr"/>
      <c r="F346" s="4" t="n">
        <v>7</v>
      </c>
      <c r="G346" s="8" t="n"/>
      <c r="H346" s="4">
        <f>IF(G346="","",G346-F346)</f>
        <v/>
      </c>
      <c r="I346" s="9" t="n"/>
      <c r="J346" s="9">
        <f>IF(G346="","",H346*I346)</f>
        <v/>
      </c>
      <c r="K346" s="8" t="inlineStr"/>
      <c r="L346" s="8" t="inlineStr"/>
      <c r="M346" s="10" t="inlineStr"/>
    </row>
    <row r="347">
      <c r="A347" s="4" t="n">
        <v>343</v>
      </c>
      <c r="B347" s="6" t="inlineStr">
        <is>
          <t>Склад 3</t>
        </is>
      </c>
      <c r="C347" s="4" t="inlineStr">
        <is>
          <t>Гайка пожарная</t>
        </is>
      </c>
      <c r="D347" s="5" t="inlineStr">
        <is>
          <t>Гайка Шторца рукавная Ду80Ру10</t>
        </is>
      </c>
      <c r="E347" s="4" t="inlineStr">
        <is>
          <t>ВН557-92</t>
        </is>
      </c>
      <c r="F347" s="4" t="n">
        <v>1</v>
      </c>
      <c r="G347" s="8" t="n"/>
      <c r="H347" s="4">
        <f>IF(G347="","",G347-F347)</f>
        <v/>
      </c>
      <c r="I347" s="9" t="n"/>
      <c r="J347" s="9">
        <f>IF(G347="","",H347*I347)</f>
        <v/>
      </c>
      <c r="K347" s="8" t="inlineStr"/>
      <c r="L347" s="8" t="inlineStr"/>
      <c r="M347" s="10" t="inlineStr"/>
    </row>
    <row r="348">
      <c r="A348" s="4" t="n">
        <v>344</v>
      </c>
      <c r="B348" s="6" t="inlineStr">
        <is>
          <t>Склад 3</t>
        </is>
      </c>
      <c r="C348" s="4" t="inlineStr">
        <is>
          <t>Гайка пожарная</t>
        </is>
      </c>
      <c r="D348" s="5" t="inlineStr">
        <is>
          <t>Гайка Шторца цапковая Ду50Ру16</t>
        </is>
      </c>
      <c r="E348" s="4" t="inlineStr">
        <is>
          <t>ВН557-78</t>
        </is>
      </c>
      <c r="F348" s="4" t="n">
        <v>5</v>
      </c>
      <c r="G348" s="8" t="n"/>
      <c r="H348" s="4">
        <f>IF(G348="","",G348-F348)</f>
        <v/>
      </c>
      <c r="I348" s="9" t="n"/>
      <c r="J348" s="9">
        <f>IF(G348="","",H348*I348)</f>
        <v/>
      </c>
      <c r="K348" s="8" t="inlineStr"/>
      <c r="L348" s="8" t="inlineStr"/>
      <c r="M348" s="10" t="inlineStr"/>
    </row>
    <row r="349">
      <c r="A349" s="4" t="n">
        <v>345</v>
      </c>
      <c r="B349" s="6" t="inlineStr">
        <is>
          <t>Склад 3</t>
        </is>
      </c>
      <c r="C349" s="4" t="inlineStr">
        <is>
          <t>Гайка пожарная</t>
        </is>
      </c>
      <c r="D349" s="5" t="inlineStr">
        <is>
          <t>Гайки алюминевые б/у</t>
        </is>
      </c>
      <c r="E349" s="4" t="inlineStr"/>
      <c r="F349" s="4" t="n">
        <v>27</v>
      </c>
      <c r="G349" s="8" t="n"/>
      <c r="H349" s="4">
        <f>IF(G349="","",G349-F349)</f>
        <v/>
      </c>
      <c r="I349" s="9" t="n"/>
      <c r="J349" s="9">
        <f>IF(G349="","",H349*I349)</f>
        <v/>
      </c>
      <c r="K349" s="8" t="inlineStr"/>
      <c r="L349" s="8" t="inlineStr"/>
      <c r="M349" s="10" t="inlineStr"/>
    </row>
    <row r="350">
      <c r="A350" s="4" t="n">
        <v>346</v>
      </c>
      <c r="B350" s="6" t="inlineStr">
        <is>
          <t>Склад 3</t>
        </is>
      </c>
      <c r="C350" s="4" t="inlineStr">
        <is>
          <t>ЗИП</t>
        </is>
      </c>
      <c r="D350" s="5" t="inlineStr">
        <is>
          <t>Втулка насоса НЦВ 100/30</t>
        </is>
      </c>
      <c r="E350" s="4" t="inlineStr">
        <is>
          <t>4</t>
        </is>
      </c>
      <c r="F350" s="4" t="n">
        <v>4</v>
      </c>
      <c r="G350" s="8" t="n"/>
      <c r="H350" s="4">
        <f>IF(G350="","",G350-F350)</f>
        <v/>
      </c>
      <c r="I350" s="9" t="n"/>
      <c r="J350" s="9">
        <f>IF(G350="","",H350*I350)</f>
        <v/>
      </c>
      <c r="K350" s="8" t="inlineStr"/>
      <c r="L350" s="8" t="inlineStr"/>
      <c r="M350" s="10" t="inlineStr"/>
    </row>
    <row r="351">
      <c r="A351" s="4" t="n">
        <v>347</v>
      </c>
      <c r="B351" s="6" t="inlineStr">
        <is>
          <t>Склад 3</t>
        </is>
      </c>
      <c r="C351" s="4" t="inlineStr">
        <is>
          <t>ЗИП</t>
        </is>
      </c>
      <c r="D351" s="5" t="inlineStr">
        <is>
          <t>Гайка рабочего колеса для Насос НЦВ 40/20</t>
        </is>
      </c>
      <c r="E351" s="4" t="inlineStr">
        <is>
          <t>2</t>
        </is>
      </c>
      <c r="F351" s="4" t="n">
        <v>2</v>
      </c>
      <c r="G351" s="8" t="n"/>
      <c r="H351" s="4">
        <f>IF(G351="","",G351-F351)</f>
        <v/>
      </c>
      <c r="I351" s="9" t="n">
        <v>2900</v>
      </c>
      <c r="J351" s="9">
        <f>IF(G351="","",H351*I351)</f>
        <v/>
      </c>
      <c r="K351" s="8" t="inlineStr"/>
      <c r="L351" s="8" t="inlineStr"/>
      <c r="M351" s="10" t="inlineStr"/>
    </row>
    <row r="352">
      <c r="A352" s="4" t="n">
        <v>348</v>
      </c>
      <c r="B352" s="6" t="inlineStr">
        <is>
          <t>Склад 3</t>
        </is>
      </c>
      <c r="C352" s="4" t="inlineStr">
        <is>
          <t>ЗИП</t>
        </is>
      </c>
      <c r="D352" s="5" t="inlineStr">
        <is>
          <t>Клапан всасывающий</t>
        </is>
      </c>
      <c r="E352" s="4" t="inlineStr">
        <is>
          <t>2</t>
        </is>
      </c>
      <c r="F352" s="4" t="n">
        <v>2</v>
      </c>
      <c r="G352" s="8" t="n"/>
      <c r="H352" s="4">
        <f>IF(G352="","",G352-F352)</f>
        <v/>
      </c>
      <c r="I352" s="9" t="n">
        <v>5400</v>
      </c>
      <c r="J352" s="9">
        <f>IF(G352="","",H352*I352)</f>
        <v/>
      </c>
      <c r="K352" s="8" t="inlineStr"/>
      <c r="L352" s="8" t="inlineStr"/>
      <c r="M352" s="10" t="inlineStr"/>
    </row>
    <row r="353">
      <c r="A353" s="4" t="n">
        <v>349</v>
      </c>
      <c r="B353" s="6" t="inlineStr">
        <is>
          <t>Склад 3</t>
        </is>
      </c>
      <c r="C353" s="4" t="inlineStr">
        <is>
          <t>ЗИП</t>
        </is>
      </c>
      <c r="D353" s="5" t="inlineStr">
        <is>
          <t>Клапан выхлопной</t>
        </is>
      </c>
      <c r="E353" s="4" t="inlineStr">
        <is>
          <t>5</t>
        </is>
      </c>
      <c r="F353" s="4" t="n">
        <v>5</v>
      </c>
      <c r="G353" s="8" t="n"/>
      <c r="H353" s="4">
        <f>IF(G353="","",G353-F353)</f>
        <v/>
      </c>
      <c r="I353" s="9" t="n">
        <v>6000</v>
      </c>
      <c r="J353" s="9">
        <f>IF(G353="","",H353*I353)</f>
        <v/>
      </c>
      <c r="K353" s="8" t="inlineStr"/>
      <c r="L353" s="8" t="inlineStr"/>
      <c r="M353" s="10" t="inlineStr"/>
    </row>
    <row r="354">
      <c r="A354" s="4" t="n">
        <v>350</v>
      </c>
      <c r="B354" s="6" t="inlineStr">
        <is>
          <t>Склад 3</t>
        </is>
      </c>
      <c r="C354" s="4" t="inlineStr">
        <is>
          <t>ЗИП</t>
        </is>
      </c>
      <c r="D354" s="5" t="inlineStr">
        <is>
          <t>Клапан компресс. ЭКП 70/25</t>
        </is>
      </c>
      <c r="E354" s="4" t="inlineStr">
        <is>
          <t>4</t>
        </is>
      </c>
      <c r="F354" s="4" t="n">
        <v>4</v>
      </c>
      <c r="G354" s="8" t="n"/>
      <c r="H354" s="4">
        <f>IF(G354="","",G354-F354)</f>
        <v/>
      </c>
      <c r="I354" s="9" t="n">
        <v>4600</v>
      </c>
      <c r="J354" s="9">
        <f>IF(G354="","",H354*I354)</f>
        <v/>
      </c>
      <c r="K354" s="8" t="inlineStr"/>
      <c r="L354" s="8" t="inlineStr"/>
      <c r="M354" s="10" t="inlineStr"/>
    </row>
    <row r="355">
      <c r="A355" s="4" t="n">
        <v>351</v>
      </c>
      <c r="B355" s="6" t="inlineStr">
        <is>
          <t>Склад 3</t>
        </is>
      </c>
      <c r="C355" s="4" t="inlineStr">
        <is>
          <t>ЗИП</t>
        </is>
      </c>
      <c r="D355" s="5" t="inlineStr">
        <is>
          <t>Клапан нагнетательный</t>
        </is>
      </c>
      <c r="E355" s="4" t="inlineStr">
        <is>
          <t>6</t>
        </is>
      </c>
      <c r="F355" s="4" t="n">
        <v>6</v>
      </c>
      <c r="G355" s="8" t="n"/>
      <c r="H355" s="4">
        <f>IF(G355="","",G355-F355)</f>
        <v/>
      </c>
      <c r="I355" s="9" t="n">
        <v>750</v>
      </c>
      <c r="J355" s="9">
        <f>IF(G355="","",H355*I355)</f>
        <v/>
      </c>
      <c r="K355" s="8" t="inlineStr"/>
      <c r="L355" s="8" t="inlineStr"/>
      <c r="M355" s="10" t="inlineStr"/>
    </row>
    <row r="356">
      <c r="A356" s="4" t="n">
        <v>352</v>
      </c>
      <c r="B356" s="6" t="inlineStr">
        <is>
          <t>Склад 3</t>
        </is>
      </c>
      <c r="C356" s="4" t="inlineStr">
        <is>
          <t>ЗИП</t>
        </is>
      </c>
      <c r="D356" s="5" t="inlineStr">
        <is>
          <t>Клапан пусковой</t>
        </is>
      </c>
      <c r="E356" s="4" t="inlineStr">
        <is>
          <t>1</t>
        </is>
      </c>
      <c r="F356" s="4" t="n">
        <v>1</v>
      </c>
      <c r="G356" s="8" t="n"/>
      <c r="H356" s="4">
        <f>IF(G356="","",G356-F356)</f>
        <v/>
      </c>
      <c r="I356" s="9" t="n">
        <v>9000</v>
      </c>
      <c r="J356" s="9">
        <f>IF(G356="","",H356*I356)</f>
        <v/>
      </c>
      <c r="K356" s="8" t="inlineStr"/>
      <c r="L356" s="8" t="inlineStr"/>
      <c r="M356" s="10" t="inlineStr"/>
    </row>
    <row r="357">
      <c r="A357" s="4" t="n">
        <v>353</v>
      </c>
      <c r="B357" s="6" t="inlineStr">
        <is>
          <t>Склад 3</t>
        </is>
      </c>
      <c r="C357" s="4" t="inlineStr">
        <is>
          <t>ЗИП</t>
        </is>
      </c>
      <c r="D357" s="5" t="inlineStr">
        <is>
          <t>Колесо раб. Насос НЦВ 160/80</t>
        </is>
      </c>
      <c r="E357" s="4" t="inlineStr">
        <is>
          <t>1</t>
        </is>
      </c>
      <c r="F357" s="4" t="n">
        <v>1</v>
      </c>
      <c r="G357" s="8" t="n"/>
      <c r="H357" s="4">
        <f>IF(G357="","",G357-F357)</f>
        <v/>
      </c>
      <c r="I357" s="9" t="n"/>
      <c r="J357" s="9">
        <f>IF(G357="","",H357*I357)</f>
        <v/>
      </c>
      <c r="K357" s="8" t="inlineStr"/>
      <c r="L357" s="8" t="inlineStr"/>
      <c r="M357" s="10" t="inlineStr"/>
    </row>
    <row r="358">
      <c r="A358" s="4" t="n">
        <v>354</v>
      </c>
      <c r="B358" s="6" t="inlineStr">
        <is>
          <t>Склад 3</t>
        </is>
      </c>
      <c r="C358" s="4" t="inlineStr">
        <is>
          <t>ЗИП</t>
        </is>
      </c>
      <c r="D358" s="5" t="inlineStr">
        <is>
          <t>Колесо раб.Насос 1ЭЦНУ 16/40</t>
        </is>
      </c>
      <c r="E358" s="4" t="inlineStr">
        <is>
          <t>8</t>
        </is>
      </c>
      <c r="F358" s="4" t="n">
        <v>8</v>
      </c>
      <c r="G358" s="8" t="n"/>
      <c r="H358" s="4">
        <f>IF(G358="","",G358-F358)</f>
        <v/>
      </c>
      <c r="I358" s="9" t="n"/>
      <c r="J358" s="9">
        <f>IF(G358="","",H358*I358)</f>
        <v/>
      </c>
      <c r="K358" s="8" t="inlineStr"/>
      <c r="L358" s="8" t="inlineStr"/>
      <c r="M358" s="10" t="inlineStr"/>
    </row>
    <row r="359">
      <c r="A359" s="4" t="n">
        <v>355</v>
      </c>
      <c r="B359" s="6" t="inlineStr">
        <is>
          <t>Склад 3</t>
        </is>
      </c>
      <c r="C359" s="4" t="inlineStr">
        <is>
          <t>ЗИП</t>
        </is>
      </c>
      <c r="D359" s="5" t="inlineStr">
        <is>
          <t>Колесо раб.Насос НЦВ 40/80</t>
        </is>
      </c>
      <c r="E359" s="4" t="inlineStr">
        <is>
          <t>1</t>
        </is>
      </c>
      <c r="F359" s="4" t="n">
        <v>1</v>
      </c>
      <c r="G359" s="8" t="n"/>
      <c r="H359" s="4">
        <f>IF(G359="","",G359-F359)</f>
        <v/>
      </c>
      <c r="I359" s="9" t="n"/>
      <c r="J359" s="9">
        <f>IF(G359="","",H359*I359)</f>
        <v/>
      </c>
      <c r="K359" s="8" t="inlineStr"/>
      <c r="L359" s="8" t="inlineStr"/>
      <c r="M359" s="10" t="inlineStr"/>
    </row>
    <row r="360">
      <c r="A360" s="4" t="n">
        <v>356</v>
      </c>
      <c r="B360" s="6" t="inlineStr">
        <is>
          <t>Склад 3</t>
        </is>
      </c>
      <c r="C360" s="4" t="inlineStr">
        <is>
          <t>ЗИП</t>
        </is>
      </c>
      <c r="D360" s="5" t="inlineStr">
        <is>
          <t>Колесо рабочее для Насос НЦВ 40/20</t>
        </is>
      </c>
      <c r="E360" s="4" t="inlineStr">
        <is>
          <t>1</t>
        </is>
      </c>
      <c r="F360" s="4" t="n">
        <v>1</v>
      </c>
      <c r="G360" s="8" t="n"/>
      <c r="H360" s="4">
        <f>IF(G360="","",G360-F360)</f>
        <v/>
      </c>
      <c r="I360" s="9" t="n">
        <v>19800</v>
      </c>
      <c r="J360" s="9">
        <f>IF(G360="","",H360*I360)</f>
        <v/>
      </c>
      <c r="K360" s="8" t="inlineStr"/>
      <c r="L360" s="8" t="inlineStr"/>
      <c r="M360" s="10" t="inlineStr"/>
    </row>
    <row r="361">
      <c r="A361" s="4" t="n">
        <v>357</v>
      </c>
      <c r="B361" s="6" t="inlineStr">
        <is>
          <t>Склад 3</t>
        </is>
      </c>
      <c r="C361" s="4" t="inlineStr">
        <is>
          <t>ЗИП</t>
        </is>
      </c>
      <c r="D361" s="5" t="inlineStr">
        <is>
          <t>Кольцо для Насос 1ЭЦНУ 16/40 258.5-33-1175</t>
        </is>
      </c>
      <c r="E361" s="4" t="inlineStr">
        <is>
          <t>2</t>
        </is>
      </c>
      <c r="F361" s="4" t="n">
        <v>2</v>
      </c>
      <c r="G361" s="8" t="n"/>
      <c r="H361" s="4">
        <f>IF(G361="","",G361-F361)</f>
        <v/>
      </c>
      <c r="I361" s="9" t="n"/>
      <c r="J361" s="9">
        <f>IF(G361="","",H361*I361)</f>
        <v/>
      </c>
      <c r="K361" s="8" t="inlineStr"/>
      <c r="L361" s="8" t="inlineStr"/>
      <c r="M361" s="10" t="inlineStr"/>
    </row>
    <row r="362">
      <c r="A362" s="4" t="n">
        <v>358</v>
      </c>
      <c r="B362" s="6" t="inlineStr">
        <is>
          <t>Склад 3</t>
        </is>
      </c>
      <c r="C362" s="4" t="inlineStr">
        <is>
          <t>ЗИП</t>
        </is>
      </c>
      <c r="D362" s="5" t="inlineStr">
        <is>
          <t>Кольцо для Насос НЦВ 40/20 165-170-36-16</t>
        </is>
      </c>
      <c r="E362" s="4" t="inlineStr">
        <is>
          <t>4</t>
        </is>
      </c>
      <c r="F362" s="4" t="n">
        <v>4</v>
      </c>
      <c r="G362" s="8" t="n"/>
      <c r="H362" s="4">
        <f>IF(G362="","",G362-F362)</f>
        <v/>
      </c>
      <c r="I362" s="9" t="n"/>
      <c r="J362" s="9">
        <f>IF(G362="","",H362*I362)</f>
        <v/>
      </c>
      <c r="K362" s="8" t="inlineStr"/>
      <c r="L362" s="8" t="inlineStr"/>
      <c r="M362" s="10" t="inlineStr"/>
    </row>
    <row r="363">
      <c r="A363" s="4" t="n">
        <v>359</v>
      </c>
      <c r="B363" s="6" t="inlineStr">
        <is>
          <t>Склад 3</t>
        </is>
      </c>
      <c r="C363" s="4" t="inlineStr">
        <is>
          <t>ЗИП</t>
        </is>
      </c>
      <c r="D363" s="5" t="inlineStr">
        <is>
          <t>Кольцо для Насоса НЦВ 100/30 у-100х95-1</t>
        </is>
      </c>
      <c r="E363" s="4" t="inlineStr">
        <is>
          <t>1</t>
        </is>
      </c>
      <c r="F363" s="4" t="n">
        <v>1</v>
      </c>
      <c r="G363" s="8" t="n"/>
      <c r="H363" s="4">
        <f>IF(G363="","",G363-F363)</f>
        <v/>
      </c>
      <c r="I363" s="9" t="n"/>
      <c r="J363" s="9">
        <f>IF(G363="","",H363*I363)</f>
        <v/>
      </c>
      <c r="K363" s="8" t="inlineStr"/>
      <c r="L363" s="8" t="inlineStr"/>
      <c r="M363" s="10" t="inlineStr"/>
    </row>
    <row r="364">
      <c r="A364" s="4" t="n">
        <v>360</v>
      </c>
      <c r="B364" s="6" t="inlineStr">
        <is>
          <t>Склад 3</t>
        </is>
      </c>
      <c r="C364" s="4" t="inlineStr">
        <is>
          <t>ЗИП</t>
        </is>
      </c>
      <c r="D364" s="5" t="inlineStr">
        <is>
          <t>Кольцо для Насоса НЦВ 100/30 у-170х0-1</t>
        </is>
      </c>
      <c r="E364" s="4" t="inlineStr">
        <is>
          <t>1</t>
        </is>
      </c>
      <c r="F364" s="4" t="n">
        <v>1</v>
      </c>
      <c r="G364" s="8" t="n"/>
      <c r="H364" s="4">
        <f>IF(G364="","",G364-F364)</f>
        <v/>
      </c>
      <c r="I364" s="9" t="n"/>
      <c r="J364" s="9">
        <f>IF(G364="","",H364*I364)</f>
        <v/>
      </c>
      <c r="K364" s="8" t="inlineStr"/>
      <c r="L364" s="8" t="inlineStr"/>
      <c r="M364" s="10" t="inlineStr"/>
    </row>
    <row r="365">
      <c r="A365" s="4" t="n">
        <v>361</v>
      </c>
      <c r="B365" s="6" t="inlineStr">
        <is>
          <t>Склад 3</t>
        </is>
      </c>
      <c r="C365" s="4" t="inlineStr">
        <is>
          <t>ЗИП</t>
        </is>
      </c>
      <c r="D365" s="5" t="inlineStr">
        <is>
          <t>Кольцо резин. Ф25х3,6</t>
        </is>
      </c>
      <c r="E365" s="4" t="inlineStr">
        <is>
          <t>1</t>
        </is>
      </c>
      <c r="F365" s="4" t="n">
        <v>1</v>
      </c>
      <c r="G365" s="8" t="n"/>
      <c r="H365" s="4">
        <f>IF(G365="","",G365-F365)</f>
        <v/>
      </c>
      <c r="I365" s="9" t="n"/>
      <c r="J365" s="9">
        <f>IF(G365="","",H365*I365)</f>
        <v/>
      </c>
      <c r="K365" s="8" t="inlineStr"/>
      <c r="L365" s="8" t="inlineStr"/>
      <c r="M365" s="10" t="inlineStr"/>
    </row>
    <row r="366">
      <c r="A366" s="4" t="n">
        <v>362</v>
      </c>
      <c r="B366" s="6" t="inlineStr">
        <is>
          <t>Склад 3</t>
        </is>
      </c>
      <c r="C366" s="4" t="inlineStr">
        <is>
          <t>ЗИП</t>
        </is>
      </c>
      <c r="D366" s="5" t="inlineStr">
        <is>
          <t>Кольцо резин. Ф28х3,0</t>
        </is>
      </c>
      <c r="E366" s="4" t="inlineStr">
        <is>
          <t>1</t>
        </is>
      </c>
      <c r="F366" s="4" t="n">
        <v>1</v>
      </c>
      <c r="G366" s="8" t="n"/>
      <c r="H366" s="4">
        <f>IF(G366="","",G366-F366)</f>
        <v/>
      </c>
      <c r="I366" s="9" t="n"/>
      <c r="J366" s="9">
        <f>IF(G366="","",H366*I366)</f>
        <v/>
      </c>
      <c r="K366" s="8" t="inlineStr"/>
      <c r="L366" s="8" t="inlineStr"/>
      <c r="M366" s="10" t="inlineStr"/>
    </row>
    <row r="367">
      <c r="A367" s="4" t="n">
        <v>363</v>
      </c>
      <c r="B367" s="6" t="inlineStr">
        <is>
          <t>Склад 3</t>
        </is>
      </c>
      <c r="C367" s="4" t="inlineStr">
        <is>
          <t>ЗИП</t>
        </is>
      </c>
      <c r="D367" s="5" t="inlineStr">
        <is>
          <t>Кольцо резин. Ф30х3,0</t>
        </is>
      </c>
      <c r="E367" s="4" t="inlineStr">
        <is>
          <t>1</t>
        </is>
      </c>
      <c r="F367" s="4" t="n">
        <v>1</v>
      </c>
      <c r="G367" s="8" t="n"/>
      <c r="H367" s="4">
        <f>IF(G367="","",G367-F367)</f>
        <v/>
      </c>
      <c r="I367" s="9" t="n"/>
      <c r="J367" s="9">
        <f>IF(G367="","",H367*I367)</f>
        <v/>
      </c>
      <c r="K367" s="8" t="inlineStr"/>
      <c r="L367" s="8" t="inlineStr"/>
      <c r="M367" s="10" t="inlineStr"/>
    </row>
    <row r="368">
      <c r="A368" s="4" t="n">
        <v>364</v>
      </c>
      <c r="B368" s="6" t="inlineStr">
        <is>
          <t>Склад 3</t>
        </is>
      </c>
      <c r="C368" s="4" t="inlineStr">
        <is>
          <t>ЗИП</t>
        </is>
      </c>
      <c r="D368" s="5" t="inlineStr">
        <is>
          <t>Кольцо резин. Ф45х4,0</t>
        </is>
      </c>
      <c r="E368" s="4" t="inlineStr">
        <is>
          <t>1</t>
        </is>
      </c>
      <c r="F368" s="4" t="n">
        <v>1</v>
      </c>
      <c r="G368" s="8" t="n"/>
      <c r="H368" s="4">
        <f>IF(G368="","",G368-F368)</f>
        <v/>
      </c>
      <c r="I368" s="9" t="n"/>
      <c r="J368" s="9">
        <f>IF(G368="","",H368*I368)</f>
        <v/>
      </c>
      <c r="K368" s="8" t="inlineStr"/>
      <c r="L368" s="8" t="inlineStr"/>
      <c r="M368" s="10" t="inlineStr"/>
    </row>
    <row r="369">
      <c r="A369" s="4" t="n">
        <v>365</v>
      </c>
      <c r="B369" s="6" t="inlineStr">
        <is>
          <t>Склад 3</t>
        </is>
      </c>
      <c r="C369" s="4" t="inlineStr">
        <is>
          <t>ЗИП</t>
        </is>
      </c>
      <c r="D369" s="5" t="inlineStr">
        <is>
          <t>Кольцо резин. Ф60х3,0</t>
        </is>
      </c>
      <c r="E369" s="4" t="inlineStr">
        <is>
          <t>1</t>
        </is>
      </c>
      <c r="F369" s="4" t="n">
        <v>1</v>
      </c>
      <c r="G369" s="8" t="n"/>
      <c r="H369" s="4">
        <f>IF(G369="","",G369-F369)</f>
        <v/>
      </c>
      <c r="I369" s="9" t="n"/>
      <c r="J369" s="9">
        <f>IF(G369="","",H369*I369)</f>
        <v/>
      </c>
      <c r="K369" s="8" t="inlineStr"/>
      <c r="L369" s="8" t="inlineStr"/>
      <c r="M369" s="10" t="inlineStr"/>
    </row>
    <row r="370">
      <c r="A370" s="4" t="n">
        <v>366</v>
      </c>
      <c r="B370" s="6" t="inlineStr">
        <is>
          <t>Склад 3</t>
        </is>
      </c>
      <c r="C370" s="4" t="inlineStr">
        <is>
          <t>ЗИП</t>
        </is>
      </c>
      <c r="D370" s="5" t="inlineStr">
        <is>
          <t>Кольцо резин. Ф90х3,6</t>
        </is>
      </c>
      <c r="E370" s="4" t="inlineStr">
        <is>
          <t>1</t>
        </is>
      </c>
      <c r="F370" s="4" t="n">
        <v>1</v>
      </c>
      <c r="G370" s="8" t="n"/>
      <c r="H370" s="4">
        <f>IF(G370="","",G370-F370)</f>
        <v/>
      </c>
      <c r="I370" s="9" t="n"/>
      <c r="J370" s="9">
        <f>IF(G370="","",H370*I370)</f>
        <v/>
      </c>
      <c r="K370" s="8" t="inlineStr"/>
      <c r="L370" s="8" t="inlineStr"/>
      <c r="M370" s="10" t="inlineStr"/>
    </row>
    <row r="371">
      <c r="A371" s="4" t="n">
        <v>367</v>
      </c>
      <c r="B371" s="6" t="inlineStr">
        <is>
          <t>Склад 3</t>
        </is>
      </c>
      <c r="C371" s="4" t="inlineStr">
        <is>
          <t>ЗИП</t>
        </is>
      </c>
      <c r="D371" s="5" t="inlineStr">
        <is>
          <t>Кольцо уплотнительное верхнее Насос НЦВ 100/30</t>
        </is>
      </c>
      <c r="E371" s="4" t="inlineStr">
        <is>
          <t>2</t>
        </is>
      </c>
      <c r="F371" s="4" t="n">
        <v>2</v>
      </c>
      <c r="G371" s="8" t="n"/>
      <c r="H371" s="4">
        <f>IF(G371="","",G371-F371)</f>
        <v/>
      </c>
      <c r="I371" s="9" t="n"/>
      <c r="J371" s="9">
        <f>IF(G371="","",H371*I371)</f>
        <v/>
      </c>
      <c r="K371" s="8" t="inlineStr"/>
      <c r="L371" s="8" t="inlineStr"/>
      <c r="M371" s="10" t="inlineStr"/>
    </row>
    <row r="372">
      <c r="A372" s="4" t="n">
        <v>368</v>
      </c>
      <c r="B372" s="6" t="inlineStr">
        <is>
          <t>Склад 3</t>
        </is>
      </c>
      <c r="C372" s="4" t="inlineStr">
        <is>
          <t>ЗИП</t>
        </is>
      </c>
      <c r="D372" s="5" t="inlineStr">
        <is>
          <t>Кольцо уплотнительное верхнее Насос НЦВ 40/20</t>
        </is>
      </c>
      <c r="E372" s="4" t="inlineStr">
        <is>
          <t>4</t>
        </is>
      </c>
      <c r="F372" s="4" t="n">
        <v>4</v>
      </c>
      <c r="G372" s="8" t="n"/>
      <c r="H372" s="4">
        <f>IF(G372="","",G372-F372)</f>
        <v/>
      </c>
      <c r="I372" s="9" t="n"/>
      <c r="J372" s="9">
        <f>IF(G372="","",H372*I372)</f>
        <v/>
      </c>
      <c r="K372" s="8" t="inlineStr"/>
      <c r="L372" s="8" t="inlineStr"/>
      <c r="M372" s="10" t="inlineStr"/>
    </row>
    <row r="373">
      <c r="A373" s="4" t="n">
        <v>369</v>
      </c>
      <c r="B373" s="6" t="inlineStr">
        <is>
          <t>Склад 3</t>
        </is>
      </c>
      <c r="C373" s="4" t="inlineStr">
        <is>
          <t>ЗИП</t>
        </is>
      </c>
      <c r="D373" s="5" t="inlineStr">
        <is>
          <t>Кольцо уплотнительное нижнее Насос НЦВ 100/30</t>
        </is>
      </c>
      <c r="E373" s="4" t="inlineStr">
        <is>
          <t>2</t>
        </is>
      </c>
      <c r="F373" s="4" t="n">
        <v>2</v>
      </c>
      <c r="G373" s="8" t="n"/>
      <c r="H373" s="4">
        <f>IF(G373="","",G373-F373)</f>
        <v/>
      </c>
      <c r="I373" s="9" t="n"/>
      <c r="J373" s="9">
        <f>IF(G373="","",H373*I373)</f>
        <v/>
      </c>
      <c r="K373" s="8" t="inlineStr"/>
      <c r="L373" s="8" t="inlineStr"/>
      <c r="M373" s="10" t="inlineStr"/>
    </row>
    <row r="374">
      <c r="A374" s="4" t="n">
        <v>370</v>
      </c>
      <c r="B374" s="6" t="inlineStr">
        <is>
          <t>Склад 3</t>
        </is>
      </c>
      <c r="C374" s="4" t="inlineStr">
        <is>
          <t>ЗИП</t>
        </is>
      </c>
      <c r="D374" s="5" t="inlineStr">
        <is>
          <t>Кольцо уплотнительное нижнее Насос НЦВ 40/20</t>
        </is>
      </c>
      <c r="E374" s="4" t="inlineStr">
        <is>
          <t>4</t>
        </is>
      </c>
      <c r="F374" s="4" t="n">
        <v>4</v>
      </c>
      <c r="G374" s="8" t="n"/>
      <c r="H374" s="4">
        <f>IF(G374="","",G374-F374)</f>
        <v/>
      </c>
      <c r="I374" s="9" t="n"/>
      <c r="J374" s="9">
        <f>IF(G374="","",H374*I374)</f>
        <v/>
      </c>
      <c r="K374" s="8" t="inlineStr"/>
      <c r="L374" s="8" t="inlineStr"/>
      <c r="M374" s="10" t="inlineStr"/>
    </row>
    <row r="375">
      <c r="A375" s="4" t="n">
        <v>371</v>
      </c>
      <c r="B375" s="6" t="inlineStr">
        <is>
          <t>Склад 3</t>
        </is>
      </c>
      <c r="C375" s="4" t="inlineStr">
        <is>
          <t>ЗИП</t>
        </is>
      </c>
      <c r="D375" s="5" t="inlineStr">
        <is>
          <t>Корпус выхлопного клапана</t>
        </is>
      </c>
      <c r="E375" s="4" t="inlineStr">
        <is>
          <t>1</t>
        </is>
      </c>
      <c r="F375" s="4" t="n">
        <v>1</v>
      </c>
      <c r="G375" s="8" t="n"/>
      <c r="H375" s="4">
        <f>IF(G375="","",G375-F375)</f>
        <v/>
      </c>
      <c r="I375" s="9" t="n">
        <v>30000</v>
      </c>
      <c r="J375" s="9">
        <f>IF(G375="","",H375*I375)</f>
        <v/>
      </c>
      <c r="K375" s="8" t="inlineStr"/>
      <c r="L375" s="8" t="inlineStr"/>
      <c r="M375" s="10" t="inlineStr"/>
    </row>
    <row r="376">
      <c r="A376" s="4" t="n">
        <v>372</v>
      </c>
      <c r="B376" s="6" t="inlineStr">
        <is>
          <t>Склад 3</t>
        </is>
      </c>
      <c r="C376" s="4" t="inlineStr">
        <is>
          <t>ЗИП</t>
        </is>
      </c>
      <c r="D376" s="5" t="inlineStr">
        <is>
          <t>Кулачковая шайба топливная</t>
        </is>
      </c>
      <c r="E376" s="4" t="inlineStr">
        <is>
          <t>2</t>
        </is>
      </c>
      <c r="F376" s="4" t="n">
        <v>2</v>
      </c>
      <c r="G376" s="8" t="n"/>
      <c r="H376" s="4">
        <f>IF(G376="","",G376-F376)</f>
        <v/>
      </c>
      <c r="I376" s="9" t="n">
        <v>750</v>
      </c>
      <c r="J376" s="9">
        <f>IF(G376="","",H376*I376)</f>
        <v/>
      </c>
      <c r="K376" s="8" t="inlineStr"/>
      <c r="L376" s="8" t="inlineStr"/>
      <c r="M376" s="10" t="inlineStr"/>
    </row>
    <row r="377">
      <c r="A377" s="4" t="n">
        <v>373</v>
      </c>
      <c r="B377" s="6" t="inlineStr">
        <is>
          <t>Склад 3</t>
        </is>
      </c>
      <c r="C377" s="4" t="inlineStr">
        <is>
          <t>ЗИП</t>
        </is>
      </c>
      <c r="D377" s="5" t="inlineStr">
        <is>
          <t>Манжета для Насос 1ЭЦНУ 16/40</t>
        </is>
      </c>
      <c r="E377" s="4" t="inlineStr">
        <is>
          <t>1</t>
        </is>
      </c>
      <c r="F377" s="4" t="n">
        <v>1</v>
      </c>
      <c r="G377" s="8" t="n"/>
      <c r="H377" s="4">
        <f>IF(G377="","",G377-F377)</f>
        <v/>
      </c>
      <c r="I377" s="9" t="n"/>
      <c r="J377" s="9">
        <f>IF(G377="","",H377*I377)</f>
        <v/>
      </c>
      <c r="K377" s="8" t="inlineStr"/>
      <c r="L377" s="8" t="inlineStr"/>
      <c r="M377" s="10" t="inlineStr"/>
    </row>
    <row r="378">
      <c r="A378" s="4" t="n">
        <v>374</v>
      </c>
      <c r="B378" s="6" t="inlineStr">
        <is>
          <t>Склад 3</t>
        </is>
      </c>
      <c r="C378" s="4" t="inlineStr">
        <is>
          <t>ЗИП</t>
        </is>
      </c>
      <c r="D378" s="5" t="inlineStr">
        <is>
          <t>Направляющая клапана</t>
        </is>
      </c>
      <c r="E378" s="4" t="inlineStr">
        <is>
          <t>2</t>
        </is>
      </c>
      <c r="F378" s="4" t="n">
        <v>2</v>
      </c>
      <c r="G378" s="8" t="n"/>
      <c r="H378" s="4">
        <f>IF(G378="","",G378-F378)</f>
        <v/>
      </c>
      <c r="I378" s="9" t="n">
        <v>2100</v>
      </c>
      <c r="J378" s="9">
        <f>IF(G378="","",H378*I378)</f>
        <v/>
      </c>
      <c r="K378" s="8" t="inlineStr"/>
      <c r="L378" s="8" t="inlineStr"/>
      <c r="M378" s="10" t="inlineStr"/>
    </row>
    <row r="379">
      <c r="A379" s="4" t="n">
        <v>375</v>
      </c>
      <c r="B379" s="6" t="inlineStr">
        <is>
          <t>Склад 3</t>
        </is>
      </c>
      <c r="C379" s="4" t="inlineStr">
        <is>
          <t>ЗИП</t>
        </is>
      </c>
      <c r="D379" s="5" t="inlineStr">
        <is>
          <t>Насос ТНВД с регулятором АК-7 327-20-1Н/ АК-7 315-619-2Н</t>
        </is>
      </c>
      <c r="E379" s="4" t="inlineStr">
        <is>
          <t>1</t>
        </is>
      </c>
      <c r="F379" s="4" t="n">
        <v>1</v>
      </c>
      <c r="G379" s="8" t="n"/>
      <c r="H379" s="4">
        <f>IF(G379="","",G379-F379)</f>
        <v/>
      </c>
      <c r="I379" s="9" t="n">
        <v>40000</v>
      </c>
      <c r="J379" s="9">
        <f>IF(G379="","",H379*I379)</f>
        <v/>
      </c>
      <c r="K379" s="8" t="inlineStr"/>
      <c r="L379" s="8" t="inlineStr"/>
      <c r="M379" s="10" t="inlineStr"/>
    </row>
    <row r="380">
      <c r="A380" s="4" t="n">
        <v>376</v>
      </c>
      <c r="B380" s="6" t="inlineStr">
        <is>
          <t>Склад 3</t>
        </is>
      </c>
      <c r="C380" s="4" t="inlineStr">
        <is>
          <t>ЗИП</t>
        </is>
      </c>
      <c r="D380" s="5" t="inlineStr">
        <is>
          <t>Плунжерная пара 1ая/2ая модель</t>
        </is>
      </c>
      <c r="E380" s="4" t="inlineStr">
        <is>
          <t>2</t>
        </is>
      </c>
      <c r="F380" s="4" t="n">
        <v>2</v>
      </c>
      <c r="G380" s="8" t="n"/>
      <c r="H380" s="4">
        <f>IF(G380="","",G380-F380)</f>
        <v/>
      </c>
      <c r="I380" s="9" t="n">
        <v>4000</v>
      </c>
      <c r="J380" s="9">
        <f>IF(G380="","",H380*I380)</f>
        <v/>
      </c>
      <c r="K380" s="8" t="inlineStr"/>
      <c r="L380" s="8" t="inlineStr"/>
      <c r="M380" s="10" t="inlineStr"/>
    </row>
    <row r="381">
      <c r="A381" s="4" t="n">
        <v>377</v>
      </c>
      <c r="B381" s="6" t="inlineStr">
        <is>
          <t>Склад 3</t>
        </is>
      </c>
      <c r="C381" s="4" t="inlineStr">
        <is>
          <t>ЗИП</t>
        </is>
      </c>
      <c r="D381" s="5" t="inlineStr">
        <is>
          <t>Поплавок НЦВС 40/20</t>
        </is>
      </c>
      <c r="E381" s="4" t="inlineStr">
        <is>
          <t>20</t>
        </is>
      </c>
      <c r="F381" s="4" t="n">
        <v>20</v>
      </c>
      <c r="G381" s="8" t="n"/>
      <c r="H381" s="4">
        <f>IF(G381="","",G381-F381)</f>
        <v/>
      </c>
      <c r="I381" s="9" t="n">
        <v>3500</v>
      </c>
      <c r="J381" s="9">
        <f>IF(G381="","",H381*I381)</f>
        <v/>
      </c>
      <c r="K381" s="8" t="inlineStr"/>
      <c r="L381" s="8" t="inlineStr"/>
      <c r="M381" s="10" t="inlineStr"/>
    </row>
    <row r="382">
      <c r="A382" s="4" t="n">
        <v>378</v>
      </c>
      <c r="B382" s="6" t="inlineStr">
        <is>
          <t>Склад 3</t>
        </is>
      </c>
      <c r="C382" s="4" t="inlineStr">
        <is>
          <t>ЗИП</t>
        </is>
      </c>
      <c r="D382" s="5" t="inlineStr">
        <is>
          <t>Поршень 6ЧН25/34</t>
        </is>
      </c>
      <c r="E382" s="4" t="inlineStr">
        <is>
          <t>1</t>
        </is>
      </c>
      <c r="F382" s="4" t="n">
        <v>1</v>
      </c>
      <c r="G382" s="8" t="n"/>
      <c r="H382" s="4">
        <f>IF(G382="","",G382-F382)</f>
        <v/>
      </c>
      <c r="I382" s="9" t="n">
        <v>55000</v>
      </c>
      <c r="J382" s="9">
        <f>IF(G382="","",H382*I382)</f>
        <v/>
      </c>
      <c r="K382" s="8" t="inlineStr"/>
      <c r="L382" s="8" t="inlineStr"/>
      <c r="M382" s="10" t="inlineStr"/>
    </row>
    <row r="383">
      <c r="A383" s="4" t="n">
        <v>379</v>
      </c>
      <c r="B383" s="6" t="inlineStr">
        <is>
          <t>Склад 3</t>
        </is>
      </c>
      <c r="C383" s="4" t="inlineStr">
        <is>
          <t>ЗИП</t>
        </is>
      </c>
      <c r="D383" s="5" t="inlineStr">
        <is>
          <t>Сальниковая обойма нижняя часть НЦВС 63/20</t>
        </is>
      </c>
      <c r="E383" s="4" t="inlineStr">
        <is>
          <t>2</t>
        </is>
      </c>
      <c r="F383" s="4" t="n">
        <v>2</v>
      </c>
      <c r="G383" s="8" t="n"/>
      <c r="H383" s="4">
        <f>IF(G383="","",G383-F383)</f>
        <v/>
      </c>
      <c r="I383" s="9" t="n">
        <v>15000</v>
      </c>
      <c r="J383" s="9">
        <f>IF(G383="","",H383*I383)</f>
        <v/>
      </c>
      <c r="K383" s="8" t="inlineStr"/>
      <c r="L383" s="8" t="inlineStr"/>
      <c r="M383" s="10" t="inlineStr"/>
    </row>
    <row r="384">
      <c r="A384" s="4" t="n">
        <v>380</v>
      </c>
      <c r="B384" s="6" t="inlineStr">
        <is>
          <t>Склад 3</t>
        </is>
      </c>
      <c r="C384" s="4" t="inlineStr">
        <is>
          <t>ЗИП</t>
        </is>
      </c>
      <c r="D384" s="5" t="inlineStr">
        <is>
          <t>Седло клапана</t>
        </is>
      </c>
      <c r="E384" s="4" t="inlineStr">
        <is>
          <t>1</t>
        </is>
      </c>
      <c r="F384" s="4" t="n">
        <v>1</v>
      </c>
      <c r="G384" s="8" t="n"/>
      <c r="H384" s="4">
        <f>IF(G384="","",G384-F384)</f>
        <v/>
      </c>
      <c r="I384" s="9" t="n">
        <v>1600</v>
      </c>
      <c r="J384" s="9">
        <f>IF(G384="","",H384*I384)</f>
        <v/>
      </c>
      <c r="K384" s="8" t="inlineStr"/>
      <c r="L384" s="8" t="inlineStr"/>
      <c r="M384" s="10" t="inlineStr"/>
    </row>
    <row r="385">
      <c r="A385" s="4" t="n">
        <v>381</v>
      </c>
      <c r="B385" s="6" t="inlineStr">
        <is>
          <t>Склад 3</t>
        </is>
      </c>
      <c r="C385" s="4" t="inlineStr">
        <is>
          <t>ЗИП</t>
        </is>
      </c>
      <c r="D385" s="5" t="inlineStr">
        <is>
          <t>Уплотнение торц. 6АР 50Е</t>
        </is>
      </c>
      <c r="E385" s="4" t="inlineStr">
        <is>
          <t>8</t>
        </is>
      </c>
      <c r="F385" s="4" t="n">
        <v>8</v>
      </c>
      <c r="G385" s="8" t="n"/>
      <c r="H385" s="4">
        <f>IF(G385="","",G385-F385)</f>
        <v/>
      </c>
      <c r="I385" s="9" t="n">
        <v>22000</v>
      </c>
      <c r="J385" s="9">
        <f>IF(G385="","",H385*I385)</f>
        <v/>
      </c>
      <c r="K385" s="8" t="inlineStr"/>
      <c r="L385" s="8" t="inlineStr"/>
      <c r="M385" s="10" t="inlineStr"/>
    </row>
    <row r="386">
      <c r="A386" s="4" t="n">
        <v>382</v>
      </c>
      <c r="B386" s="6" t="inlineStr">
        <is>
          <t>Склад 3</t>
        </is>
      </c>
      <c r="C386" s="4" t="inlineStr">
        <is>
          <t>ЗИП</t>
        </is>
      </c>
      <c r="D386" s="5" t="inlineStr">
        <is>
          <t>Фильтр</t>
        </is>
      </c>
      <c r="E386" s="4" t="inlineStr">
        <is>
          <t>12</t>
        </is>
      </c>
      <c r="F386" s="4" t="n">
        <v>12</v>
      </c>
      <c r="G386" s="8" t="n"/>
      <c r="H386" s="4">
        <f>IF(G386="","",G386-F386)</f>
        <v/>
      </c>
      <c r="I386" s="9" t="n">
        <v>300</v>
      </c>
      <c r="J386" s="9">
        <f>IF(G386="","",H386*I386)</f>
        <v/>
      </c>
      <c r="K386" s="8" t="inlineStr"/>
      <c r="L386" s="8" t="inlineStr"/>
      <c r="M386" s="10" t="inlineStr"/>
    </row>
    <row r="387">
      <c r="A387" s="4" t="n">
        <v>383</v>
      </c>
      <c r="B387" s="6" t="inlineStr">
        <is>
          <t>Склад 3</t>
        </is>
      </c>
      <c r="C387" s="4" t="inlineStr">
        <is>
          <t>ЗИП</t>
        </is>
      </c>
      <c r="D387" s="5" t="inlineStr">
        <is>
          <t>Фильтр</t>
        </is>
      </c>
      <c r="E387" s="4" t="inlineStr">
        <is>
          <t>12</t>
        </is>
      </c>
      <c r="F387" s="4" t="n">
        <v>12</v>
      </c>
      <c r="G387" s="8" t="n"/>
      <c r="H387" s="4">
        <f>IF(G387="","",G387-F387)</f>
        <v/>
      </c>
      <c r="I387" s="9" t="n">
        <v>390</v>
      </c>
      <c r="J387" s="9">
        <f>IF(G387="","",H387*I387)</f>
        <v/>
      </c>
      <c r="K387" s="8" t="inlineStr"/>
      <c r="L387" s="8" t="inlineStr"/>
      <c r="M387" s="10" t="inlineStr"/>
    </row>
    <row r="388">
      <c r="A388" s="4" t="n">
        <v>384</v>
      </c>
      <c r="B388" s="6" t="inlineStr">
        <is>
          <t>Склад 3</t>
        </is>
      </c>
      <c r="C388" s="4" t="inlineStr">
        <is>
          <t>ЗИП</t>
        </is>
      </c>
      <c r="D388" s="5" t="inlineStr">
        <is>
          <t>Фонарь выхлопной 8NVD48A2U</t>
        </is>
      </c>
      <c r="E388" s="4" t="inlineStr">
        <is>
          <t>1</t>
        </is>
      </c>
      <c r="F388" s="4" t="n">
        <v>1</v>
      </c>
      <c r="G388" s="8" t="n"/>
      <c r="H388" s="4">
        <f>IF(G388="","",G388-F388)</f>
        <v/>
      </c>
      <c r="I388" s="9" t="n">
        <v>11500</v>
      </c>
      <c r="J388" s="9">
        <f>IF(G388="","",H388*I388)</f>
        <v/>
      </c>
      <c r="K388" s="8" t="inlineStr"/>
      <c r="L388" s="8" t="inlineStr"/>
      <c r="M388" s="10" t="inlineStr"/>
    </row>
    <row r="389">
      <c r="A389" s="4" t="n">
        <v>385</v>
      </c>
      <c r="B389" s="6" t="inlineStr">
        <is>
          <t>Склад 3</t>
        </is>
      </c>
      <c r="C389" s="4" t="inlineStr">
        <is>
          <t>ЗИП</t>
        </is>
      </c>
      <c r="D389" s="5" t="inlineStr">
        <is>
          <t>Шайба стопорная для Насос НЦВ 100/30</t>
        </is>
      </c>
      <c r="E389" s="4" t="inlineStr">
        <is>
          <t>1</t>
        </is>
      </c>
      <c r="F389" s="4" t="n">
        <v>1</v>
      </c>
      <c r="G389" s="8" t="n"/>
      <c r="H389" s="4">
        <f>IF(G389="","",G389-F389)</f>
        <v/>
      </c>
      <c r="I389" s="9" t="n"/>
      <c r="J389" s="9">
        <f>IF(G389="","",H389*I389)</f>
        <v/>
      </c>
      <c r="K389" s="8" t="inlineStr"/>
      <c r="L389" s="8" t="inlineStr"/>
      <c r="M389" s="10" t="inlineStr"/>
    </row>
    <row r="390">
      <c r="A390" s="4" t="n">
        <v>386</v>
      </c>
      <c r="B390" s="6" t="inlineStr">
        <is>
          <t>Склад 3</t>
        </is>
      </c>
      <c r="C390" s="4" t="inlineStr">
        <is>
          <t>ЗИП</t>
        </is>
      </c>
      <c r="D390" s="5" t="inlineStr">
        <is>
          <t>Шайба стопорная для Насос НЦВ 40/20</t>
        </is>
      </c>
      <c r="E390" s="4" t="inlineStr">
        <is>
          <t>2</t>
        </is>
      </c>
      <c r="F390" s="4" t="n">
        <v>2</v>
      </c>
      <c r="G390" s="8" t="n"/>
      <c r="H390" s="4">
        <f>IF(G390="","",G390-F390)</f>
        <v/>
      </c>
      <c r="I390" s="9" t="n"/>
      <c r="J390" s="9">
        <f>IF(G390="","",H390*I390)</f>
        <v/>
      </c>
      <c r="K390" s="8" t="inlineStr"/>
      <c r="L390" s="8" t="inlineStr"/>
      <c r="M390" s="10" t="inlineStr"/>
    </row>
    <row r="391">
      <c r="A391" s="4" t="n">
        <v>387</v>
      </c>
      <c r="B391" s="6" t="inlineStr">
        <is>
          <t>Склад 3</t>
        </is>
      </c>
      <c r="C391" s="4" t="inlineStr">
        <is>
          <t>Задвижка клинкетная(бронза)</t>
        </is>
      </c>
      <c r="D391" s="5" t="inlineStr">
        <is>
          <t>Задвижка клинкетная Ду100</t>
        </is>
      </c>
      <c r="E391" s="4" t="inlineStr"/>
      <c r="F391" s="4" t="n">
        <v>6</v>
      </c>
      <c r="G391" s="8" t="n"/>
      <c r="H391" s="4">
        <f>IF(G391="","",G391-F391)</f>
        <v/>
      </c>
      <c r="I391" s="9" t="n">
        <v>38000</v>
      </c>
      <c r="J391" s="9">
        <f>IF(G391="","",H391*I391)</f>
        <v/>
      </c>
      <c r="K391" s="8" t="inlineStr"/>
      <c r="L391" s="8" t="inlineStr"/>
      <c r="M391" s="10" t="inlineStr"/>
    </row>
    <row r="392">
      <c r="A392" s="4" t="n">
        <v>388</v>
      </c>
      <c r="B392" s="6" t="inlineStr">
        <is>
          <t>Склад 3</t>
        </is>
      </c>
      <c r="C392" s="4" t="inlineStr">
        <is>
          <t>Задвижка клинкетная(бронза)</t>
        </is>
      </c>
      <c r="D392" s="5" t="inlineStr">
        <is>
          <t>Задвижка клинкетная Ду100</t>
        </is>
      </c>
      <c r="E392" s="4" t="inlineStr"/>
      <c r="F392" s="4" t="n">
        <v>43</v>
      </c>
      <c r="G392" s="8" t="n"/>
      <c r="H392" s="4">
        <f>IF(G392="","",G392-F392)</f>
        <v/>
      </c>
      <c r="I392" s="9" t="n">
        <v>38000</v>
      </c>
      <c r="J392" s="9">
        <f>IF(G392="","",H392*I392)</f>
        <v/>
      </c>
      <c r="K392" s="8" t="inlineStr"/>
      <c r="L392" s="8" t="inlineStr"/>
      <c r="M392" s="10" t="inlineStr"/>
    </row>
    <row r="393">
      <c r="A393" s="4" t="n">
        <v>389</v>
      </c>
      <c r="B393" s="6" t="inlineStr">
        <is>
          <t>Склад 3</t>
        </is>
      </c>
      <c r="C393" s="4" t="inlineStr">
        <is>
          <t>Задвижка клинкетная(бронза)</t>
        </is>
      </c>
      <c r="D393" s="5" t="inlineStr">
        <is>
          <t>Задвижка клинкетная Ду60</t>
        </is>
      </c>
      <c r="E393" s="4" t="inlineStr"/>
      <c r="F393" s="4" t="n">
        <v>1</v>
      </c>
      <c r="G393" s="8" t="n"/>
      <c r="H393" s="4">
        <f>IF(G393="","",G393-F393)</f>
        <v/>
      </c>
      <c r="I393" s="9" t="n">
        <v>18000</v>
      </c>
      <c r="J393" s="9">
        <f>IF(G393="","",H393*I393)</f>
        <v/>
      </c>
      <c r="K393" s="8" t="inlineStr"/>
      <c r="L393" s="8" t="inlineStr"/>
      <c r="M393" s="10" t="inlineStr"/>
    </row>
    <row r="394">
      <c r="A394" s="4" t="n">
        <v>390</v>
      </c>
      <c r="B394" s="6" t="inlineStr">
        <is>
          <t>Склад 3</t>
        </is>
      </c>
      <c r="C394" s="4" t="inlineStr">
        <is>
          <t>Задвижка клинкетная(бронза)</t>
        </is>
      </c>
      <c r="D394" s="5" t="inlineStr">
        <is>
          <t>Задвижка клинкетная Ду65</t>
        </is>
      </c>
      <c r="E394" s="4" t="inlineStr"/>
      <c r="F394" s="4" t="n">
        <v>16</v>
      </c>
      <c r="G394" s="8" t="n"/>
      <c r="H394" s="4">
        <f>IF(G394="","",G394-F394)</f>
        <v/>
      </c>
      <c r="I394" s="9" t="n">
        <v>27000</v>
      </c>
      <c r="J394" s="9">
        <f>IF(G394="","",H394*I394)</f>
        <v/>
      </c>
      <c r="K394" s="8" t="inlineStr"/>
      <c r="L394" s="8" t="inlineStr"/>
      <c r="M394" s="10" t="inlineStr"/>
    </row>
    <row r="395">
      <c r="A395" s="4" t="n">
        <v>391</v>
      </c>
      <c r="B395" s="6" t="inlineStr">
        <is>
          <t>Склад 3</t>
        </is>
      </c>
      <c r="C395" s="4" t="inlineStr">
        <is>
          <t>Задвижка клинкетная(бронза)</t>
        </is>
      </c>
      <c r="D395" s="5" t="inlineStr">
        <is>
          <t>Задвижка клинкетная фланцевая Ду70 Ру6</t>
        </is>
      </c>
      <c r="E395" s="4" t="inlineStr"/>
      <c r="F395" s="4" t="n">
        <v>7</v>
      </c>
      <c r="G395" s="8" t="n"/>
      <c r="H395" s="4">
        <f>IF(G395="","",G395-F395)</f>
        <v/>
      </c>
      <c r="I395" s="9" t="n">
        <v>27000</v>
      </c>
      <c r="J395" s="9">
        <f>IF(G395="","",H395*I395)</f>
        <v/>
      </c>
      <c r="K395" s="8" t="inlineStr"/>
      <c r="L395" s="8" t="inlineStr"/>
      <c r="M395" s="10" t="inlineStr"/>
    </row>
    <row r="396">
      <c r="A396" s="4" t="n">
        <v>392</v>
      </c>
      <c r="B396" s="6" t="inlineStr">
        <is>
          <t>Склад 3</t>
        </is>
      </c>
      <c r="C396" s="4" t="inlineStr">
        <is>
          <t>Задвижка клинкетная(бронза)</t>
        </is>
      </c>
      <c r="D396" s="5" t="inlineStr">
        <is>
          <t>Задвижка клинкетная фланцевая Ду80 Ру6</t>
        </is>
      </c>
      <c r="E396" s="4" t="inlineStr"/>
      <c r="F396" s="4" t="n">
        <v>18</v>
      </c>
      <c r="G396" s="8" t="n"/>
      <c r="H396" s="4">
        <f>IF(G396="","",G396-F396)</f>
        <v/>
      </c>
      <c r="I396" s="9" t="n">
        <v>32000</v>
      </c>
      <c r="J396" s="9">
        <f>IF(G396="","",H396*I396)</f>
        <v/>
      </c>
      <c r="K396" s="8" t="inlineStr"/>
      <c r="L396" s="8" t="inlineStr"/>
      <c r="M396" s="10" t="inlineStr"/>
    </row>
    <row r="397">
      <c r="A397" s="4" t="n">
        <v>393</v>
      </c>
      <c r="B397" s="6" t="inlineStr">
        <is>
          <t>Склад 3</t>
        </is>
      </c>
      <c r="C397" s="4" t="inlineStr">
        <is>
          <t>Задвижки</t>
        </is>
      </c>
      <c r="D397" s="5" t="inlineStr">
        <is>
          <t>Задвижки (желтая) ок. крышек</t>
        </is>
      </c>
      <c r="E397" s="4" t="inlineStr">
        <is>
          <t>544-03.046</t>
        </is>
      </c>
      <c r="F397" s="4" t="n">
        <v>13</v>
      </c>
      <c r="G397" s="8" t="n"/>
      <c r="H397" s="4">
        <f>IF(G397="","",G397-F397)</f>
        <v/>
      </c>
      <c r="I397" s="9" t="n"/>
      <c r="J397" s="9">
        <f>IF(G397="","",H397*I397)</f>
        <v/>
      </c>
      <c r="K397" s="8" t="inlineStr"/>
      <c r="L397" s="8" t="inlineStr"/>
      <c r="M397" s="10" t="inlineStr"/>
    </row>
    <row r="398">
      <c r="A398" s="4" t="n">
        <v>394</v>
      </c>
      <c r="B398" s="6" t="inlineStr">
        <is>
          <t>Склад 3</t>
        </is>
      </c>
      <c r="C398" s="4" t="inlineStr">
        <is>
          <t>Кингстон</t>
        </is>
      </c>
      <c r="D398" s="5" t="inlineStr">
        <is>
          <t>Кингстон донный фланцевый Ду50 Ру2,5</t>
        </is>
      </c>
      <c r="E398" s="4" t="inlineStr">
        <is>
          <t>без чертежа</t>
        </is>
      </c>
      <c r="F398" s="4" t="n">
        <v>1</v>
      </c>
      <c r="G398" s="8" t="n"/>
      <c r="H398" s="4">
        <f>IF(G398="","",G398-F398)</f>
        <v/>
      </c>
      <c r="I398" s="9" t="n">
        <v>17500</v>
      </c>
      <c r="J398" s="9">
        <f>IF(G398="","",H398*I398)</f>
        <v/>
      </c>
      <c r="K398" s="8" t="inlineStr"/>
      <c r="L398" s="8" t="inlineStr"/>
      <c r="M398" s="10" t="inlineStr"/>
    </row>
    <row r="399">
      <c r="A399" s="4" t="n">
        <v>395</v>
      </c>
      <c r="B399" s="6" t="inlineStr">
        <is>
          <t>Склад 3</t>
        </is>
      </c>
      <c r="C399" s="4" t="inlineStr">
        <is>
          <t>Кингстон</t>
        </is>
      </c>
      <c r="D399" s="5" t="inlineStr">
        <is>
          <t>Кингстон донный фланцевый Ду50 Ру2,5</t>
        </is>
      </c>
      <c r="E399" s="4" t="inlineStr">
        <is>
          <t>527-03.054</t>
        </is>
      </c>
      <c r="F399" s="4" t="n">
        <v>1</v>
      </c>
      <c r="G399" s="8" t="n"/>
      <c r="H399" s="4">
        <f>IF(G399="","",G399-F399)</f>
        <v/>
      </c>
      <c r="I399" s="9" t="n">
        <v>17500</v>
      </c>
      <c r="J399" s="9">
        <f>IF(G399="","",H399*I399)</f>
        <v/>
      </c>
      <c r="K399" s="8" t="inlineStr"/>
      <c r="L399" s="8" t="inlineStr"/>
      <c r="M399" s="10" t="inlineStr"/>
    </row>
    <row r="400">
      <c r="A400" s="4" t="n">
        <v>396</v>
      </c>
      <c r="B400" s="6" t="inlineStr">
        <is>
          <t>Склад 3</t>
        </is>
      </c>
      <c r="C400" s="4" t="inlineStr">
        <is>
          <t>Кингстон</t>
        </is>
      </c>
      <c r="D400" s="5" t="inlineStr">
        <is>
          <t>Кингстон донный фланцевый Ду80 Ру2,5</t>
        </is>
      </c>
      <c r="E400" s="4" t="inlineStr">
        <is>
          <t>527-03.055</t>
        </is>
      </c>
      <c r="F400" s="4" t="n">
        <v>2</v>
      </c>
      <c r="G400" s="8" t="n"/>
      <c r="H400" s="4">
        <f>IF(G400="","",G400-F400)</f>
        <v/>
      </c>
      <c r="I400" s="9" t="n">
        <v>32000</v>
      </c>
      <c r="J400" s="9">
        <f>IF(G400="","",H400*I400)</f>
        <v/>
      </c>
      <c r="K400" s="8" t="inlineStr"/>
      <c r="L400" s="8" t="inlineStr"/>
      <c r="M400" s="10" t="inlineStr"/>
    </row>
    <row r="401">
      <c r="A401" s="4" t="n">
        <v>397</v>
      </c>
      <c r="B401" s="6" t="inlineStr">
        <is>
          <t>Склад 3</t>
        </is>
      </c>
      <c r="C401" s="4" t="inlineStr">
        <is>
          <t>Клапан быстрозапор. фланц. проход. с тросиков. приводом</t>
        </is>
      </c>
      <c r="D401" s="5" t="inlineStr">
        <is>
          <t>Клапан быстрозапор. фланц. проход. с тросиков. приводом Ду40Ру6,3</t>
        </is>
      </c>
      <c r="E401" s="4" t="inlineStr">
        <is>
          <t>521-03.020</t>
        </is>
      </c>
      <c r="F401" s="4" t="n">
        <v>7</v>
      </c>
      <c r="G401" s="8" t="n"/>
      <c r="H401" s="4">
        <f>IF(G401="","",G401-F401)</f>
        <v/>
      </c>
      <c r="I401" s="9" t="n">
        <v>26000</v>
      </c>
      <c r="J401" s="9">
        <f>IF(G401="","",H401*I401)</f>
        <v/>
      </c>
      <c r="K401" s="8" t="inlineStr"/>
      <c r="L401" s="8" t="inlineStr"/>
      <c r="M401" s="10" t="inlineStr"/>
    </row>
    <row r="402">
      <c r="A402" s="4" t="n">
        <v>398</v>
      </c>
      <c r="B402" s="6" t="inlineStr">
        <is>
          <t>Склад 3</t>
        </is>
      </c>
      <c r="C402" s="4" t="inlineStr">
        <is>
          <t>Клапан быстрозапор. фланц. проход. с тросиков. приводом</t>
        </is>
      </c>
      <c r="D402" s="5" t="inlineStr">
        <is>
          <t>Клапан быстрозапор. фланц. проход. с тросиков. приводом Ду65Ру6,3</t>
        </is>
      </c>
      <c r="E402" s="4" t="inlineStr">
        <is>
          <t>521-03.022</t>
        </is>
      </c>
      <c r="F402" s="4" t="n">
        <v>5</v>
      </c>
      <c r="G402" s="8" t="n"/>
      <c r="H402" s="4">
        <f>IF(G402="","",G402-F402)</f>
        <v/>
      </c>
      <c r="I402" s="9" t="n">
        <v>35000</v>
      </c>
      <c r="J402" s="9">
        <f>IF(G402="","",H402*I402)</f>
        <v/>
      </c>
      <c r="K402" s="8" t="inlineStr"/>
      <c r="L402" s="8" t="inlineStr"/>
      <c r="M402" s="10" t="inlineStr"/>
    </row>
    <row r="403">
      <c r="A403" s="4" t="n">
        <v>399</v>
      </c>
      <c r="B403" s="6" t="inlineStr">
        <is>
          <t>Склад 3</t>
        </is>
      </c>
      <c r="C403" s="4" t="inlineStr">
        <is>
          <t>Клапан запорн.с присоед.под дюрит проходной</t>
        </is>
      </c>
      <c r="D403" s="5" t="inlineStr">
        <is>
          <t>Клапан запорн.с присоед.под дюрит прох. Ду65</t>
        </is>
      </c>
      <c r="E403" s="4" t="inlineStr">
        <is>
          <t>ИШТЛ 491112-003-04</t>
        </is>
      </c>
      <c r="F403" s="4" t="n">
        <v>20</v>
      </c>
      <c r="G403" s="8" t="n"/>
      <c r="H403" s="4">
        <f>IF(G403="","",G403-F403)</f>
        <v/>
      </c>
      <c r="I403" s="9" t="n"/>
      <c r="J403" s="9">
        <f>IF(G403="","",H403*I403)</f>
        <v/>
      </c>
      <c r="K403" s="8" t="inlineStr"/>
      <c r="L403" s="8" t="inlineStr"/>
      <c r="M403" s="10" t="inlineStr"/>
    </row>
    <row r="404">
      <c r="A404" s="4" t="n">
        <v>400</v>
      </c>
      <c r="B404" s="6" t="inlineStr">
        <is>
          <t>Склад 3</t>
        </is>
      </c>
      <c r="C404" s="4" t="inlineStr">
        <is>
          <t>Клапан невозв-запорн.с присоед.под дюрит проходной</t>
        </is>
      </c>
      <c r="D404" s="5" t="inlineStr">
        <is>
          <t>Клапан невозв-запорн.с присоед.под дюрит прох. Ду 50</t>
        </is>
      </c>
      <c r="E404" s="4" t="inlineStr">
        <is>
          <t>522-03.122-04</t>
        </is>
      </c>
      <c r="F404" s="4" t="n">
        <v>10</v>
      </c>
      <c r="G404" s="8" t="n"/>
      <c r="H404" s="4">
        <f>IF(G404="","",G404-F404)</f>
        <v/>
      </c>
      <c r="I404" s="9" t="n"/>
      <c r="J404" s="9">
        <f>IF(G404="","",H404*I404)</f>
        <v/>
      </c>
      <c r="K404" s="8" t="inlineStr"/>
      <c r="L404" s="8" t="inlineStr"/>
      <c r="M404" s="10" t="inlineStr"/>
    </row>
    <row r="405">
      <c r="A405" s="4" t="n">
        <v>401</v>
      </c>
      <c r="B405" s="6" t="inlineStr">
        <is>
          <t>Склад 3</t>
        </is>
      </c>
      <c r="C405" s="4" t="inlineStr">
        <is>
          <t>Клапан с электромагнитным ручным управлением</t>
        </is>
      </c>
      <c r="D405" s="5" t="inlineStr">
        <is>
          <t>Клапан электромагнитный б/у</t>
        </is>
      </c>
      <c r="E405" s="4" t="inlineStr"/>
      <c r="F405" s="4" t="n">
        <v>4</v>
      </c>
      <c r="G405" s="8" t="n"/>
      <c r="H405" s="4">
        <f>IF(G405="","",G405-F405)</f>
        <v/>
      </c>
      <c r="I405" s="9" t="n"/>
      <c r="J405" s="9">
        <f>IF(G405="","",H405*I405)</f>
        <v/>
      </c>
      <c r="K405" s="8" t="inlineStr"/>
      <c r="L405" s="8" t="inlineStr"/>
      <c r="M405" s="10" t="inlineStr"/>
    </row>
    <row r="406">
      <c r="A406" s="4" t="n">
        <v>402</v>
      </c>
      <c r="B406" s="6" t="inlineStr">
        <is>
          <t>Склад 3</t>
        </is>
      </c>
      <c r="C406" s="4" t="inlineStr">
        <is>
          <t>Клапан фланцевый угловой (бронза)</t>
        </is>
      </c>
      <c r="D406" s="5" t="inlineStr">
        <is>
          <t>Клапан фланцевый угловой Ду150 Ру10</t>
        </is>
      </c>
      <c r="E406" s="4" t="inlineStr"/>
      <c r="F406" s="4" t="n">
        <v>1</v>
      </c>
      <c r="G406" s="8" t="n"/>
      <c r="H406" s="4">
        <f>IF(G406="","",G406-F406)</f>
        <v/>
      </c>
      <c r="I406" s="9" t="n">
        <v>80000</v>
      </c>
      <c r="J406" s="9">
        <f>IF(G406="","",H406*I406)</f>
        <v/>
      </c>
      <c r="K406" s="8" t="inlineStr"/>
      <c r="L406" s="8" t="inlineStr"/>
      <c r="M406" s="10" t="inlineStr"/>
    </row>
    <row r="407">
      <c r="A407" s="4" t="n">
        <v>403</v>
      </c>
      <c r="B407" s="6" t="inlineStr">
        <is>
          <t>Склад 3</t>
        </is>
      </c>
      <c r="C407" s="4" t="inlineStr">
        <is>
          <t>Клапан фланцевый угловой (бронза)</t>
        </is>
      </c>
      <c r="D407" s="5" t="inlineStr">
        <is>
          <t>Клапан фланцевый угловой Ду150 Ру10</t>
        </is>
      </c>
      <c r="E407" s="4" t="inlineStr">
        <is>
          <t>521-01.207</t>
        </is>
      </c>
      <c r="F407" s="4" t="n">
        <v>1</v>
      </c>
      <c r="G407" s="8" t="n"/>
      <c r="H407" s="4">
        <f>IF(G407="","",G407-F407)</f>
        <v/>
      </c>
      <c r="I407" s="9" t="n">
        <v>80000</v>
      </c>
      <c r="J407" s="9">
        <f>IF(G407="","",H407*I407)</f>
        <v/>
      </c>
      <c r="K407" s="8" t="inlineStr"/>
      <c r="L407" s="8" t="inlineStr"/>
      <c r="M407" s="10" t="inlineStr"/>
    </row>
    <row r="408">
      <c r="A408" s="4" t="n">
        <v>404</v>
      </c>
      <c r="B408" s="6" t="inlineStr">
        <is>
          <t>Склад 3</t>
        </is>
      </c>
      <c r="C408" s="4" t="inlineStr">
        <is>
          <t>Клапан фланцевый угловой (бронза)</t>
        </is>
      </c>
      <c r="D408" s="5" t="inlineStr">
        <is>
          <t>Клапан фланцевый угловой Ду25</t>
        </is>
      </c>
      <c r="E408" s="4" t="inlineStr">
        <is>
          <t>521-3М539</t>
        </is>
      </c>
      <c r="F408" s="4" t="n">
        <v>15</v>
      </c>
      <c r="G408" s="8" t="n"/>
      <c r="H408" s="4">
        <f>IF(G408="","",G408-F408)</f>
        <v/>
      </c>
      <c r="I408" s="9" t="n">
        <v>9600</v>
      </c>
      <c r="J408" s="9">
        <f>IF(G408="","",H408*I408)</f>
        <v/>
      </c>
      <c r="K408" s="8" t="inlineStr"/>
      <c r="L408" s="8" t="inlineStr"/>
      <c r="M408" s="10" t="inlineStr"/>
    </row>
    <row r="409">
      <c r="A409" s="4" t="n">
        <v>405</v>
      </c>
      <c r="B409" s="6" t="inlineStr">
        <is>
          <t>Склад 3</t>
        </is>
      </c>
      <c r="C409" s="4" t="inlineStr">
        <is>
          <t>Клапан фланцевый угловой (бронза)</t>
        </is>
      </c>
      <c r="D409" s="5" t="inlineStr">
        <is>
          <t>Клапан фланцевый угловой Ду40 Ру10</t>
        </is>
      </c>
      <c r="E409" s="4" t="inlineStr">
        <is>
          <t>522-03.202</t>
        </is>
      </c>
      <c r="F409" s="4" t="n">
        <v>1</v>
      </c>
      <c r="G409" s="8" t="n"/>
      <c r="H409" s="4">
        <f>IF(G409="","",G409-F409)</f>
        <v/>
      </c>
      <c r="I409" s="9" t="n">
        <v>16000</v>
      </c>
      <c r="J409" s="9">
        <f>IF(G409="","",H409*I409)</f>
        <v/>
      </c>
      <c r="K409" s="8" t="inlineStr"/>
      <c r="L409" s="8" t="inlineStr"/>
      <c r="M409" s="10" t="inlineStr"/>
    </row>
    <row r="410">
      <c r="A410" s="4" t="n">
        <v>406</v>
      </c>
      <c r="B410" s="6" t="inlineStr">
        <is>
          <t>Склад 3</t>
        </is>
      </c>
      <c r="C410" s="4" t="inlineStr">
        <is>
          <t>Клапан фланцевый угловой (бронза)</t>
        </is>
      </c>
      <c r="D410" s="5" t="inlineStr">
        <is>
          <t>Клапан фланцевый угловой Ду40 Ру25</t>
        </is>
      </c>
      <c r="E410" s="4" t="inlineStr">
        <is>
          <t>521-01.200</t>
        </is>
      </c>
      <c r="F410" s="4" t="n">
        <v>1</v>
      </c>
      <c r="G410" s="8" t="n"/>
      <c r="H410" s="4">
        <f>IF(G410="","",G410-F410)</f>
        <v/>
      </c>
      <c r="I410" s="9" t="n">
        <v>18000</v>
      </c>
      <c r="J410" s="9">
        <f>IF(G410="","",H410*I410)</f>
        <v/>
      </c>
      <c r="K410" s="8" t="inlineStr"/>
      <c r="L410" s="8" t="inlineStr"/>
      <c r="M410" s="10" t="inlineStr"/>
    </row>
    <row r="411">
      <c r="A411" s="4" t="n">
        <v>407</v>
      </c>
      <c r="B411" s="6" t="inlineStr">
        <is>
          <t>Склад 3</t>
        </is>
      </c>
      <c r="C411" s="4" t="inlineStr">
        <is>
          <t>Клапан фланцевый угловой (бронза)</t>
        </is>
      </c>
      <c r="D411" s="5" t="inlineStr">
        <is>
          <t>Клапан фланцевый угловой Ду50 Ру25</t>
        </is>
      </c>
      <c r="E411" s="4" t="inlineStr">
        <is>
          <t>СВ/Т3197-95В25050</t>
        </is>
      </c>
      <c r="F411" s="4" t="n">
        <v>7</v>
      </c>
      <c r="G411" s="8" t="n"/>
      <c r="H411" s="4">
        <f>IF(G411="","",G411-F411)</f>
        <v/>
      </c>
      <c r="I411" s="9" t="n">
        <v>22500</v>
      </c>
      <c r="J411" s="9">
        <f>IF(G411="","",H411*I411)</f>
        <v/>
      </c>
      <c r="K411" s="8" t="inlineStr"/>
      <c r="L411" s="8" t="inlineStr"/>
      <c r="M411" s="10" t="inlineStr"/>
    </row>
    <row r="412">
      <c r="A412" s="4" t="n">
        <v>408</v>
      </c>
      <c r="B412" s="6" t="inlineStr">
        <is>
          <t>Склад 3</t>
        </is>
      </c>
      <c r="C412" s="4" t="inlineStr">
        <is>
          <t>Клапан фланцевый угловой (бронза)</t>
        </is>
      </c>
      <c r="D412" s="5" t="inlineStr">
        <is>
          <t>Клапан фланцевый угловой Ду65 Ру10</t>
        </is>
      </c>
      <c r="E412" s="4" t="inlineStr">
        <is>
          <t>522-35.4154-02</t>
        </is>
      </c>
      <c r="F412" s="4" t="n">
        <v>6</v>
      </c>
      <c r="G412" s="8" t="n"/>
      <c r="H412" s="4">
        <f>IF(G412="","",G412-F412)</f>
        <v/>
      </c>
      <c r="I412" s="9" t="n">
        <v>27000</v>
      </c>
      <c r="J412" s="9">
        <f>IF(G412="","",H412*I412)</f>
        <v/>
      </c>
      <c r="K412" s="8" t="inlineStr"/>
      <c r="L412" s="8" t="inlineStr"/>
      <c r="M412" s="10" t="inlineStr"/>
    </row>
    <row r="413">
      <c r="A413" s="4" t="n">
        <v>409</v>
      </c>
      <c r="B413" s="6" t="inlineStr">
        <is>
          <t>Склад 3</t>
        </is>
      </c>
      <c r="C413" s="4" t="inlineStr">
        <is>
          <t>Клапан фланцевый угловой (бронза)</t>
        </is>
      </c>
      <c r="D413" s="5" t="inlineStr">
        <is>
          <t>Клапан фланцевый угловой Ду65 Ру10</t>
        </is>
      </c>
      <c r="E413" s="4" t="inlineStr">
        <is>
          <t>522-35.4201</t>
        </is>
      </c>
      <c r="F413" s="4" t="n">
        <v>3</v>
      </c>
      <c r="G413" s="8" t="n"/>
      <c r="H413" s="4">
        <f>IF(G413="","",G413-F413)</f>
        <v/>
      </c>
      <c r="I413" s="9" t="n">
        <v>27000</v>
      </c>
      <c r="J413" s="9">
        <f>IF(G413="","",H413*I413)</f>
        <v/>
      </c>
      <c r="K413" s="8" t="inlineStr"/>
      <c r="L413" s="8" t="inlineStr"/>
      <c r="M413" s="10" t="inlineStr"/>
    </row>
    <row r="414">
      <c r="A414" s="4" t="n">
        <v>410</v>
      </c>
      <c r="B414" s="6" t="inlineStr">
        <is>
          <t>Склад 3</t>
        </is>
      </c>
      <c r="C414" s="4" t="inlineStr">
        <is>
          <t>Клапан фланцевый угловой (бронза)</t>
        </is>
      </c>
      <c r="D414" s="5" t="inlineStr">
        <is>
          <t>Клапан фланцевый угловой Ду65 Ру10</t>
        </is>
      </c>
      <c r="E414" s="4" t="inlineStr">
        <is>
          <t>521-03.195</t>
        </is>
      </c>
      <c r="F414" s="4" t="n">
        <v>12</v>
      </c>
      <c r="G414" s="8" t="n"/>
      <c r="H414" s="4">
        <f>IF(G414="","",G414-F414)</f>
        <v/>
      </c>
      <c r="I414" s="9" t="n">
        <v>27000</v>
      </c>
      <c r="J414" s="9">
        <f>IF(G414="","",H414*I414)</f>
        <v/>
      </c>
      <c r="K414" s="8" t="inlineStr"/>
      <c r="L414" s="8" t="inlineStr"/>
      <c r="M414" s="10" t="inlineStr"/>
    </row>
    <row r="415">
      <c r="A415" s="4" t="n">
        <v>411</v>
      </c>
      <c r="B415" s="6" t="inlineStr">
        <is>
          <t>Склад 3</t>
        </is>
      </c>
      <c r="C415" s="4" t="inlineStr">
        <is>
          <t>Клапан фланцевый угловой (бронза)</t>
        </is>
      </c>
      <c r="D415" s="5" t="inlineStr">
        <is>
          <t>Клапан фланцевый угловой Ду80</t>
        </is>
      </c>
      <c r="E415" s="4" t="inlineStr">
        <is>
          <t>522-03.197</t>
        </is>
      </c>
      <c r="F415" s="4" t="n">
        <v>7</v>
      </c>
      <c r="G415" s="8" t="n"/>
      <c r="H415" s="4">
        <f>IF(G415="","",G415-F415)</f>
        <v/>
      </c>
      <c r="I415" s="9" t="n">
        <v>34000</v>
      </c>
      <c r="J415" s="9">
        <f>IF(G415="","",H415*I415)</f>
        <v/>
      </c>
      <c r="K415" s="8" t="inlineStr"/>
      <c r="L415" s="8" t="inlineStr"/>
      <c r="M415" s="10" t="inlineStr"/>
    </row>
    <row r="416">
      <c r="A416" s="4" t="n">
        <v>412</v>
      </c>
      <c r="B416" s="6" t="inlineStr">
        <is>
          <t>Склад 3</t>
        </is>
      </c>
      <c r="C416" s="4" t="inlineStr">
        <is>
          <t>Клапан штуцерный проходной</t>
        </is>
      </c>
      <c r="D416" s="5" t="inlineStr">
        <is>
          <t>Клапан штуцерный проходной Ду 10</t>
        </is>
      </c>
      <c r="E416" s="4" t="inlineStr"/>
      <c r="F416" s="4" t="n">
        <v>83</v>
      </c>
      <c r="G416" s="8" t="n"/>
      <c r="H416" s="4">
        <f>IF(G416="","",G416-F416)</f>
        <v/>
      </c>
      <c r="I416" s="9" t="n">
        <v>3500</v>
      </c>
      <c r="J416" s="9">
        <f>IF(G416="","",H416*I416)</f>
        <v/>
      </c>
      <c r="K416" s="8" t="inlineStr"/>
      <c r="L416" s="8" t="inlineStr"/>
      <c r="M416" s="10" t="inlineStr"/>
    </row>
    <row r="417">
      <c r="A417" s="4" t="n">
        <v>413</v>
      </c>
      <c r="B417" s="6" t="inlineStr">
        <is>
          <t>Склад 3</t>
        </is>
      </c>
      <c r="C417" s="4" t="inlineStr">
        <is>
          <t>Клапан штуцерный проходной</t>
        </is>
      </c>
      <c r="D417" s="5" t="inlineStr">
        <is>
          <t>Клапан штуцерный проходной Ду 20</t>
        </is>
      </c>
      <c r="E417" s="4" t="inlineStr"/>
      <c r="F417" s="4" t="n">
        <v>100</v>
      </c>
      <c r="G417" s="8" t="n"/>
      <c r="H417" s="4">
        <f>IF(G417="","",G417-F417)</f>
        <v/>
      </c>
      <c r="I417" s="9" t="n">
        <v>7500</v>
      </c>
      <c r="J417" s="9">
        <f>IF(G417="","",H417*I417)</f>
        <v/>
      </c>
      <c r="K417" s="8" t="inlineStr"/>
      <c r="L417" s="8" t="inlineStr"/>
      <c r="M417" s="10" t="inlineStr"/>
    </row>
    <row r="418">
      <c r="A418" s="4" t="n">
        <v>414</v>
      </c>
      <c r="B418" s="6" t="inlineStr">
        <is>
          <t>Склад 3</t>
        </is>
      </c>
      <c r="C418" s="4" t="inlineStr">
        <is>
          <t>Клапан штуцерный проходной</t>
        </is>
      </c>
      <c r="D418" s="5" t="inlineStr">
        <is>
          <t>Клапан штуцерный проходной Ду 25 (Китай)</t>
        </is>
      </c>
      <c r="E418" s="4" t="inlineStr"/>
      <c r="F418" s="4" t="n">
        <v>79</v>
      </c>
      <c r="G418" s="8" t="n"/>
      <c r="H418" s="4">
        <f>IF(G418="","",G418-F418)</f>
        <v/>
      </c>
      <c r="I418" s="9" t="n">
        <v>10000</v>
      </c>
      <c r="J418" s="9">
        <f>IF(G418="","",H418*I418)</f>
        <v/>
      </c>
      <c r="K418" s="8" t="inlineStr"/>
      <c r="L418" s="8" t="inlineStr"/>
      <c r="M418" s="10" t="inlineStr"/>
    </row>
    <row r="419">
      <c r="A419" s="4" t="n">
        <v>415</v>
      </c>
      <c r="B419" s="6" t="inlineStr">
        <is>
          <t>Склад 3</t>
        </is>
      </c>
      <c r="C419" s="4" t="inlineStr">
        <is>
          <t>Клапан штуцерный проходной</t>
        </is>
      </c>
      <c r="D419" s="5" t="inlineStr">
        <is>
          <t>Клапан штущерный проходной Ду15</t>
        </is>
      </c>
      <c r="E419" s="4" t="inlineStr"/>
      <c r="F419" s="4" t="n">
        <v>44</v>
      </c>
      <c r="G419" s="8" t="n"/>
      <c r="H419" s="4">
        <f>IF(G419="","",G419-F419)</f>
        <v/>
      </c>
      <c r="I419" s="9" t="n">
        <v>9500</v>
      </c>
      <c r="J419" s="9">
        <f>IF(G419="","",H419*I419)</f>
        <v/>
      </c>
      <c r="K419" s="8" t="inlineStr"/>
      <c r="L419" s="8" t="inlineStr"/>
      <c r="M419" s="10" t="inlineStr"/>
    </row>
    <row r="420">
      <c r="A420" s="4" t="n">
        <v>416</v>
      </c>
      <c r="B420" s="6" t="inlineStr">
        <is>
          <t>Склад 3</t>
        </is>
      </c>
      <c r="C420" s="4" t="inlineStr">
        <is>
          <t>Клапан штуцерный угловой</t>
        </is>
      </c>
      <c r="D420" s="5" t="inlineStr">
        <is>
          <t>Клапан штуцерный угловой Ду15</t>
        </is>
      </c>
      <c r="E420" s="4" t="inlineStr"/>
      <c r="F420" s="4" t="n">
        <v>10</v>
      </c>
      <c r="G420" s="8" t="n"/>
      <c r="H420" s="4">
        <f>IF(G420="","",G420-F420)</f>
        <v/>
      </c>
      <c r="I420" s="9" t="n">
        <v>9000</v>
      </c>
      <c r="J420" s="9">
        <f>IF(G420="","",H420*I420)</f>
        <v/>
      </c>
      <c r="K420" s="8" t="inlineStr"/>
      <c r="L420" s="8" t="inlineStr"/>
      <c r="M420" s="10" t="inlineStr"/>
    </row>
    <row r="421">
      <c r="A421" s="4" t="n">
        <v>417</v>
      </c>
      <c r="B421" s="6" t="inlineStr">
        <is>
          <t>Склад 3</t>
        </is>
      </c>
      <c r="C421" s="4" t="inlineStr">
        <is>
          <t>Клапан штуцерный угловой</t>
        </is>
      </c>
      <c r="D421" s="5" t="inlineStr">
        <is>
          <t>Клапан штуцерный угловой Ду25</t>
        </is>
      </c>
      <c r="E421" s="4" t="inlineStr"/>
      <c r="F421" s="4" t="n">
        <v>6</v>
      </c>
      <c r="G421" s="8" t="n"/>
      <c r="H421" s="4">
        <f>IF(G421="","",G421-F421)</f>
        <v/>
      </c>
      <c r="I421" s="9" t="n">
        <v>7500</v>
      </c>
      <c r="J421" s="9">
        <f>IF(G421="","",H421*I421)</f>
        <v/>
      </c>
      <c r="K421" s="8" t="inlineStr"/>
      <c r="L421" s="8" t="inlineStr"/>
      <c r="M421" s="10" t="inlineStr"/>
    </row>
    <row r="422">
      <c r="A422" s="4" t="n">
        <v>418</v>
      </c>
      <c r="B422" s="6" t="inlineStr">
        <is>
          <t>Склад 3</t>
        </is>
      </c>
      <c r="C422" s="4" t="inlineStr">
        <is>
          <t>Клапан штуцерный угловой</t>
        </is>
      </c>
      <c r="D422" s="5" t="inlineStr">
        <is>
          <t>Клапан штуцерный угловой Ду32</t>
        </is>
      </c>
      <c r="E422" s="4" t="inlineStr"/>
      <c r="F422" s="4" t="n">
        <v>8</v>
      </c>
      <c r="G422" s="8" t="n"/>
      <c r="H422" s="4">
        <f>IF(G422="","",G422-F422)</f>
        <v/>
      </c>
      <c r="I422" s="9" t="n">
        <v>9600</v>
      </c>
      <c r="J422" s="9">
        <f>IF(G422="","",H422*I422)</f>
        <v/>
      </c>
      <c r="K422" s="8" t="inlineStr"/>
      <c r="L422" s="8" t="inlineStr"/>
      <c r="M422" s="10" t="inlineStr"/>
    </row>
    <row r="423">
      <c r="A423" s="4" t="n">
        <v>419</v>
      </c>
      <c r="B423" s="6" t="inlineStr">
        <is>
          <t>Склад 3</t>
        </is>
      </c>
      <c r="C423" s="4" t="inlineStr">
        <is>
          <t>Клапана фланцевые проходные</t>
        </is>
      </c>
      <c r="D423" s="5" t="inlineStr">
        <is>
          <t>Клапан фланцевый проходной ДУ20 Ру25</t>
        </is>
      </c>
      <c r="E423" s="4" t="inlineStr">
        <is>
          <t>521-3М.324</t>
        </is>
      </c>
      <c r="F423" s="4" t="n">
        <v>8</v>
      </c>
      <c r="G423" s="8" t="n"/>
      <c r="H423" s="4">
        <f>IF(G423="","",G423-F423)</f>
        <v/>
      </c>
      <c r="I423" s="9" t="n">
        <v>10000</v>
      </c>
      <c r="J423" s="9">
        <f>IF(G423="","",H423*I423)</f>
        <v/>
      </c>
      <c r="K423" s="8" t="inlineStr"/>
      <c r="L423" s="8" t="inlineStr"/>
      <c r="M423" s="10" t="inlineStr"/>
    </row>
    <row r="424">
      <c r="A424" s="4" t="n">
        <v>420</v>
      </c>
      <c r="B424" s="6" t="inlineStr">
        <is>
          <t>Склад 3</t>
        </is>
      </c>
      <c r="C424" s="4" t="inlineStr">
        <is>
          <t>Клапана фланцевые проходные</t>
        </is>
      </c>
      <c r="D424" s="5" t="inlineStr">
        <is>
          <t>Клапан фланцевый проходной ДУ25 ???</t>
        </is>
      </c>
      <c r="E424" s="4" t="inlineStr">
        <is>
          <t>с камчатки</t>
        </is>
      </c>
      <c r="F424" s="4" t="n">
        <v>1</v>
      </c>
      <c r="G424" s="8" t="n"/>
      <c r="H424" s="4">
        <f>IF(G424="","",G424-F424)</f>
        <v/>
      </c>
      <c r="I424" s="9" t="n">
        <v>12000</v>
      </c>
      <c r="J424" s="9">
        <f>IF(G424="","",H424*I424)</f>
        <v/>
      </c>
      <c r="K424" s="8" t="inlineStr"/>
      <c r="L424" s="8" t="inlineStr"/>
      <c r="M424" s="10" t="inlineStr"/>
    </row>
    <row r="425">
      <c r="A425" s="4" t="n">
        <v>421</v>
      </c>
      <c r="B425" s="6" t="inlineStr">
        <is>
          <t>Склад 3</t>
        </is>
      </c>
      <c r="C425" s="4" t="inlineStr">
        <is>
          <t>Клапана фланцевые проходные</t>
        </is>
      </c>
      <c r="D425" s="5" t="inlineStr">
        <is>
          <t>Клапан фланцевый проходной ДУ32 Ру25</t>
        </is>
      </c>
      <c r="E425" s="4" t="inlineStr">
        <is>
          <t>УН522-3М38</t>
        </is>
      </c>
      <c r="F425" s="4" t="n">
        <v>2</v>
      </c>
      <c r="G425" s="8" t="n"/>
      <c r="H425" s="4">
        <f>IF(G425="","",G425-F425)</f>
        <v/>
      </c>
      <c r="I425" s="9" t="n">
        <v>14000</v>
      </c>
      <c r="J425" s="9">
        <f>IF(G425="","",H425*I425)</f>
        <v/>
      </c>
      <c r="K425" s="8" t="inlineStr"/>
      <c r="L425" s="8" t="inlineStr"/>
      <c r="M425" s="10" t="inlineStr"/>
    </row>
    <row r="426">
      <c r="A426" s="4" t="n">
        <v>422</v>
      </c>
      <c r="B426" s="6" t="inlineStr">
        <is>
          <t>Склад 3</t>
        </is>
      </c>
      <c r="C426" s="4" t="inlineStr">
        <is>
          <t>Клапана фланцевые проходные</t>
        </is>
      </c>
      <c r="D426" s="5" t="inlineStr">
        <is>
          <t>Клапан фланцевый проходной ДУ32 Ру25</t>
        </is>
      </c>
      <c r="E426" s="4" t="inlineStr">
        <is>
          <t>521-01.180</t>
        </is>
      </c>
      <c r="F426" s="4" t="n">
        <v>6</v>
      </c>
      <c r="G426" s="8" t="n"/>
      <c r="H426" s="4">
        <f>IF(G426="","",G426-F426)</f>
        <v/>
      </c>
      <c r="I426" s="9" t="n">
        <v>14000</v>
      </c>
      <c r="J426" s="9">
        <f>IF(G426="","",H426*I426)</f>
        <v/>
      </c>
      <c r="K426" s="8" t="inlineStr"/>
      <c r="L426" s="8" t="inlineStr"/>
      <c r="M426" s="10" t="inlineStr"/>
    </row>
    <row r="427">
      <c r="A427" s="4" t="n">
        <v>423</v>
      </c>
      <c r="B427" s="6" t="inlineStr">
        <is>
          <t>Склад 3</t>
        </is>
      </c>
      <c r="C427" s="4" t="inlineStr">
        <is>
          <t>Клапана фланцевые проходные</t>
        </is>
      </c>
      <c r="D427" s="5" t="inlineStr">
        <is>
          <t>Клапан фланцевый проходной ДУ32 Ру25 (сталь)</t>
        </is>
      </c>
      <c r="E427" s="4" t="inlineStr">
        <is>
          <t>521-01.068</t>
        </is>
      </c>
      <c r="F427" s="4" t="n">
        <v>1</v>
      </c>
      <c r="G427" s="8" t="n"/>
      <c r="H427" s="4">
        <f>IF(G427="","",G427-F427)</f>
        <v/>
      </c>
      <c r="I427" s="9" t="n">
        <v>9600</v>
      </c>
      <c r="J427" s="9">
        <f>IF(G427="","",H427*I427)</f>
        <v/>
      </c>
      <c r="K427" s="8" t="inlineStr"/>
      <c r="L427" s="8" t="inlineStr"/>
      <c r="M427" s="10" t="inlineStr"/>
    </row>
    <row r="428">
      <c r="A428" s="4" t="n">
        <v>424</v>
      </c>
      <c r="B428" s="6" t="inlineStr">
        <is>
          <t>Склад 3</t>
        </is>
      </c>
      <c r="C428" s="4" t="inlineStr">
        <is>
          <t>Клапана фланцевые проходные</t>
        </is>
      </c>
      <c r="D428" s="5" t="inlineStr">
        <is>
          <t>Клапан фланцевый проходной Ду100 Ру10</t>
        </is>
      </c>
      <c r="E428" s="4" t="inlineStr"/>
      <c r="F428" s="4" t="n">
        <v>5</v>
      </c>
      <c r="G428" s="8" t="n"/>
      <c r="H428" s="4">
        <f>IF(G428="","",G428-F428)</f>
        <v/>
      </c>
      <c r="I428" s="9" t="n">
        <v>42000</v>
      </c>
      <c r="J428" s="9">
        <f>IF(G428="","",H428*I428)</f>
        <v/>
      </c>
      <c r="K428" s="8" t="inlineStr"/>
      <c r="L428" s="8" t="inlineStr"/>
      <c r="M428" s="10" t="inlineStr"/>
    </row>
    <row r="429">
      <c r="A429" s="4" t="n">
        <v>425</v>
      </c>
      <c r="B429" s="6" t="inlineStr">
        <is>
          <t>Склад 3</t>
        </is>
      </c>
      <c r="C429" s="4" t="inlineStr">
        <is>
          <t>Клапана фланцевые проходные</t>
        </is>
      </c>
      <c r="D429" s="5" t="inlineStr">
        <is>
          <t>Клапан фланцевый проходной Ду125</t>
        </is>
      </c>
      <c r="E429" s="4" t="inlineStr"/>
      <c r="F429" s="4" t="n">
        <v>6</v>
      </c>
      <c r="G429" s="8" t="n"/>
      <c r="H429" s="4">
        <f>IF(G429="","",G429-F429)</f>
        <v/>
      </c>
      <c r="I429" s="9" t="n">
        <v>46000</v>
      </c>
      <c r="J429" s="9">
        <f>IF(G429="","",H429*I429)</f>
        <v/>
      </c>
      <c r="K429" s="8" t="inlineStr"/>
      <c r="L429" s="8" t="inlineStr"/>
      <c r="M429" s="10" t="inlineStr"/>
    </row>
    <row r="430">
      <c r="A430" s="4" t="n">
        <v>426</v>
      </c>
      <c r="B430" s="6" t="inlineStr">
        <is>
          <t>Склад 3</t>
        </is>
      </c>
      <c r="C430" s="4" t="inlineStr">
        <is>
          <t>Клапана фланцевые проходные</t>
        </is>
      </c>
      <c r="D430" s="5" t="inlineStr">
        <is>
          <t>Клапан фланцевый проходной Ду125 Ру10</t>
        </is>
      </c>
      <c r="E430" s="4" t="inlineStr"/>
      <c r="F430" s="4" t="n">
        <v>3</v>
      </c>
      <c r="G430" s="8" t="n"/>
      <c r="H430" s="4">
        <f>IF(G430="","",G430-F430)</f>
        <v/>
      </c>
      <c r="I430" s="9" t="n">
        <v>46000</v>
      </c>
      <c r="J430" s="9">
        <f>IF(G430="","",H430*I430)</f>
        <v/>
      </c>
      <c r="K430" s="8" t="inlineStr"/>
      <c r="L430" s="8" t="inlineStr"/>
      <c r="M430" s="10" t="inlineStr"/>
    </row>
    <row r="431">
      <c r="A431" s="4" t="n">
        <v>427</v>
      </c>
      <c r="B431" s="6" t="inlineStr">
        <is>
          <t>Склад 3</t>
        </is>
      </c>
      <c r="C431" s="4" t="inlineStr">
        <is>
          <t>Клапана фланцевые проходные</t>
        </is>
      </c>
      <c r="D431" s="5" t="inlineStr">
        <is>
          <t>Клапан фланцевый проходной Ду150</t>
        </is>
      </c>
      <c r="E431" s="4" t="inlineStr"/>
      <c r="F431" s="4" t="n">
        <v>2</v>
      </c>
      <c r="G431" s="8" t="n"/>
      <c r="H431" s="4">
        <f>IF(G431="","",G431-F431)</f>
        <v/>
      </c>
      <c r="I431" s="9" t="n">
        <v>80000</v>
      </c>
      <c r="J431" s="9">
        <f>IF(G431="","",H431*I431)</f>
        <v/>
      </c>
      <c r="K431" s="8" t="inlineStr"/>
      <c r="L431" s="8" t="inlineStr"/>
      <c r="M431" s="10" t="inlineStr"/>
    </row>
    <row r="432">
      <c r="A432" s="4" t="n">
        <v>428</v>
      </c>
      <c r="B432" s="6" t="inlineStr">
        <is>
          <t>Склад 3</t>
        </is>
      </c>
      <c r="C432" s="4" t="inlineStr">
        <is>
          <t>Клапана фланцевые проходные</t>
        </is>
      </c>
      <c r="D432" s="5" t="inlineStr">
        <is>
          <t>Клапан фланцевый проходной Ду200 Ру6</t>
        </is>
      </c>
      <c r="E432" s="4" t="inlineStr">
        <is>
          <t>522-03.184</t>
        </is>
      </c>
      <c r="F432" s="4" t="n">
        <v>1</v>
      </c>
      <c r="G432" s="8" t="n"/>
      <c r="H432" s="4">
        <f>IF(G432="","",G432-F432)</f>
        <v/>
      </c>
      <c r="I432" s="9" t="n">
        <v>120000</v>
      </c>
      <c r="J432" s="9">
        <f>IF(G432="","",H432*I432)</f>
        <v/>
      </c>
      <c r="K432" s="8" t="inlineStr"/>
      <c r="L432" s="8" t="inlineStr"/>
      <c r="M432" s="10" t="inlineStr"/>
    </row>
    <row r="433">
      <c r="A433" s="4" t="n">
        <v>429</v>
      </c>
      <c r="B433" s="6" t="inlineStr">
        <is>
          <t>Склад 3</t>
        </is>
      </c>
      <c r="C433" s="4" t="inlineStr">
        <is>
          <t>Клапана фланцевые проходные</t>
        </is>
      </c>
      <c r="D433" s="5" t="inlineStr">
        <is>
          <t>Клапан фланцевый проходной Ду50</t>
        </is>
      </c>
      <c r="E433" s="4" t="inlineStr"/>
      <c r="F433" s="4" t="n">
        <v>66</v>
      </c>
      <c r="G433" s="8" t="n"/>
      <c r="H433" s="4">
        <f>IF(G433="","",G433-F433)</f>
        <v/>
      </c>
      <c r="I433" s="9" t="n">
        <v>22500</v>
      </c>
      <c r="J433" s="9">
        <f>IF(G433="","",H433*I433)</f>
        <v/>
      </c>
      <c r="K433" s="8" t="inlineStr"/>
      <c r="L433" s="8" t="inlineStr"/>
      <c r="M433" s="10" t="inlineStr"/>
    </row>
    <row r="434">
      <c r="A434" s="4" t="n">
        <v>430</v>
      </c>
      <c r="B434" s="6" t="inlineStr">
        <is>
          <t>Склад 3</t>
        </is>
      </c>
      <c r="C434" s="4" t="inlineStr">
        <is>
          <t>Клапана фланцевые проходные</t>
        </is>
      </c>
      <c r="D434" s="5" t="inlineStr">
        <is>
          <t>Клапан фланцевый проходной Ду50 Ру25</t>
        </is>
      </c>
      <c r="E434" s="4" t="inlineStr">
        <is>
          <t>521-01.128</t>
        </is>
      </c>
      <c r="F434" s="4" t="n">
        <v>5</v>
      </c>
      <c r="G434" s="8" t="n"/>
      <c r="H434" s="4">
        <f>IF(G434="","",G434-F434)</f>
        <v/>
      </c>
      <c r="I434" s="9" t="n">
        <v>22500</v>
      </c>
      <c r="J434" s="9">
        <f>IF(G434="","",H434*I434)</f>
        <v/>
      </c>
      <c r="K434" s="8" t="inlineStr"/>
      <c r="L434" s="8" t="inlineStr"/>
      <c r="M434" s="10" t="inlineStr"/>
    </row>
    <row r="435">
      <c r="A435" s="4" t="n">
        <v>431</v>
      </c>
      <c r="B435" s="6" t="inlineStr">
        <is>
          <t>Склад 3</t>
        </is>
      </c>
      <c r="C435" s="4" t="inlineStr">
        <is>
          <t>Клапана фланцевые проходные</t>
        </is>
      </c>
      <c r="D435" s="5" t="inlineStr">
        <is>
          <t>Клапан фланцевый проходной Ду65</t>
        </is>
      </c>
      <c r="E435" s="4" t="inlineStr"/>
      <c r="F435" s="4" t="n">
        <v>25</v>
      </c>
      <c r="G435" s="8" t="n"/>
      <c r="H435" s="4">
        <f>IF(G435="","",G435-F435)</f>
        <v/>
      </c>
      <c r="I435" s="9" t="n">
        <v>27000</v>
      </c>
      <c r="J435" s="9">
        <f>IF(G435="","",H435*I435)</f>
        <v/>
      </c>
      <c r="K435" s="8" t="inlineStr"/>
      <c r="L435" s="8" t="inlineStr"/>
      <c r="M435" s="10" t="inlineStr"/>
    </row>
    <row r="436">
      <c r="A436" s="4" t="n">
        <v>432</v>
      </c>
      <c r="B436" s="6" t="inlineStr">
        <is>
          <t>Склад 3</t>
        </is>
      </c>
      <c r="C436" s="4" t="inlineStr">
        <is>
          <t>Клапана фланцевые проходные</t>
        </is>
      </c>
      <c r="D436" s="5" t="inlineStr">
        <is>
          <t>Клапан фланцевый проходной Ду65 Ру10</t>
        </is>
      </c>
      <c r="E436" s="4" t="inlineStr">
        <is>
          <t>521-03.488</t>
        </is>
      </c>
      <c r="F436" s="4" t="n">
        <v>1</v>
      </c>
      <c r="G436" s="8" t="n"/>
      <c r="H436" s="4">
        <f>IF(G436="","",G436-F436)</f>
        <v/>
      </c>
      <c r="I436" s="9" t="n">
        <v>27000</v>
      </c>
      <c r="J436" s="9">
        <f>IF(G436="","",H436*I436)</f>
        <v/>
      </c>
      <c r="K436" s="8" t="inlineStr"/>
      <c r="L436" s="8" t="inlineStr"/>
      <c r="M436" s="10" t="inlineStr"/>
    </row>
    <row r="437">
      <c r="A437" s="4" t="n">
        <v>433</v>
      </c>
      <c r="B437" s="6" t="inlineStr">
        <is>
          <t>Склад 3</t>
        </is>
      </c>
      <c r="C437" s="4" t="inlineStr">
        <is>
          <t>Клапана фланцевые проходные</t>
        </is>
      </c>
      <c r="D437" s="5" t="inlineStr">
        <is>
          <t>Клапан фланцевый проходной Ду70 Ру10</t>
        </is>
      </c>
      <c r="E437" s="4" t="inlineStr">
        <is>
          <t>521-01.184</t>
        </is>
      </c>
      <c r="F437" s="4" t="n">
        <v>5</v>
      </c>
      <c r="G437" s="8" t="n"/>
      <c r="H437" s="4">
        <f>IF(G437="","",G437-F437)</f>
        <v/>
      </c>
      <c r="I437" s="9" t="n">
        <v>30000</v>
      </c>
      <c r="J437" s="9">
        <f>IF(G437="","",H437*I437)</f>
        <v/>
      </c>
      <c r="K437" s="8" t="inlineStr"/>
      <c r="L437" s="8" t="inlineStr"/>
      <c r="M437" s="10" t="inlineStr"/>
    </row>
    <row r="438">
      <c r="A438" s="4" t="n">
        <v>434</v>
      </c>
      <c r="B438" s="6" t="inlineStr">
        <is>
          <t>Склад 3</t>
        </is>
      </c>
      <c r="C438" s="4" t="inlineStr">
        <is>
          <t>Клапана фланцевые проходные</t>
        </is>
      </c>
      <c r="D438" s="5" t="inlineStr">
        <is>
          <t>Клапан фланцевый проходной Ду70 Ру10</t>
        </is>
      </c>
      <c r="E438" s="4" t="inlineStr">
        <is>
          <t>522-01.226</t>
        </is>
      </c>
      <c r="F438" s="4" t="n">
        <v>2</v>
      </c>
      <c r="G438" s="8" t="n"/>
      <c r="H438" s="4">
        <f>IF(G438="","",G438-F438)</f>
        <v/>
      </c>
      <c r="I438" s="9" t="n">
        <v>30000</v>
      </c>
      <c r="J438" s="9">
        <f>IF(G438="","",H438*I438)</f>
        <v/>
      </c>
      <c r="K438" s="8" t="inlineStr"/>
      <c r="L438" s="8" t="inlineStr"/>
      <c r="M438" s="10" t="inlineStr"/>
    </row>
    <row r="439">
      <c r="A439" s="4" t="n">
        <v>435</v>
      </c>
      <c r="B439" s="6" t="inlineStr">
        <is>
          <t>Склад 3</t>
        </is>
      </c>
      <c r="C439" s="4" t="inlineStr">
        <is>
          <t>Клапана фланцевые проходные</t>
        </is>
      </c>
      <c r="D439" s="5" t="inlineStr">
        <is>
          <t>Клапан фланцевый проходной Ду80</t>
        </is>
      </c>
      <c r="E439" s="4" t="inlineStr"/>
      <c r="F439" s="4" t="n">
        <v>6</v>
      </c>
      <c r="G439" s="8" t="n"/>
      <c r="H439" s="4">
        <f>IF(G439="","",G439-F439)</f>
        <v/>
      </c>
      <c r="I439" s="9" t="n">
        <v>36000</v>
      </c>
      <c r="J439" s="9">
        <f>IF(G439="","",H439*I439)</f>
        <v/>
      </c>
      <c r="K439" s="8" t="inlineStr"/>
      <c r="L439" s="8" t="inlineStr"/>
      <c r="M439" s="10" t="inlineStr"/>
    </row>
    <row r="440">
      <c r="A440" s="4" t="n">
        <v>436</v>
      </c>
      <c r="B440" s="6" t="inlineStr">
        <is>
          <t>Склад 3</t>
        </is>
      </c>
      <c r="C440" s="4" t="inlineStr">
        <is>
          <t>Колонка указательная с плоским рифленым стеклом</t>
        </is>
      </c>
      <c r="D440" s="5" t="inlineStr">
        <is>
          <t>Колонка указательная с плоским рифленым стеклом Ду10Ру10</t>
        </is>
      </c>
      <c r="E440" s="4" t="inlineStr">
        <is>
          <t>598-03.083-01</t>
        </is>
      </c>
      <c r="F440" s="4" t="n">
        <v>16</v>
      </c>
      <c r="G440" s="8" t="n"/>
      <c r="H440" s="4">
        <f>IF(G440="","",G440-F440)</f>
        <v/>
      </c>
      <c r="I440" s="9" t="n">
        <v>6000</v>
      </c>
      <c r="J440" s="9">
        <f>IF(G440="","",H440*I440)</f>
        <v/>
      </c>
      <c r="K440" s="8" t="inlineStr"/>
      <c r="L440" s="8" t="inlineStr"/>
      <c r="M440" s="10" t="inlineStr"/>
    </row>
    <row r="441">
      <c r="A441" s="4" t="n">
        <v>437</v>
      </c>
      <c r="B441" s="6" t="inlineStr">
        <is>
          <t>Склад 3</t>
        </is>
      </c>
      <c r="C441" s="4" t="inlineStr">
        <is>
          <t>Компенсатор</t>
        </is>
      </c>
      <c r="D441" s="5" t="inlineStr">
        <is>
          <t>Компенсатор Ду 150</t>
        </is>
      </c>
      <c r="E441" s="4" t="inlineStr"/>
      <c r="F441" s="4" t="n">
        <v>3</v>
      </c>
      <c r="G441" s="8" t="n"/>
      <c r="H441" s="4">
        <f>IF(G441="","",G441-F441)</f>
        <v/>
      </c>
      <c r="I441" s="9" t="n"/>
      <c r="J441" s="9">
        <f>IF(G441="","",H441*I441)</f>
        <v/>
      </c>
      <c r="K441" s="8" t="inlineStr"/>
      <c r="L441" s="8" t="inlineStr"/>
      <c r="M441" s="10" t="inlineStr"/>
    </row>
    <row r="442">
      <c r="A442" s="4" t="n">
        <v>438</v>
      </c>
      <c r="B442" s="6" t="inlineStr">
        <is>
          <t>Склад 3</t>
        </is>
      </c>
      <c r="C442" s="4" t="inlineStr">
        <is>
          <t>Компенсатор</t>
        </is>
      </c>
      <c r="D442" s="5" t="inlineStr">
        <is>
          <t>Компенсатор Ду 200 Ру2,5</t>
        </is>
      </c>
      <c r="E442" s="4" t="inlineStr">
        <is>
          <t>551-03.185-01</t>
        </is>
      </c>
      <c r="F442" s="4" t="n">
        <v>2</v>
      </c>
      <c r="G442" s="8" t="n"/>
      <c r="H442" s="4">
        <f>IF(G442="","",G442-F442)</f>
        <v/>
      </c>
      <c r="I442" s="9" t="n"/>
      <c r="J442" s="9">
        <f>IF(G442="","",H442*I442)</f>
        <v/>
      </c>
      <c r="K442" s="8" t="inlineStr"/>
      <c r="L442" s="8" t="inlineStr"/>
      <c r="M442" s="10" t="inlineStr"/>
    </row>
    <row r="443">
      <c r="A443" s="4" t="n">
        <v>439</v>
      </c>
      <c r="B443" s="6" t="inlineStr">
        <is>
          <t>Склад 3</t>
        </is>
      </c>
      <c r="C443" s="4" t="inlineStr">
        <is>
          <t>Коробка 2-х клапановая фланцевая</t>
        </is>
      </c>
      <c r="D443" s="5" t="inlineStr">
        <is>
          <t>Коробка 2-х клапановая фланцевая Ду50</t>
        </is>
      </c>
      <c r="E443" s="4" t="inlineStr"/>
      <c r="F443" s="4" t="n">
        <v>4</v>
      </c>
      <c r="G443" s="8" t="n"/>
      <c r="H443" s="4">
        <f>IF(G443="","",G443-F443)</f>
        <v/>
      </c>
      <c r="I443" s="9" t="n">
        <v>35000</v>
      </c>
      <c r="J443" s="9">
        <f>IF(G443="","",H443*I443)</f>
        <v/>
      </c>
      <c r="K443" s="8" t="inlineStr"/>
      <c r="L443" s="8" t="inlineStr"/>
      <c r="M443" s="10" t="inlineStr"/>
    </row>
    <row r="444">
      <c r="A444" s="4" t="n">
        <v>440</v>
      </c>
      <c r="B444" s="6" t="inlineStr">
        <is>
          <t>Склад 3</t>
        </is>
      </c>
      <c r="C444" s="4" t="inlineStr">
        <is>
          <t>Коробка 2-х клапановая фланцевая</t>
        </is>
      </c>
      <c r="D444" s="5" t="inlineStr">
        <is>
          <t>Коробка 2-х клапановая фланцевая Ду80</t>
        </is>
      </c>
      <c r="E444" s="4" t="inlineStr"/>
      <c r="F444" s="4" t="n">
        <v>2</v>
      </c>
      <c r="G444" s="8" t="n"/>
      <c r="H444" s="4">
        <f>IF(G444="","",G444-F444)</f>
        <v/>
      </c>
      <c r="I444" s="9" t="n">
        <v>44000</v>
      </c>
      <c r="J444" s="9">
        <f>IF(G444="","",H444*I444)</f>
        <v/>
      </c>
      <c r="K444" s="8" t="inlineStr"/>
      <c r="L444" s="8" t="inlineStr"/>
      <c r="M444" s="10" t="inlineStr"/>
    </row>
    <row r="445">
      <c r="A445" s="4" t="n">
        <v>441</v>
      </c>
      <c r="B445" s="6" t="inlineStr">
        <is>
          <t>Склад 3</t>
        </is>
      </c>
      <c r="C445" s="4" t="inlineStr">
        <is>
          <t>Коробка 2-х клапановая фланцевая</t>
        </is>
      </c>
      <c r="D445" s="5" t="inlineStr">
        <is>
          <t>Коробка 2-х клапановая фланцевая Ду80</t>
        </is>
      </c>
      <c r="E445" s="4" t="inlineStr">
        <is>
          <t>526-03.163</t>
        </is>
      </c>
      <c r="F445" s="4" t="n">
        <v>2</v>
      </c>
      <c r="G445" s="8" t="n"/>
      <c r="H445" s="4">
        <f>IF(G445="","",G445-F445)</f>
        <v/>
      </c>
      <c r="I445" s="9" t="n">
        <v>60000</v>
      </c>
      <c r="J445" s="9">
        <f>IF(G445="","",H445*I445)</f>
        <v/>
      </c>
      <c r="K445" s="8" t="inlineStr"/>
      <c r="L445" s="8" t="inlineStr"/>
      <c r="M445" s="10" t="inlineStr"/>
    </row>
    <row r="446">
      <c r="A446" s="4" t="n">
        <v>442</v>
      </c>
      <c r="B446" s="6" t="inlineStr">
        <is>
          <t>Склад 3</t>
        </is>
      </c>
      <c r="C446" s="4" t="inlineStr">
        <is>
          <t>Коробка 2-х клапановая фланцевая</t>
        </is>
      </c>
      <c r="D446" s="5" t="inlineStr">
        <is>
          <t>Коробка 2-х клапановая фланцевая Ду80</t>
        </is>
      </c>
      <c r="E446" s="4" t="inlineStr"/>
      <c r="F446" s="4" t="n">
        <v>15</v>
      </c>
      <c r="G446" s="8" t="n"/>
      <c r="H446" s="4">
        <f>IF(G446="","",G446-F446)</f>
        <v/>
      </c>
      <c r="I446" s="9" t="n">
        <v>44000</v>
      </c>
      <c r="J446" s="9">
        <f>IF(G446="","",H446*I446)</f>
        <v/>
      </c>
      <c r="K446" s="8" t="inlineStr"/>
      <c r="L446" s="8" t="inlineStr"/>
      <c r="M446" s="10" t="inlineStr"/>
    </row>
    <row r="447">
      <c r="A447" s="4" t="n">
        <v>443</v>
      </c>
      <c r="B447" s="6" t="inlineStr">
        <is>
          <t>Склад 3</t>
        </is>
      </c>
      <c r="C447" s="4" t="inlineStr">
        <is>
          <t>Коробка 3-х клапановая фланцевая невозврат.</t>
        </is>
      </c>
      <c r="D447" s="5" t="inlineStr">
        <is>
          <t>Коробка 3-х клап.фланцевая Ду80</t>
        </is>
      </c>
      <c r="E447" s="4" t="inlineStr"/>
      <c r="F447" s="4" t="n">
        <v>3</v>
      </c>
      <c r="G447" s="8" t="n"/>
      <c r="H447" s="4">
        <f>IF(G447="","",G447-F447)</f>
        <v/>
      </c>
      <c r="I447" s="9" t="n"/>
      <c r="J447" s="9">
        <f>IF(G447="","",H447*I447)</f>
        <v/>
      </c>
      <c r="K447" s="8" t="inlineStr"/>
      <c r="L447" s="8" t="inlineStr"/>
      <c r="M447" s="10" t="inlineStr"/>
    </row>
    <row r="448">
      <c r="A448" s="4" t="n">
        <v>444</v>
      </c>
      <c r="B448" s="6" t="inlineStr">
        <is>
          <t>Склад 3</t>
        </is>
      </c>
      <c r="C448" s="4" t="inlineStr">
        <is>
          <t>Коробка 3-х клапановая фланцевая невозврат.</t>
        </is>
      </c>
      <c r="D448" s="5" t="inlineStr">
        <is>
          <t>Коробка 3-х клап.фланцевая запорная Ду50 Ру6</t>
        </is>
      </c>
      <c r="E448" s="4" t="inlineStr"/>
      <c r="F448" s="4" t="n">
        <v>1</v>
      </c>
      <c r="G448" s="8" t="n"/>
      <c r="H448" s="4">
        <f>IF(G448="","",G448-F448)</f>
        <v/>
      </c>
      <c r="I448" s="9" t="n"/>
      <c r="J448" s="9">
        <f>IF(G448="","",H448*I448)</f>
        <v/>
      </c>
      <c r="K448" s="8" t="inlineStr"/>
      <c r="L448" s="8" t="inlineStr"/>
      <c r="M448" s="10" t="inlineStr"/>
    </row>
    <row r="449">
      <c r="A449" s="4" t="n">
        <v>445</v>
      </c>
      <c r="B449" s="6" t="inlineStr">
        <is>
          <t>Склад 3</t>
        </is>
      </c>
      <c r="C449" s="4" t="inlineStr">
        <is>
          <t>Коробка 3-х клапановая фланцевая невозврат.</t>
        </is>
      </c>
      <c r="D449" s="5" t="inlineStr">
        <is>
          <t>Коробка 3-х клап.фланцевая запорная Ду50 Ру6</t>
        </is>
      </c>
      <c r="E449" s="4" t="inlineStr">
        <is>
          <t>526-03.107</t>
        </is>
      </c>
      <c r="F449" s="4" t="n">
        <v>2</v>
      </c>
      <c r="G449" s="8" t="n"/>
      <c r="H449" s="4">
        <f>IF(G449="","",G449-F449)</f>
        <v/>
      </c>
      <c r="I449" s="9" t="n"/>
      <c r="J449" s="9">
        <f>IF(G449="","",H449*I449)</f>
        <v/>
      </c>
      <c r="K449" s="8" t="inlineStr"/>
      <c r="L449" s="8" t="inlineStr"/>
      <c r="M449" s="10" t="inlineStr"/>
    </row>
    <row r="450">
      <c r="A450" s="4" t="n">
        <v>446</v>
      </c>
      <c r="B450" s="6" t="inlineStr">
        <is>
          <t>Склад 3</t>
        </is>
      </c>
      <c r="C450" s="4" t="inlineStr">
        <is>
          <t>Коробка 3-х клапановая фланцевая невозврат.</t>
        </is>
      </c>
      <c r="D450" s="5" t="inlineStr">
        <is>
          <t>Коробка 3-х клап.фланцевая невозврат.Ду80 Ру6</t>
        </is>
      </c>
      <c r="E450" s="4" t="inlineStr">
        <is>
          <t>526-03.097</t>
        </is>
      </c>
      <c r="F450" s="4" t="n">
        <v>6</v>
      </c>
      <c r="G450" s="8" t="n"/>
      <c r="H450" s="4">
        <f>IF(G450="","",G450-F450)</f>
        <v/>
      </c>
      <c r="I450" s="9" t="n">
        <v>80000</v>
      </c>
      <c r="J450" s="9">
        <f>IF(G450="","",H450*I450)</f>
        <v/>
      </c>
      <c r="K450" s="8" t="inlineStr"/>
      <c r="L450" s="8" t="inlineStr"/>
      <c r="M450" s="10" t="inlineStr"/>
    </row>
    <row r="451">
      <c r="A451" s="4" t="n">
        <v>447</v>
      </c>
      <c r="B451" s="6" t="inlineStr">
        <is>
          <t>Склад 3</t>
        </is>
      </c>
      <c r="C451" s="4" t="inlineStr">
        <is>
          <t>Коробка 3-х клапановая фланцевая невозврат.</t>
        </is>
      </c>
      <c r="D451" s="5" t="inlineStr">
        <is>
          <t>Коробка 3-х клап.фланцевая невозврат.Ду80 Ру6</t>
        </is>
      </c>
      <c r="E451" s="4" t="inlineStr">
        <is>
          <t>526-03.097</t>
        </is>
      </c>
      <c r="F451" s="4" t="n">
        <v>2</v>
      </c>
      <c r="G451" s="8" t="n"/>
      <c r="H451" s="4">
        <f>IF(G451="","",G451-F451)</f>
        <v/>
      </c>
      <c r="I451" s="9" t="n"/>
      <c r="J451" s="9">
        <f>IF(G451="","",H451*I451)</f>
        <v/>
      </c>
      <c r="K451" s="8" t="inlineStr"/>
      <c r="L451" s="8" t="inlineStr"/>
      <c r="M451" s="10" t="inlineStr"/>
    </row>
    <row r="452">
      <c r="A452" s="4" t="n">
        <v>448</v>
      </c>
      <c r="B452" s="6" t="inlineStr">
        <is>
          <t>Склад 3</t>
        </is>
      </c>
      <c r="C452" s="4" t="inlineStr">
        <is>
          <t>Крышка</t>
        </is>
      </c>
      <c r="D452" s="5" t="inlineStr">
        <is>
          <t>Крышка с коменсом и жалюзи 120*280</t>
        </is>
      </c>
      <c r="E452" s="4" t="inlineStr">
        <is>
          <t>546-03.074-01</t>
        </is>
      </c>
      <c r="F452" s="4" t="n">
        <v>4</v>
      </c>
      <c r="G452" s="8" t="n"/>
      <c r="H452" s="4">
        <f>IF(G452="","",G452-F452)</f>
        <v/>
      </c>
      <c r="I452" s="9" t="n"/>
      <c r="J452" s="9">
        <f>IF(G452="","",H452*I452)</f>
        <v/>
      </c>
      <c r="K452" s="8" t="inlineStr"/>
      <c r="L452" s="8" t="inlineStr"/>
      <c r="M452" s="10" t="inlineStr"/>
    </row>
    <row r="453">
      <c r="A453" s="4" t="n">
        <v>449</v>
      </c>
      <c r="B453" s="6" t="inlineStr">
        <is>
          <t>Склад 3</t>
        </is>
      </c>
      <c r="C453" s="4" t="inlineStr">
        <is>
          <t>Крышка</t>
        </is>
      </c>
      <c r="D453" s="5" t="inlineStr">
        <is>
          <t>Крышка с коменсом и жалюзи 190*390</t>
        </is>
      </c>
      <c r="E453" s="4" t="inlineStr">
        <is>
          <t>546-03.076</t>
        </is>
      </c>
      <c r="F453" s="4" t="n">
        <v>1</v>
      </c>
      <c r="G453" s="8" t="n"/>
      <c r="H453" s="4">
        <f>IF(G453="","",G453-F453)</f>
        <v/>
      </c>
      <c r="I453" s="9" t="n"/>
      <c r="J453" s="9">
        <f>IF(G453="","",H453*I453)</f>
        <v/>
      </c>
      <c r="K453" s="8" t="inlineStr"/>
      <c r="L453" s="8" t="inlineStr"/>
      <c r="M453" s="10" t="inlineStr"/>
    </row>
    <row r="454">
      <c r="A454" s="4" t="n">
        <v>450</v>
      </c>
      <c r="B454" s="6" t="inlineStr">
        <is>
          <t>Склад 3</t>
        </is>
      </c>
      <c r="C454" s="4" t="inlineStr">
        <is>
          <t>Крышка</t>
        </is>
      </c>
      <c r="D454" s="5" t="inlineStr">
        <is>
          <t>Крышка с коменсом и жалюзи 240*420</t>
        </is>
      </c>
      <c r="E454" s="4" t="inlineStr">
        <is>
          <t>546-03.092</t>
        </is>
      </c>
      <c r="F454" s="4" t="n">
        <v>1</v>
      </c>
      <c r="G454" s="8" t="n"/>
      <c r="H454" s="4">
        <f>IF(G454="","",G454-F454)</f>
        <v/>
      </c>
      <c r="I454" s="9" t="n"/>
      <c r="J454" s="9">
        <f>IF(G454="","",H454*I454)</f>
        <v/>
      </c>
      <c r="K454" s="8" t="inlineStr"/>
      <c r="L454" s="8" t="inlineStr"/>
      <c r="M454" s="10" t="inlineStr"/>
    </row>
    <row r="455">
      <c r="A455" s="4" t="n">
        <v>451</v>
      </c>
      <c r="B455" s="6" t="inlineStr">
        <is>
          <t>Склад 3</t>
        </is>
      </c>
      <c r="C455" s="4" t="inlineStr">
        <is>
          <t>Крышка</t>
        </is>
      </c>
      <c r="D455" s="5" t="inlineStr">
        <is>
          <t>Крышка с коменсом и жалюзи 290*460</t>
        </is>
      </c>
      <c r="E455" s="4" t="inlineStr">
        <is>
          <t>546-03.094</t>
        </is>
      </c>
      <c r="F455" s="4" t="n">
        <v>6</v>
      </c>
      <c r="G455" s="8" t="n"/>
      <c r="H455" s="4">
        <f>IF(G455="","",G455-F455)</f>
        <v/>
      </c>
      <c r="I455" s="9" t="n"/>
      <c r="J455" s="9">
        <f>IF(G455="","",H455*I455)</f>
        <v/>
      </c>
      <c r="K455" s="8" t="inlineStr"/>
      <c r="L455" s="8" t="inlineStr"/>
      <c r="M455" s="10" t="inlineStr"/>
    </row>
    <row r="456">
      <c r="A456" s="4" t="n">
        <v>452</v>
      </c>
      <c r="B456" s="6" t="inlineStr">
        <is>
          <t>Склад 3</t>
        </is>
      </c>
      <c r="C456" s="4" t="inlineStr">
        <is>
          <t>Крышка</t>
        </is>
      </c>
      <c r="D456" s="5" t="inlineStr">
        <is>
          <t>Крышка с коменсом и жалюзи 290*730</t>
        </is>
      </c>
      <c r="E456" s="4" t="inlineStr">
        <is>
          <t>546-03.096</t>
        </is>
      </c>
      <c r="F456" s="4" t="n">
        <v>4</v>
      </c>
      <c r="G456" s="8" t="n"/>
      <c r="H456" s="4">
        <f>IF(G456="","",G456-F456)</f>
        <v/>
      </c>
      <c r="I456" s="9" t="n"/>
      <c r="J456" s="9">
        <f>IF(G456="","",H456*I456)</f>
        <v/>
      </c>
      <c r="K456" s="8" t="inlineStr"/>
      <c r="L456" s="8" t="inlineStr"/>
      <c r="M456" s="10" t="inlineStr"/>
    </row>
    <row r="457">
      <c r="A457" s="4" t="n">
        <v>453</v>
      </c>
      <c r="B457" s="6" t="inlineStr">
        <is>
          <t>Склад 3</t>
        </is>
      </c>
      <c r="C457" s="4" t="inlineStr">
        <is>
          <t>Насосы</t>
        </is>
      </c>
      <c r="D457" s="5" t="inlineStr">
        <is>
          <t>Насос ЭВН 5/5</t>
        </is>
      </c>
      <c r="E457" s="4" t="inlineStr"/>
      <c r="F457" s="4" t="n">
        <v>1</v>
      </c>
      <c r="G457" s="8" t="n"/>
      <c r="H457" s="4">
        <f>IF(G457="","",G457-F457)</f>
        <v/>
      </c>
      <c r="I457" s="9" t="n">
        <v>184668</v>
      </c>
      <c r="J457" s="9">
        <f>IF(G457="","",H457*I457)</f>
        <v/>
      </c>
      <c r="K457" s="8" t="inlineStr"/>
      <c r="L457" s="8" t="inlineStr"/>
      <c r="M457" s="10" t="inlineStr"/>
    </row>
    <row r="458">
      <c r="A458" s="4" t="n">
        <v>454</v>
      </c>
      <c r="B458" s="6" t="inlineStr">
        <is>
          <t>Склад 3</t>
        </is>
      </c>
      <c r="C458" s="4" t="inlineStr">
        <is>
          <t>ЭЛЕКТРИКА</t>
        </is>
      </c>
      <c r="D458" s="5" t="inlineStr">
        <is>
          <t>Автомат (расцепитель) АМ 8Н-5 375А</t>
        </is>
      </c>
      <c r="E458" s="4" t="inlineStr">
        <is>
          <t>1</t>
        </is>
      </c>
      <c r="F458" s="4" t="n">
        <v>1</v>
      </c>
      <c r="G458" s="8" t="n"/>
      <c r="H458" s="4">
        <f>IF(G458="","",G458-F458)</f>
        <v/>
      </c>
      <c r="I458" s="9" t="n"/>
      <c r="J458" s="9">
        <f>IF(G458="","",H458*I458)</f>
        <v/>
      </c>
      <c r="K458" s="8" t="inlineStr"/>
      <c r="L458" s="8" t="inlineStr"/>
      <c r="M458" s="10" t="inlineStr"/>
    </row>
    <row r="459">
      <c r="A459" s="4" t="n">
        <v>455</v>
      </c>
      <c r="B459" s="6" t="inlineStr">
        <is>
          <t>Склад 3</t>
        </is>
      </c>
      <c r="C459" s="4" t="inlineStr">
        <is>
          <t>ЭЛЕКТРИКА</t>
        </is>
      </c>
      <c r="D459" s="5" t="inlineStr">
        <is>
          <t>Автомат АЕ 204 М-400-00У3 25А</t>
        </is>
      </c>
      <c r="E459" s="4" t="inlineStr">
        <is>
          <t>1</t>
        </is>
      </c>
      <c r="F459" s="4" t="n">
        <v>1</v>
      </c>
      <c r="G459" s="8" t="n"/>
      <c r="H459" s="4">
        <f>IF(G459="","",G459-F459)</f>
        <v/>
      </c>
      <c r="I459" s="9" t="n"/>
      <c r="J459" s="9">
        <f>IF(G459="","",H459*I459)</f>
        <v/>
      </c>
      <c r="K459" s="8" t="inlineStr"/>
      <c r="L459" s="8" t="inlineStr"/>
      <c r="M459" s="10" t="inlineStr"/>
    </row>
    <row r="460">
      <c r="A460" s="4" t="n">
        <v>456</v>
      </c>
      <c r="B460" s="6" t="inlineStr">
        <is>
          <t>Склад 3</t>
        </is>
      </c>
      <c r="C460" s="4" t="inlineStr">
        <is>
          <t>ЭЛЕКТРИКА</t>
        </is>
      </c>
      <c r="D460" s="5" t="inlineStr">
        <is>
          <t>Автомат.выключ. АК 25 2МГ 0,6А</t>
        </is>
      </c>
      <c r="E460" s="4" t="inlineStr">
        <is>
          <t>2</t>
        </is>
      </c>
      <c r="F460" s="4" t="n">
        <v>2</v>
      </c>
      <c r="G460" s="8" t="n"/>
      <c r="H460" s="4">
        <f>IF(G460="","",G460-F460)</f>
        <v/>
      </c>
      <c r="I460" s="9" t="n">
        <v>4004</v>
      </c>
      <c r="J460" s="9">
        <f>IF(G460="","",H460*I460)</f>
        <v/>
      </c>
      <c r="K460" s="8" t="inlineStr"/>
      <c r="L460" s="8" t="inlineStr"/>
      <c r="M460" s="10" t="inlineStr"/>
    </row>
    <row r="461">
      <c r="A461" s="4" t="n">
        <v>457</v>
      </c>
      <c r="B461" s="6" t="inlineStr">
        <is>
          <t>Склад 3</t>
        </is>
      </c>
      <c r="C461" s="4" t="inlineStr">
        <is>
          <t>ЭЛЕКТРИКА</t>
        </is>
      </c>
      <c r="D461" s="5" t="inlineStr">
        <is>
          <t>Автомат.выключ. АК 25 2МГ 0,8А</t>
        </is>
      </c>
      <c r="E461" s="4" t="inlineStr">
        <is>
          <t>1</t>
        </is>
      </c>
      <c r="F461" s="4" t="n">
        <v>1</v>
      </c>
      <c r="G461" s="8" t="n"/>
      <c r="H461" s="4">
        <f>IF(G461="","",G461-F461)</f>
        <v/>
      </c>
      <c r="I461" s="9" t="n">
        <v>4312</v>
      </c>
      <c r="J461" s="9">
        <f>IF(G461="","",H461*I461)</f>
        <v/>
      </c>
      <c r="K461" s="8" t="inlineStr"/>
      <c r="L461" s="8" t="inlineStr"/>
      <c r="M461" s="10" t="inlineStr"/>
    </row>
    <row r="462">
      <c r="A462" s="4" t="n">
        <v>458</v>
      </c>
      <c r="B462" s="6" t="inlineStr">
        <is>
          <t>Склад 3</t>
        </is>
      </c>
      <c r="C462" s="4" t="inlineStr">
        <is>
          <t>ЭЛЕКТРИКА</t>
        </is>
      </c>
      <c r="D462" s="5" t="inlineStr">
        <is>
          <t>Автомат.выключ. АК 25 2МГ 10А</t>
        </is>
      </c>
      <c r="E462" s="4" t="inlineStr">
        <is>
          <t>25</t>
        </is>
      </c>
      <c r="F462" s="4" t="n">
        <v>25</v>
      </c>
      <c r="G462" s="8" t="n"/>
      <c r="H462" s="4">
        <f>IF(G462="","",G462-F462)</f>
        <v/>
      </c>
      <c r="I462" s="9" t="n">
        <v>4004</v>
      </c>
      <c r="J462" s="9">
        <f>IF(G462="","",H462*I462)</f>
        <v/>
      </c>
      <c r="K462" s="8" t="inlineStr"/>
      <c r="L462" s="8" t="inlineStr"/>
      <c r="M462" s="10" t="inlineStr"/>
    </row>
    <row r="463">
      <c r="A463" s="4" t="n">
        <v>459</v>
      </c>
      <c r="B463" s="6" t="inlineStr">
        <is>
          <t>Склад 3</t>
        </is>
      </c>
      <c r="C463" s="4" t="inlineStr">
        <is>
          <t>ЭЛЕКТРИКА</t>
        </is>
      </c>
      <c r="D463" s="5" t="inlineStr">
        <is>
          <t>Автомат.выключ. АК 25 2МГ 12,5А</t>
        </is>
      </c>
      <c r="E463" s="4" t="inlineStr">
        <is>
          <t>5</t>
        </is>
      </c>
      <c r="F463" s="4" t="n">
        <v>5</v>
      </c>
      <c r="G463" s="8" t="n"/>
      <c r="H463" s="4">
        <f>IF(G463="","",G463-F463)</f>
        <v/>
      </c>
      <c r="I463" s="9" t="n">
        <v>4004</v>
      </c>
      <c r="J463" s="9">
        <f>IF(G463="","",H463*I463)</f>
        <v/>
      </c>
      <c r="K463" s="8" t="inlineStr"/>
      <c r="L463" s="8" t="inlineStr"/>
      <c r="M463" s="10" t="inlineStr"/>
    </row>
    <row r="464">
      <c r="A464" s="4" t="n">
        <v>460</v>
      </c>
      <c r="B464" s="6" t="inlineStr">
        <is>
          <t>Склад 3</t>
        </is>
      </c>
      <c r="C464" s="4" t="inlineStr">
        <is>
          <t>ЭЛЕКТРИКА</t>
        </is>
      </c>
      <c r="D464" s="5" t="inlineStr">
        <is>
          <t>Автомат.выключ. АК 25 2МГ 16А</t>
        </is>
      </c>
      <c r="E464" s="4" t="inlineStr">
        <is>
          <t>8</t>
        </is>
      </c>
      <c r="F464" s="4" t="n">
        <v>8</v>
      </c>
      <c r="G464" s="8" t="n"/>
      <c r="H464" s="4">
        <f>IF(G464="","",G464-F464)</f>
        <v/>
      </c>
      <c r="I464" s="9" t="n">
        <v>4004</v>
      </c>
      <c r="J464" s="9">
        <f>IF(G464="","",H464*I464)</f>
        <v/>
      </c>
      <c r="K464" s="8" t="inlineStr"/>
      <c r="L464" s="8" t="inlineStr"/>
      <c r="M464" s="10" t="inlineStr"/>
    </row>
    <row r="465">
      <c r="A465" s="4" t="n">
        <v>461</v>
      </c>
      <c r="B465" s="6" t="inlineStr">
        <is>
          <t>Склад 3</t>
        </is>
      </c>
      <c r="C465" s="4" t="inlineStr">
        <is>
          <t>ЭЛЕКТРИКА</t>
        </is>
      </c>
      <c r="D465" s="5" t="inlineStr">
        <is>
          <t>Автомат.выключ. АК 25 2МГ 2,5А</t>
        </is>
      </c>
      <c r="E465" s="4" t="inlineStr">
        <is>
          <t>1</t>
        </is>
      </c>
      <c r="F465" s="4" t="n">
        <v>1</v>
      </c>
      <c r="G465" s="8" t="n"/>
      <c r="H465" s="4">
        <f>IF(G465="","",G465-F465)</f>
        <v/>
      </c>
      <c r="I465" s="9" t="n">
        <v>4004</v>
      </c>
      <c r="J465" s="9">
        <f>IF(G465="","",H465*I465)</f>
        <v/>
      </c>
      <c r="K465" s="8" t="inlineStr"/>
      <c r="L465" s="8" t="inlineStr"/>
      <c r="M465" s="10" t="inlineStr"/>
    </row>
    <row r="466">
      <c r="A466" s="4" t="n">
        <v>462</v>
      </c>
      <c r="B466" s="6" t="inlineStr">
        <is>
          <t>Склад 3</t>
        </is>
      </c>
      <c r="C466" s="4" t="inlineStr">
        <is>
          <t>ЭЛЕКТРИКА</t>
        </is>
      </c>
      <c r="D466" s="5" t="inlineStr">
        <is>
          <t>Автомат.выключ. АК 25 2МГ 20А</t>
        </is>
      </c>
      <c r="E466" s="4" t="inlineStr">
        <is>
          <t>4</t>
        </is>
      </c>
      <c r="F466" s="4" t="n">
        <v>4</v>
      </c>
      <c r="G466" s="8" t="n"/>
      <c r="H466" s="4">
        <f>IF(G466="","",G466-F466)</f>
        <v/>
      </c>
      <c r="I466" s="9" t="n">
        <v>4004</v>
      </c>
      <c r="J466" s="9">
        <f>IF(G466="","",H466*I466)</f>
        <v/>
      </c>
      <c r="K466" s="8" t="inlineStr"/>
      <c r="L466" s="8" t="inlineStr"/>
      <c r="M466" s="10" t="inlineStr"/>
    </row>
    <row r="467">
      <c r="A467" s="4" t="n">
        <v>463</v>
      </c>
      <c r="B467" s="6" t="inlineStr">
        <is>
          <t>Склад 3</t>
        </is>
      </c>
      <c r="C467" s="4" t="inlineStr">
        <is>
          <t>ЭЛЕКТРИКА</t>
        </is>
      </c>
      <c r="D467" s="5" t="inlineStr">
        <is>
          <t>Автомат.выключ. АК 25 2МГ 25А</t>
        </is>
      </c>
      <c r="E467" s="4" t="inlineStr">
        <is>
          <t>6</t>
        </is>
      </c>
      <c r="F467" s="4" t="n">
        <v>6</v>
      </c>
      <c r="G467" s="8" t="n"/>
      <c r="H467" s="4">
        <f>IF(G467="","",G467-F467)</f>
        <v/>
      </c>
      <c r="I467" s="9" t="n">
        <v>4004</v>
      </c>
      <c r="J467" s="9">
        <f>IF(G467="","",H467*I467)</f>
        <v/>
      </c>
      <c r="K467" s="8" t="inlineStr"/>
      <c r="L467" s="8" t="inlineStr"/>
      <c r="M467" s="10" t="inlineStr"/>
    </row>
    <row r="468">
      <c r="A468" s="4" t="n">
        <v>464</v>
      </c>
      <c r="B468" s="6" t="inlineStr">
        <is>
          <t>Склад 3</t>
        </is>
      </c>
      <c r="C468" s="4" t="inlineStr">
        <is>
          <t>ЭЛЕКТРИКА</t>
        </is>
      </c>
      <c r="D468" s="5" t="inlineStr">
        <is>
          <t>Автомат.выключ. АК 25 2МГ 2А</t>
        </is>
      </c>
      <c r="E468" s="4" t="inlineStr">
        <is>
          <t>2</t>
        </is>
      </c>
      <c r="F468" s="4" t="n">
        <v>2</v>
      </c>
      <c r="G468" s="8" t="n"/>
      <c r="H468" s="4">
        <f>IF(G468="","",G468-F468)</f>
        <v/>
      </c>
      <c r="I468" s="9" t="n">
        <v>4004</v>
      </c>
      <c r="J468" s="9">
        <f>IF(G468="","",H468*I468)</f>
        <v/>
      </c>
      <c r="K468" s="8" t="inlineStr"/>
      <c r="L468" s="8" t="inlineStr"/>
      <c r="M468" s="10" t="inlineStr"/>
    </row>
    <row r="469">
      <c r="A469" s="4" t="n">
        <v>465</v>
      </c>
      <c r="B469" s="6" t="inlineStr">
        <is>
          <t>Склад 3</t>
        </is>
      </c>
      <c r="C469" s="4" t="inlineStr">
        <is>
          <t>ЭЛЕКТРИКА</t>
        </is>
      </c>
      <c r="D469" s="5" t="inlineStr">
        <is>
          <t>Автомат.выключ. АК 25 2МГ 3,2А</t>
        </is>
      </c>
      <c r="E469" s="4" t="inlineStr">
        <is>
          <t>8</t>
        </is>
      </c>
      <c r="F469" s="4" t="n">
        <v>8</v>
      </c>
      <c r="G469" s="8" t="n"/>
      <c r="H469" s="4">
        <f>IF(G469="","",G469-F469)</f>
        <v/>
      </c>
      <c r="I469" s="9" t="n">
        <v>4004</v>
      </c>
      <c r="J469" s="9">
        <f>IF(G469="","",H469*I469)</f>
        <v/>
      </c>
      <c r="K469" s="8" t="inlineStr"/>
      <c r="L469" s="8" t="inlineStr"/>
      <c r="M469" s="10" t="inlineStr"/>
    </row>
    <row r="470">
      <c r="A470" s="4" t="n">
        <v>466</v>
      </c>
      <c r="B470" s="6" t="inlineStr">
        <is>
          <t>Склад 3</t>
        </is>
      </c>
      <c r="C470" s="4" t="inlineStr">
        <is>
          <t>ЭЛЕКТРИКА</t>
        </is>
      </c>
      <c r="D470" s="5" t="inlineStr">
        <is>
          <t>Автомат.выключ. АК 25 2МГ 5А</t>
        </is>
      </c>
      <c r="E470" s="4" t="inlineStr">
        <is>
          <t>9</t>
        </is>
      </c>
      <c r="F470" s="4" t="n">
        <v>9</v>
      </c>
      <c r="G470" s="8" t="n"/>
      <c r="H470" s="4">
        <f>IF(G470="","",G470-F470)</f>
        <v/>
      </c>
      <c r="I470" s="9" t="n">
        <v>4004</v>
      </c>
      <c r="J470" s="9">
        <f>IF(G470="","",H470*I470)</f>
        <v/>
      </c>
      <c r="K470" s="8" t="inlineStr"/>
      <c r="L470" s="8" t="inlineStr"/>
      <c r="M470" s="10" t="inlineStr"/>
    </row>
    <row r="471">
      <c r="A471" s="4" t="n">
        <v>467</v>
      </c>
      <c r="B471" s="6" t="inlineStr">
        <is>
          <t>Склад 3</t>
        </is>
      </c>
      <c r="C471" s="4" t="inlineStr">
        <is>
          <t>ЭЛЕКТРИКА</t>
        </is>
      </c>
      <c r="D471" s="5" t="inlineStr">
        <is>
          <t>Автомат.выключ. АК 25 2МГ 6А</t>
        </is>
      </c>
      <c r="E471" s="4" t="inlineStr">
        <is>
          <t>9</t>
        </is>
      </c>
      <c r="F471" s="4" t="n">
        <v>9</v>
      </c>
      <c r="G471" s="8" t="n"/>
      <c r="H471" s="4">
        <f>IF(G471="","",G471-F471)</f>
        <v/>
      </c>
      <c r="I471" s="9" t="n">
        <v>4004</v>
      </c>
      <c r="J471" s="9">
        <f>IF(G471="","",H471*I471)</f>
        <v/>
      </c>
      <c r="K471" s="8" t="inlineStr"/>
      <c r="L471" s="8" t="inlineStr"/>
      <c r="M471" s="10" t="inlineStr"/>
    </row>
    <row r="472">
      <c r="A472" s="4" t="n">
        <v>468</v>
      </c>
      <c r="B472" s="6" t="inlineStr">
        <is>
          <t>Склад 3</t>
        </is>
      </c>
      <c r="C472" s="4" t="inlineStr">
        <is>
          <t>ЭЛЕКТРИКА</t>
        </is>
      </c>
      <c r="D472" s="5" t="inlineStr">
        <is>
          <t>Автомат.выключ. АК 25 2МГ 8А</t>
        </is>
      </c>
      <c r="E472" s="4" t="inlineStr">
        <is>
          <t>3</t>
        </is>
      </c>
      <c r="F472" s="4" t="n">
        <v>3</v>
      </c>
      <c r="G472" s="8" t="n"/>
      <c r="H472" s="4">
        <f>IF(G472="","",G472-F472)</f>
        <v/>
      </c>
      <c r="I472" s="9" t="n">
        <v>4004</v>
      </c>
      <c r="J472" s="9">
        <f>IF(G472="","",H472*I472)</f>
        <v/>
      </c>
      <c r="K472" s="8" t="inlineStr"/>
      <c r="L472" s="8" t="inlineStr"/>
      <c r="M472" s="10" t="inlineStr"/>
    </row>
    <row r="473">
      <c r="A473" s="4" t="n">
        <v>469</v>
      </c>
      <c r="B473" s="6" t="inlineStr">
        <is>
          <t>Склад 3</t>
        </is>
      </c>
      <c r="C473" s="4" t="inlineStr">
        <is>
          <t>ЭЛЕКТРИКА</t>
        </is>
      </c>
      <c r="D473" s="5" t="inlineStr">
        <is>
          <t>Автомат.выключ. АК 25 2МГ разный ампераж (брак)</t>
        </is>
      </c>
      <c r="E473" s="4" t="inlineStr">
        <is>
          <t>3</t>
        </is>
      </c>
      <c r="F473" s="4" t="n">
        <v>3</v>
      </c>
      <c r="G473" s="8" t="n"/>
      <c r="H473" s="4">
        <f>IF(G473="","",G473-F473)</f>
        <v/>
      </c>
      <c r="I473" s="9" t="n"/>
      <c r="J473" s="9">
        <f>IF(G473="","",H473*I473)</f>
        <v/>
      </c>
      <c r="K473" s="8" t="inlineStr"/>
      <c r="L473" s="8" t="inlineStr"/>
      <c r="M473" s="10" t="inlineStr"/>
    </row>
    <row r="474">
      <c r="A474" s="4" t="n">
        <v>470</v>
      </c>
      <c r="B474" s="6" t="inlineStr">
        <is>
          <t>Склад 3</t>
        </is>
      </c>
      <c r="C474" s="4" t="inlineStr">
        <is>
          <t>ЭЛЕКТРИКА</t>
        </is>
      </c>
      <c r="D474" s="5" t="inlineStr">
        <is>
          <t>Автомат.выключ. АК 50 2МГ 10А</t>
        </is>
      </c>
      <c r="E474" s="4" t="inlineStr">
        <is>
          <t>115</t>
        </is>
      </c>
      <c r="F474" s="4" t="n">
        <v>115</v>
      </c>
      <c r="G474" s="8" t="n"/>
      <c r="H474" s="4">
        <f>IF(G474="","",G474-F474)</f>
        <v/>
      </c>
      <c r="I474" s="9" t="n">
        <v>4004</v>
      </c>
      <c r="J474" s="9">
        <f>IF(G474="","",H474*I474)</f>
        <v/>
      </c>
      <c r="K474" s="8" t="inlineStr"/>
      <c r="L474" s="8" t="inlineStr"/>
      <c r="M474" s="10" t="inlineStr"/>
    </row>
    <row r="475">
      <c r="A475" s="4" t="n">
        <v>471</v>
      </c>
      <c r="B475" s="6" t="inlineStr">
        <is>
          <t>Склад 3</t>
        </is>
      </c>
      <c r="C475" s="4" t="inlineStr">
        <is>
          <t>ЭЛЕКТРИКА</t>
        </is>
      </c>
      <c r="D475" s="5" t="inlineStr">
        <is>
          <t>Автомат.выключ. АК 50 2МГ 12А</t>
        </is>
      </c>
      <c r="E475" s="4" t="inlineStr">
        <is>
          <t>4</t>
        </is>
      </c>
      <c r="F475" s="4" t="n">
        <v>4</v>
      </c>
      <c r="G475" s="8" t="n"/>
      <c r="H475" s="4">
        <f>IF(G475="","",G475-F475)</f>
        <v/>
      </c>
      <c r="I475" s="9" t="n">
        <v>3306</v>
      </c>
      <c r="J475" s="9">
        <f>IF(G475="","",H475*I475)</f>
        <v/>
      </c>
      <c r="K475" s="8" t="inlineStr"/>
      <c r="L475" s="8" t="inlineStr"/>
      <c r="M475" s="10" t="inlineStr"/>
    </row>
    <row r="476">
      <c r="A476" s="4" t="n">
        <v>472</v>
      </c>
      <c r="B476" s="6" t="inlineStr">
        <is>
          <t>Склад 3</t>
        </is>
      </c>
      <c r="C476" s="4" t="inlineStr">
        <is>
          <t>ЭЛЕКТРИКА</t>
        </is>
      </c>
      <c r="D476" s="5" t="inlineStr">
        <is>
          <t>Автомат.выключ. АК 50 2МГ 15А</t>
        </is>
      </c>
      <c r="E476" s="4" t="inlineStr">
        <is>
          <t>3</t>
        </is>
      </c>
      <c r="F476" s="4" t="n">
        <v>3</v>
      </c>
      <c r="G476" s="8" t="n"/>
      <c r="H476" s="4">
        <f>IF(G476="","",G476-F476)</f>
        <v/>
      </c>
      <c r="I476" s="9" t="n">
        <v>3306</v>
      </c>
      <c r="J476" s="9">
        <f>IF(G476="","",H476*I476)</f>
        <v/>
      </c>
      <c r="K476" s="8" t="inlineStr"/>
      <c r="L476" s="8" t="inlineStr"/>
      <c r="M476" s="10" t="inlineStr"/>
    </row>
    <row r="477">
      <c r="A477" s="4" t="n">
        <v>473</v>
      </c>
      <c r="B477" s="6" t="inlineStr">
        <is>
          <t>Склад 3</t>
        </is>
      </c>
      <c r="C477" s="4" t="inlineStr">
        <is>
          <t>ЭЛЕКТРИКА</t>
        </is>
      </c>
      <c r="D477" s="5" t="inlineStr">
        <is>
          <t>Автомат.выключ. АК 50 2МГ 16А</t>
        </is>
      </c>
      <c r="E477" s="4" t="inlineStr">
        <is>
          <t>8</t>
        </is>
      </c>
      <c r="F477" s="4" t="n">
        <v>8</v>
      </c>
      <c r="G477" s="8" t="n"/>
      <c r="H477" s="4">
        <f>IF(G477="","",G477-F477)</f>
        <v/>
      </c>
      <c r="I477" s="9" t="n">
        <v>3306</v>
      </c>
      <c r="J477" s="9">
        <f>IF(G477="","",H477*I477)</f>
        <v/>
      </c>
      <c r="K477" s="8" t="inlineStr"/>
      <c r="L477" s="8" t="inlineStr"/>
      <c r="M477" s="10" t="inlineStr"/>
    </row>
    <row r="478">
      <c r="A478" s="4" t="n">
        <v>474</v>
      </c>
      <c r="B478" s="6" t="inlineStr">
        <is>
          <t>Склад 3</t>
        </is>
      </c>
      <c r="C478" s="4" t="inlineStr">
        <is>
          <t>ЭЛЕКТРИКА</t>
        </is>
      </c>
      <c r="D478" s="5" t="inlineStr">
        <is>
          <t>Автомат.выключ. АК 50 2МГ 1А</t>
        </is>
      </c>
      <c r="E478" s="4" t="inlineStr">
        <is>
          <t>16</t>
        </is>
      </c>
      <c r="F478" s="4" t="n">
        <v>16</v>
      </c>
      <c r="G478" s="8" t="n"/>
      <c r="H478" s="4">
        <f>IF(G478="","",G478-F478)</f>
        <v/>
      </c>
      <c r="I478" s="9" t="n">
        <v>3942</v>
      </c>
      <c r="J478" s="9">
        <f>IF(G478="","",H478*I478)</f>
        <v/>
      </c>
      <c r="K478" s="8" t="inlineStr"/>
      <c r="L478" s="8" t="inlineStr"/>
      <c r="M478" s="10" t="inlineStr"/>
    </row>
    <row r="479">
      <c r="A479" s="4" t="n">
        <v>475</v>
      </c>
      <c r="B479" s="6" t="inlineStr">
        <is>
          <t>Склад 3</t>
        </is>
      </c>
      <c r="C479" s="4" t="inlineStr">
        <is>
          <t>ЭЛЕКТРИКА</t>
        </is>
      </c>
      <c r="D479" s="5" t="inlineStr">
        <is>
          <t>Автомат.выключ. АК 50 2МГ 20А</t>
        </is>
      </c>
      <c r="E479" s="4" t="inlineStr">
        <is>
          <t>1</t>
        </is>
      </c>
      <c r="F479" s="4" t="n">
        <v>1</v>
      </c>
      <c r="G479" s="8" t="n"/>
      <c r="H479" s="4">
        <f>IF(G479="","",G479-F479)</f>
        <v/>
      </c>
      <c r="I479" s="9" t="n">
        <v>4312</v>
      </c>
      <c r="J479" s="9">
        <f>IF(G479="","",H479*I479)</f>
        <v/>
      </c>
      <c r="K479" s="8" t="inlineStr"/>
      <c r="L479" s="8" t="inlineStr"/>
      <c r="M479" s="10" t="inlineStr"/>
    </row>
    <row r="480">
      <c r="A480" s="4" t="n">
        <v>476</v>
      </c>
      <c r="B480" s="6" t="inlineStr">
        <is>
          <t>Склад 3</t>
        </is>
      </c>
      <c r="C480" s="4" t="inlineStr">
        <is>
          <t>ЭЛЕКТРИКА</t>
        </is>
      </c>
      <c r="D480" s="5" t="inlineStr">
        <is>
          <t>Автомат.выключ. АК 50 2МГ 25А</t>
        </is>
      </c>
      <c r="E480" s="4" t="inlineStr">
        <is>
          <t>7</t>
        </is>
      </c>
      <c r="F480" s="4" t="n">
        <v>7</v>
      </c>
      <c r="G480" s="8" t="n"/>
      <c r="H480" s="4">
        <f>IF(G480="","",G480-F480)</f>
        <v/>
      </c>
      <c r="I480" s="9" t="n">
        <v>342</v>
      </c>
      <c r="J480" s="9">
        <f>IF(G480="","",H480*I480)</f>
        <v/>
      </c>
      <c r="K480" s="8" t="inlineStr"/>
      <c r="L480" s="8" t="inlineStr"/>
      <c r="M480" s="10" t="inlineStr"/>
    </row>
    <row r="481">
      <c r="A481" s="4" t="n">
        <v>477</v>
      </c>
      <c r="B481" s="6" t="inlineStr">
        <is>
          <t>Склад 3</t>
        </is>
      </c>
      <c r="C481" s="4" t="inlineStr">
        <is>
          <t>ЭЛЕКТРИКА</t>
        </is>
      </c>
      <c r="D481" s="5" t="inlineStr">
        <is>
          <t>Автомат.выключ. АК 50 2МГ 31,5А</t>
        </is>
      </c>
      <c r="E481" s="4" t="inlineStr">
        <is>
          <t>4</t>
        </is>
      </c>
      <c r="F481" s="4" t="n">
        <v>4</v>
      </c>
      <c r="G481" s="8" t="n"/>
      <c r="H481" s="4">
        <f>IF(G481="","",G481-F481)</f>
        <v/>
      </c>
      <c r="I481" s="9" t="n">
        <v>3942</v>
      </c>
      <c r="J481" s="9">
        <f>IF(G481="","",H481*I481)</f>
        <v/>
      </c>
      <c r="K481" s="8" t="inlineStr"/>
      <c r="L481" s="8" t="inlineStr"/>
      <c r="M481" s="10" t="inlineStr"/>
    </row>
    <row r="482">
      <c r="A482" s="4" t="n">
        <v>478</v>
      </c>
      <c r="B482" s="6" t="inlineStr">
        <is>
          <t>Склад 3</t>
        </is>
      </c>
      <c r="C482" s="4" t="inlineStr">
        <is>
          <t>ЭЛЕКТРИКА</t>
        </is>
      </c>
      <c r="D482" s="5" t="inlineStr">
        <is>
          <t>Автомат.выключ. АК 50 2МГ 32А</t>
        </is>
      </c>
      <c r="E482" s="4" t="inlineStr">
        <is>
          <t>3</t>
        </is>
      </c>
      <c r="F482" s="4" t="n">
        <v>3</v>
      </c>
      <c r="G482" s="8" t="n"/>
      <c r="H482" s="4">
        <f>IF(G482="","",G482-F482)</f>
        <v/>
      </c>
      <c r="I482" s="9" t="n">
        <v>3661</v>
      </c>
      <c r="J482" s="9">
        <f>IF(G482="","",H482*I482)</f>
        <v/>
      </c>
      <c r="K482" s="8" t="inlineStr"/>
      <c r="L482" s="8" t="inlineStr"/>
      <c r="M482" s="10" t="inlineStr"/>
    </row>
    <row r="483">
      <c r="A483" s="4" t="n">
        <v>479</v>
      </c>
      <c r="B483" s="6" t="inlineStr">
        <is>
          <t>Склад 3</t>
        </is>
      </c>
      <c r="C483" s="4" t="inlineStr">
        <is>
          <t>ЭЛЕКТРИКА</t>
        </is>
      </c>
      <c r="D483" s="5" t="inlineStr">
        <is>
          <t>Автомат.выключ. АК 50 2МГ 3А</t>
        </is>
      </c>
      <c r="E483" s="4" t="inlineStr">
        <is>
          <t>4</t>
        </is>
      </c>
      <c r="F483" s="4" t="n">
        <v>4</v>
      </c>
      <c r="G483" s="8" t="n"/>
      <c r="H483" s="4">
        <f>IF(G483="","",G483-F483)</f>
        <v/>
      </c>
      <c r="I483" s="9" t="n">
        <v>3000</v>
      </c>
      <c r="J483" s="9">
        <f>IF(G483="","",H483*I483)</f>
        <v/>
      </c>
      <c r="K483" s="8" t="inlineStr"/>
      <c r="L483" s="8" t="inlineStr"/>
      <c r="M483" s="10" t="inlineStr"/>
    </row>
    <row r="484">
      <c r="A484" s="4" t="n">
        <v>480</v>
      </c>
      <c r="B484" s="6" t="inlineStr">
        <is>
          <t>Склад 3</t>
        </is>
      </c>
      <c r="C484" s="4" t="inlineStr">
        <is>
          <t>ЭЛЕКТРИКА</t>
        </is>
      </c>
      <c r="D484" s="5" t="inlineStr">
        <is>
          <t>Автомат.выключ. АК 50 2МГ 40А</t>
        </is>
      </c>
      <c r="E484" s="4" t="inlineStr">
        <is>
          <t>4</t>
        </is>
      </c>
      <c r="F484" s="4" t="n">
        <v>4</v>
      </c>
      <c r="G484" s="8" t="n"/>
      <c r="H484" s="4">
        <f>IF(G484="","",G484-F484)</f>
        <v/>
      </c>
      <c r="I484" s="9" t="n">
        <v>4312</v>
      </c>
      <c r="J484" s="9">
        <f>IF(G484="","",H484*I484)</f>
        <v/>
      </c>
      <c r="K484" s="8" t="inlineStr"/>
      <c r="L484" s="8" t="inlineStr"/>
      <c r="M484" s="10" t="inlineStr"/>
    </row>
    <row r="485">
      <c r="A485" s="4" t="n">
        <v>481</v>
      </c>
      <c r="B485" s="6" t="inlineStr">
        <is>
          <t>Склад 3</t>
        </is>
      </c>
      <c r="C485" s="4" t="inlineStr">
        <is>
          <t>ЭЛЕКТРИКА</t>
        </is>
      </c>
      <c r="D485" s="5" t="inlineStr">
        <is>
          <t>Автомат.выключ. АК 50 2МГ 50А</t>
        </is>
      </c>
      <c r="E485" s="4" t="inlineStr">
        <is>
          <t>10</t>
        </is>
      </c>
      <c r="F485" s="4" t="n">
        <v>10</v>
      </c>
      <c r="G485" s="8" t="n"/>
      <c r="H485" s="4">
        <f>IF(G485="","",G485-F485)</f>
        <v/>
      </c>
      <c r="I485" s="9" t="n">
        <v>3361</v>
      </c>
      <c r="J485" s="9">
        <f>IF(G485="","",H485*I485)</f>
        <v/>
      </c>
      <c r="K485" s="8" t="inlineStr"/>
      <c r="L485" s="8" t="inlineStr"/>
      <c r="M485" s="10" t="inlineStr"/>
    </row>
    <row r="486">
      <c r="A486" s="4" t="n">
        <v>482</v>
      </c>
      <c r="B486" s="6" t="inlineStr">
        <is>
          <t>Склад 3</t>
        </is>
      </c>
      <c r="C486" s="4" t="inlineStr">
        <is>
          <t>ЭЛЕКТРИКА</t>
        </is>
      </c>
      <c r="D486" s="5" t="inlineStr">
        <is>
          <t>Автомат.выключ. АК 50 2МГ 5А</t>
        </is>
      </c>
      <c r="E486" s="4" t="inlineStr">
        <is>
          <t>19</t>
        </is>
      </c>
      <c r="F486" s="4" t="n">
        <v>19</v>
      </c>
      <c r="G486" s="8" t="n"/>
      <c r="H486" s="4">
        <f>IF(G486="","",G486-F486)</f>
        <v/>
      </c>
      <c r="I486" s="9" t="n">
        <v>3361</v>
      </c>
      <c r="J486" s="9">
        <f>IF(G486="","",H486*I486)</f>
        <v/>
      </c>
      <c r="K486" s="8" t="inlineStr"/>
      <c r="L486" s="8" t="inlineStr"/>
      <c r="M486" s="10" t="inlineStr"/>
    </row>
    <row r="487">
      <c r="A487" s="4" t="n">
        <v>483</v>
      </c>
      <c r="B487" s="6" t="inlineStr">
        <is>
          <t>Склад 3</t>
        </is>
      </c>
      <c r="C487" s="4" t="inlineStr">
        <is>
          <t>ЭЛЕКТРИКА</t>
        </is>
      </c>
      <c r="D487" s="5" t="inlineStr">
        <is>
          <t>Автомат.выключ. АК 50 2МГ 6,3А</t>
        </is>
      </c>
      <c r="E487" s="4" t="inlineStr">
        <is>
          <t>4</t>
        </is>
      </c>
      <c r="F487" s="4" t="n">
        <v>4</v>
      </c>
      <c r="G487" s="8" t="n"/>
      <c r="H487" s="4">
        <f>IF(G487="","",G487-F487)</f>
        <v/>
      </c>
      <c r="I487" s="9" t="n">
        <v>4312</v>
      </c>
      <c r="J487" s="9">
        <f>IF(G487="","",H487*I487)</f>
        <v/>
      </c>
      <c r="K487" s="8" t="inlineStr"/>
      <c r="L487" s="8" t="inlineStr"/>
      <c r="M487" s="10" t="inlineStr"/>
    </row>
    <row r="488">
      <c r="A488" s="4" t="n">
        <v>484</v>
      </c>
      <c r="B488" s="6" t="inlineStr">
        <is>
          <t>Склад 3</t>
        </is>
      </c>
      <c r="C488" s="4" t="inlineStr">
        <is>
          <t>ЭЛЕКТРИКА</t>
        </is>
      </c>
      <c r="D488" s="5" t="inlineStr">
        <is>
          <t>Автомат.выключ. АК 50 2МГ 8А</t>
        </is>
      </c>
      <c r="E488" s="4" t="inlineStr">
        <is>
          <t>1</t>
        </is>
      </c>
      <c r="F488" s="4" t="n">
        <v>1</v>
      </c>
      <c r="G488" s="8" t="n"/>
      <c r="H488" s="4">
        <f>IF(G488="","",G488-F488)</f>
        <v/>
      </c>
      <c r="I488" s="9" t="n">
        <v>2849</v>
      </c>
      <c r="J488" s="9">
        <f>IF(G488="","",H488*I488)</f>
        <v/>
      </c>
      <c r="K488" s="8" t="inlineStr"/>
      <c r="L488" s="8" t="inlineStr"/>
      <c r="M488" s="10" t="inlineStr"/>
    </row>
    <row r="489">
      <c r="A489" s="4" t="n">
        <v>485</v>
      </c>
      <c r="B489" s="6" t="inlineStr">
        <is>
          <t>Склад 3</t>
        </is>
      </c>
      <c r="C489" s="4" t="inlineStr">
        <is>
          <t>ЭЛЕКТРИКА</t>
        </is>
      </c>
      <c r="D489" s="5" t="inlineStr">
        <is>
          <t>Автомат.выключ. АК 50 3МГ 10А</t>
        </is>
      </c>
      <c r="E489" s="4" t="inlineStr">
        <is>
          <t>140</t>
        </is>
      </c>
      <c r="F489" s="4" t="n">
        <v>140</v>
      </c>
      <c r="G489" s="8" t="n"/>
      <c r="H489" s="4">
        <f>IF(G489="","",G489-F489)</f>
        <v/>
      </c>
      <c r="I489" s="9" t="n">
        <v>4682</v>
      </c>
      <c r="J489" s="9">
        <f>IF(G489="","",H489*I489)</f>
        <v/>
      </c>
      <c r="K489" s="8" t="inlineStr"/>
      <c r="L489" s="8" t="inlineStr"/>
      <c r="M489" s="10" t="inlineStr"/>
    </row>
    <row r="490">
      <c r="A490" s="4" t="n">
        <v>486</v>
      </c>
      <c r="B490" s="6" t="inlineStr">
        <is>
          <t>Склад 3</t>
        </is>
      </c>
      <c r="C490" s="4" t="inlineStr">
        <is>
          <t>ЭЛЕКТРИКА</t>
        </is>
      </c>
      <c r="D490" s="5" t="inlineStr">
        <is>
          <t>Автомат.выключ. АК 50 3МГ 15А</t>
        </is>
      </c>
      <c r="E490" s="4" t="inlineStr">
        <is>
          <t>2</t>
        </is>
      </c>
      <c r="F490" s="4" t="n">
        <v>2</v>
      </c>
      <c r="G490" s="8" t="n"/>
      <c r="H490" s="4">
        <f>IF(G490="","",G490-F490)</f>
        <v/>
      </c>
      <c r="I490" s="9" t="n">
        <v>4004</v>
      </c>
      <c r="J490" s="9">
        <f>IF(G490="","",H490*I490)</f>
        <v/>
      </c>
      <c r="K490" s="8" t="inlineStr"/>
      <c r="L490" s="8" t="inlineStr"/>
      <c r="M490" s="10" t="inlineStr"/>
    </row>
    <row r="491">
      <c r="A491" s="4" t="n">
        <v>487</v>
      </c>
      <c r="B491" s="6" t="inlineStr">
        <is>
          <t>Склад 3</t>
        </is>
      </c>
      <c r="C491" s="4" t="inlineStr">
        <is>
          <t>ЭЛЕКТРИКА</t>
        </is>
      </c>
      <c r="D491" s="5" t="inlineStr">
        <is>
          <t>Автомат.выключ. АК 50 3МГ 16А</t>
        </is>
      </c>
      <c r="E491" s="4" t="inlineStr">
        <is>
          <t>57</t>
        </is>
      </c>
      <c r="F491" s="4" t="n">
        <v>57</v>
      </c>
      <c r="G491" s="8" t="n"/>
      <c r="H491" s="4">
        <f>IF(G491="","",G491-F491)</f>
        <v/>
      </c>
      <c r="I491" s="9" t="n">
        <v>4347</v>
      </c>
      <c r="J491" s="9">
        <f>IF(G491="","",H491*I491)</f>
        <v/>
      </c>
      <c r="K491" s="8" t="inlineStr"/>
      <c r="L491" s="8" t="inlineStr"/>
      <c r="M491" s="10" t="inlineStr"/>
    </row>
    <row r="492">
      <c r="A492" s="4" t="n">
        <v>488</v>
      </c>
      <c r="B492" s="6" t="inlineStr">
        <is>
          <t>Склад 3</t>
        </is>
      </c>
      <c r="C492" s="4" t="inlineStr">
        <is>
          <t>ЭЛЕКТРИКА</t>
        </is>
      </c>
      <c r="D492" s="5" t="inlineStr">
        <is>
          <t>Автомат.выключ. АК 50 3МГ 1А</t>
        </is>
      </c>
      <c r="E492" s="4" t="inlineStr">
        <is>
          <t>2</t>
        </is>
      </c>
      <c r="F492" s="4" t="n">
        <v>2</v>
      </c>
      <c r="G492" s="8" t="n"/>
      <c r="H492" s="4">
        <f>IF(G492="","",G492-F492)</f>
        <v/>
      </c>
      <c r="I492" s="9" t="n">
        <v>4682</v>
      </c>
      <c r="J492" s="9">
        <f>IF(G492="","",H492*I492)</f>
        <v/>
      </c>
      <c r="K492" s="8" t="inlineStr"/>
      <c r="L492" s="8" t="inlineStr"/>
      <c r="M492" s="10" t="inlineStr"/>
    </row>
    <row r="493">
      <c r="A493" s="4" t="n">
        <v>489</v>
      </c>
      <c r="B493" s="6" t="inlineStr">
        <is>
          <t>Склад 3</t>
        </is>
      </c>
      <c r="C493" s="4" t="inlineStr">
        <is>
          <t>ЭЛЕКТРИКА</t>
        </is>
      </c>
      <c r="D493" s="5" t="inlineStr">
        <is>
          <t>Автомат.выключ. АК 50 3МГ 2,5</t>
        </is>
      </c>
      <c r="E493" s="4" t="inlineStr">
        <is>
          <t>1</t>
        </is>
      </c>
      <c r="F493" s="4" t="n">
        <v>1</v>
      </c>
      <c r="G493" s="8" t="n"/>
      <c r="H493" s="4">
        <f>IF(G493="","",G493-F493)</f>
        <v/>
      </c>
      <c r="I493" s="9" t="n">
        <v>4682</v>
      </c>
      <c r="J493" s="9">
        <f>IF(G493="","",H493*I493)</f>
        <v/>
      </c>
      <c r="K493" s="8" t="inlineStr"/>
      <c r="L493" s="8" t="inlineStr"/>
      <c r="M493" s="10" t="inlineStr"/>
    </row>
    <row r="494">
      <c r="A494" s="4" t="n">
        <v>490</v>
      </c>
      <c r="B494" s="6" t="inlineStr">
        <is>
          <t>Склад 3</t>
        </is>
      </c>
      <c r="C494" s="4" t="inlineStr">
        <is>
          <t>ЭЛЕКТРИКА</t>
        </is>
      </c>
      <c r="D494" s="5" t="inlineStr">
        <is>
          <t>Автомат.выключ. АК 50 3МГ 20А</t>
        </is>
      </c>
      <c r="E494" s="4" t="inlineStr">
        <is>
          <t>42</t>
        </is>
      </c>
      <c r="F494" s="4" t="n">
        <v>42</v>
      </c>
      <c r="G494" s="8" t="n"/>
      <c r="H494" s="4">
        <f>IF(G494="","",G494-F494)</f>
        <v/>
      </c>
      <c r="I494" s="9" t="n">
        <v>4682</v>
      </c>
      <c r="J494" s="9">
        <f>IF(G494="","",H494*I494)</f>
        <v/>
      </c>
      <c r="K494" s="8" t="inlineStr"/>
      <c r="L494" s="8" t="inlineStr"/>
      <c r="M494" s="10" t="inlineStr"/>
    </row>
    <row r="495">
      <c r="A495" s="4" t="n">
        <v>491</v>
      </c>
      <c r="B495" s="6" t="inlineStr">
        <is>
          <t>Склад 3</t>
        </is>
      </c>
      <c r="C495" s="4" t="inlineStr">
        <is>
          <t>ЭЛЕКТРИКА</t>
        </is>
      </c>
      <c r="D495" s="5" t="inlineStr">
        <is>
          <t>Автомат.выключ. АК 50 3МГ 25А</t>
        </is>
      </c>
      <c r="E495" s="4" t="inlineStr">
        <is>
          <t>5</t>
        </is>
      </c>
      <c r="F495" s="4" t="n">
        <v>5</v>
      </c>
      <c r="G495" s="8" t="n"/>
      <c r="H495" s="4">
        <f>IF(G495="","",G495-F495)</f>
        <v/>
      </c>
      <c r="I495" s="9" t="n">
        <v>4004</v>
      </c>
      <c r="J495" s="9">
        <f>IF(G495="","",H495*I495)</f>
        <v/>
      </c>
      <c r="K495" s="8" t="inlineStr"/>
      <c r="L495" s="8" t="inlineStr"/>
      <c r="M495" s="10" t="inlineStr"/>
    </row>
    <row r="496">
      <c r="A496" s="4" t="n">
        <v>492</v>
      </c>
      <c r="B496" s="6" t="inlineStr">
        <is>
          <t>Склад 3</t>
        </is>
      </c>
      <c r="C496" s="4" t="inlineStr">
        <is>
          <t>ЭЛЕКТРИКА</t>
        </is>
      </c>
      <c r="D496" s="5" t="inlineStr">
        <is>
          <t>Автомат.выключ. АК 50 3МГ 2А</t>
        </is>
      </c>
      <c r="E496" s="4" t="inlineStr">
        <is>
          <t>8</t>
        </is>
      </c>
      <c r="F496" s="4" t="n">
        <v>8</v>
      </c>
      <c r="G496" s="8" t="n"/>
      <c r="H496" s="4">
        <f>IF(G496="","",G496-F496)</f>
        <v/>
      </c>
      <c r="I496" s="9" t="n">
        <v>4682</v>
      </c>
      <c r="J496" s="9">
        <f>IF(G496="","",H496*I496)</f>
        <v/>
      </c>
      <c r="K496" s="8" t="inlineStr"/>
      <c r="L496" s="8" t="inlineStr"/>
      <c r="M496" s="10" t="inlineStr"/>
    </row>
    <row r="497">
      <c r="A497" s="4" t="n">
        <v>493</v>
      </c>
      <c r="B497" s="6" t="inlineStr">
        <is>
          <t>Склад 3</t>
        </is>
      </c>
      <c r="C497" s="4" t="inlineStr">
        <is>
          <t>ЭЛЕКТРИКА</t>
        </is>
      </c>
      <c r="D497" s="5" t="inlineStr">
        <is>
          <t>Автомат.выключ. АК 50 3МГ 31,5А</t>
        </is>
      </c>
      <c r="E497" s="4" t="inlineStr">
        <is>
          <t>31</t>
        </is>
      </c>
      <c r="F497" s="4" t="n">
        <v>31</v>
      </c>
      <c r="G497" s="8" t="n"/>
      <c r="H497" s="4">
        <f>IF(G497="","",G497-F497)</f>
        <v/>
      </c>
      <c r="I497" s="9" t="n">
        <v>4347</v>
      </c>
      <c r="J497" s="9">
        <f>IF(G497="","",H497*I497)</f>
        <v/>
      </c>
      <c r="K497" s="8" t="inlineStr"/>
      <c r="L497" s="8" t="inlineStr"/>
      <c r="M497" s="10" t="inlineStr"/>
    </row>
    <row r="498">
      <c r="A498" s="4" t="n">
        <v>494</v>
      </c>
      <c r="B498" s="6" t="inlineStr">
        <is>
          <t>Склад 3</t>
        </is>
      </c>
      <c r="C498" s="4" t="inlineStr">
        <is>
          <t>ЭЛЕКТРИКА</t>
        </is>
      </c>
      <c r="D498" s="5" t="inlineStr">
        <is>
          <t>Автомат.выключ. АК 50 3МГ 32А</t>
        </is>
      </c>
      <c r="E498" s="4" t="inlineStr">
        <is>
          <t>2</t>
        </is>
      </c>
      <c r="F498" s="4" t="n">
        <v>2</v>
      </c>
      <c r="G498" s="8" t="n"/>
      <c r="H498" s="4">
        <f>IF(G498="","",G498-F498)</f>
        <v/>
      </c>
      <c r="I498" s="9" t="n">
        <v>2116</v>
      </c>
      <c r="J498" s="9">
        <f>IF(G498="","",H498*I498)</f>
        <v/>
      </c>
      <c r="K498" s="8" t="inlineStr"/>
      <c r="L498" s="8" t="inlineStr"/>
      <c r="M498" s="10" t="inlineStr"/>
    </row>
    <row r="499">
      <c r="A499" s="4" t="n">
        <v>495</v>
      </c>
      <c r="B499" s="6" t="inlineStr">
        <is>
          <t>Склад 3</t>
        </is>
      </c>
      <c r="C499" s="4" t="inlineStr">
        <is>
          <t>ЭЛЕКТРИКА</t>
        </is>
      </c>
      <c r="D499" s="5" t="inlineStr">
        <is>
          <t>Автомат.выключ. АК 50 3МГ 35А</t>
        </is>
      </c>
      <c r="E499" s="4" t="inlineStr">
        <is>
          <t>2</t>
        </is>
      </c>
      <c r="F499" s="4" t="n">
        <v>2</v>
      </c>
      <c r="G499" s="8" t="n"/>
      <c r="H499" s="4">
        <f>IF(G499="","",G499-F499)</f>
        <v/>
      </c>
      <c r="I499" s="9" t="n">
        <v>2116</v>
      </c>
      <c r="J499" s="9">
        <f>IF(G499="","",H499*I499)</f>
        <v/>
      </c>
      <c r="K499" s="8" t="inlineStr"/>
      <c r="L499" s="8" t="inlineStr"/>
      <c r="M499" s="10" t="inlineStr"/>
    </row>
    <row r="500">
      <c r="A500" s="4" t="n">
        <v>496</v>
      </c>
      <c r="B500" s="6" t="inlineStr">
        <is>
          <t>Склад 3</t>
        </is>
      </c>
      <c r="C500" s="4" t="inlineStr">
        <is>
          <t>ЭЛЕКТРИКА</t>
        </is>
      </c>
      <c r="D500" s="5" t="inlineStr">
        <is>
          <t>Автомат.выключ. АК 50 3МГ 40А</t>
        </is>
      </c>
      <c r="E500" s="4" t="inlineStr">
        <is>
          <t>10</t>
        </is>
      </c>
      <c r="F500" s="4" t="n">
        <v>10</v>
      </c>
      <c r="G500" s="8" t="n"/>
      <c r="H500" s="4">
        <f>IF(G500="","",G500-F500)</f>
        <v/>
      </c>
      <c r="I500" s="9" t="n">
        <v>2116</v>
      </c>
      <c r="J500" s="9">
        <f>IF(G500="","",H500*I500)</f>
        <v/>
      </c>
      <c r="K500" s="8" t="inlineStr"/>
      <c r="L500" s="8" t="inlineStr"/>
      <c r="M500" s="10" t="inlineStr"/>
    </row>
    <row r="501">
      <c r="A501" s="4" t="n">
        <v>497</v>
      </c>
      <c r="B501" s="6" t="inlineStr">
        <is>
          <t>Склад 3</t>
        </is>
      </c>
      <c r="C501" s="4" t="inlineStr">
        <is>
          <t>ЭЛЕКТРИКА</t>
        </is>
      </c>
      <c r="D501" s="5" t="inlineStr">
        <is>
          <t>Автомат.выключ. АК 50 3МГ 4А</t>
        </is>
      </c>
      <c r="E501" s="4" t="inlineStr">
        <is>
          <t>22</t>
        </is>
      </c>
      <c r="F501" s="4" t="n">
        <v>22</v>
      </c>
      <c r="G501" s="8" t="n"/>
      <c r="H501" s="4">
        <f>IF(G501="","",G501-F501)</f>
        <v/>
      </c>
      <c r="I501" s="9" t="n">
        <v>1121</v>
      </c>
      <c r="J501" s="9">
        <f>IF(G501="","",H501*I501)</f>
        <v/>
      </c>
      <c r="K501" s="8" t="inlineStr"/>
      <c r="L501" s="8" t="inlineStr"/>
      <c r="M501" s="10" t="inlineStr"/>
    </row>
    <row r="502">
      <c r="A502" s="4" t="n">
        <v>498</v>
      </c>
      <c r="B502" s="6" t="inlineStr">
        <is>
          <t>Склад 3</t>
        </is>
      </c>
      <c r="C502" s="4" t="inlineStr">
        <is>
          <t>ЭЛЕКТРИКА</t>
        </is>
      </c>
      <c r="D502" s="5" t="inlineStr">
        <is>
          <t>Автомат.выключ. АК 50 3МГ 5А</t>
        </is>
      </c>
      <c r="E502" s="4" t="inlineStr">
        <is>
          <t>57</t>
        </is>
      </c>
      <c r="F502" s="4" t="n">
        <v>57</v>
      </c>
      <c r="G502" s="8" t="n"/>
      <c r="H502" s="4">
        <f>IF(G502="","",G502-F502)</f>
        <v/>
      </c>
      <c r="I502" s="9" t="n">
        <v>4004</v>
      </c>
      <c r="J502" s="9">
        <f>IF(G502="","",H502*I502)</f>
        <v/>
      </c>
      <c r="K502" s="8" t="inlineStr"/>
      <c r="L502" s="8" t="inlineStr"/>
      <c r="M502" s="10" t="inlineStr"/>
    </row>
    <row r="503">
      <c r="A503" s="4" t="n">
        <v>499</v>
      </c>
      <c r="B503" s="6" t="inlineStr">
        <is>
          <t>Склад 3</t>
        </is>
      </c>
      <c r="C503" s="4" t="inlineStr">
        <is>
          <t>ЭЛЕКТРИКА</t>
        </is>
      </c>
      <c r="D503" s="5" t="inlineStr">
        <is>
          <t>Автомат.выключ. ТИП А37 92БР 2100А 380V</t>
        </is>
      </c>
      <c r="E503" s="4" t="inlineStr">
        <is>
          <t>2</t>
        </is>
      </c>
      <c r="F503" s="4" t="n">
        <v>2</v>
      </c>
      <c r="G503" s="8" t="n"/>
      <c r="H503" s="4">
        <f>IF(G503="","",G503-F503)</f>
        <v/>
      </c>
      <c r="I503" s="9" t="n">
        <v>20000</v>
      </c>
      <c r="J503" s="9">
        <f>IF(G503="","",H503*I503)</f>
        <v/>
      </c>
      <c r="K503" s="8" t="inlineStr"/>
      <c r="L503" s="8" t="inlineStr"/>
      <c r="M503" s="10" t="inlineStr"/>
    </row>
    <row r="504">
      <c r="A504" s="4" t="n">
        <v>500</v>
      </c>
      <c r="B504" s="6" t="inlineStr">
        <is>
          <t>Склад 3</t>
        </is>
      </c>
      <c r="C504" s="4" t="inlineStr">
        <is>
          <t>ЭЛЕКТРИКА</t>
        </is>
      </c>
      <c r="D504" s="5" t="inlineStr">
        <is>
          <t>Автомат.выключ. ТИП А377 160А 380V(без крышки)</t>
        </is>
      </c>
      <c r="E504" s="4" t="inlineStr">
        <is>
          <t>1</t>
        </is>
      </c>
      <c r="F504" s="4" t="n">
        <v>1</v>
      </c>
      <c r="G504" s="8" t="n"/>
      <c r="H504" s="4">
        <f>IF(G504="","",G504-F504)</f>
        <v/>
      </c>
      <c r="I504" s="9" t="n"/>
      <c r="J504" s="9">
        <f>IF(G504="","",H504*I504)</f>
        <v/>
      </c>
      <c r="K504" s="8" t="inlineStr"/>
      <c r="L504" s="8" t="inlineStr"/>
      <c r="M504" s="10" t="inlineStr"/>
    </row>
    <row r="505">
      <c r="A505" s="4" t="n">
        <v>501</v>
      </c>
      <c r="B505" s="6" t="inlineStr">
        <is>
          <t>Склад 3</t>
        </is>
      </c>
      <c r="C505" s="4" t="inlineStr">
        <is>
          <t>ЭЛЕКТРИКА</t>
        </is>
      </c>
      <c r="D505" s="5" t="inlineStr">
        <is>
          <t>Автомат.выключ. ТИП А377 2БР 160А 380V</t>
        </is>
      </c>
      <c r="E505" s="4" t="inlineStr">
        <is>
          <t>22</t>
        </is>
      </c>
      <c r="F505" s="4" t="n">
        <v>22</v>
      </c>
      <c r="G505" s="8" t="n"/>
      <c r="H505" s="4">
        <f>IF(G505="","",G505-F505)</f>
        <v/>
      </c>
      <c r="I505" s="9" t="n">
        <v>8500</v>
      </c>
      <c r="J505" s="9">
        <f>IF(G505="","",H505*I505)</f>
        <v/>
      </c>
      <c r="K505" s="8" t="inlineStr"/>
      <c r="L505" s="8" t="inlineStr"/>
      <c r="M505" s="10" t="inlineStr"/>
    </row>
    <row r="506">
      <c r="A506" s="4" t="n">
        <v>502</v>
      </c>
      <c r="B506" s="6" t="inlineStr">
        <is>
          <t>Склад 3</t>
        </is>
      </c>
      <c r="C506" s="4" t="inlineStr">
        <is>
          <t>ЭЛЕКТРИКА</t>
        </is>
      </c>
      <c r="D506" s="5" t="inlineStr">
        <is>
          <t>Автомат.выключ. ТИП А377 2БР 63А 380V</t>
        </is>
      </c>
      <c r="E506" s="4" t="inlineStr">
        <is>
          <t>10</t>
        </is>
      </c>
      <c r="F506" s="4" t="n">
        <v>10</v>
      </c>
      <c r="G506" s="8" t="n"/>
      <c r="H506" s="4">
        <f>IF(G506="","",G506-F506)</f>
        <v/>
      </c>
      <c r="I506" s="9" t="n">
        <v>12295</v>
      </c>
      <c r="J506" s="9">
        <f>IF(G506="","",H506*I506)</f>
        <v/>
      </c>
      <c r="K506" s="8" t="inlineStr"/>
      <c r="L506" s="8" t="inlineStr"/>
      <c r="M506" s="10" t="inlineStr"/>
    </row>
    <row r="507">
      <c r="A507" s="4" t="n">
        <v>503</v>
      </c>
      <c r="B507" s="6" t="inlineStr">
        <is>
          <t>Склад 3</t>
        </is>
      </c>
      <c r="C507" s="4" t="inlineStr">
        <is>
          <t>ЭЛЕКТРИКА</t>
        </is>
      </c>
      <c r="D507" s="5" t="inlineStr">
        <is>
          <t>Автомат.выключ. ТИП А377 5БР 100А 380V</t>
        </is>
      </c>
      <c r="E507" s="4" t="inlineStr">
        <is>
          <t>1</t>
        </is>
      </c>
      <c r="F507" s="4" t="n">
        <v>1</v>
      </c>
      <c r="G507" s="8" t="n"/>
      <c r="H507" s="4">
        <f>IF(G507="","",G507-F507)</f>
        <v/>
      </c>
      <c r="I507" s="9" t="n"/>
      <c r="J507" s="9">
        <f>IF(G507="","",H507*I507)</f>
        <v/>
      </c>
      <c r="K507" s="8" t="inlineStr"/>
      <c r="L507" s="8" t="inlineStr"/>
      <c r="M507" s="10" t="inlineStr"/>
    </row>
    <row r="508">
      <c r="A508" s="4" t="n">
        <v>504</v>
      </c>
      <c r="B508" s="6" t="inlineStr">
        <is>
          <t>Склад 3</t>
        </is>
      </c>
      <c r="C508" s="4" t="inlineStr">
        <is>
          <t>ЭЛЕКТРИКА</t>
        </is>
      </c>
      <c r="D508" s="5" t="inlineStr">
        <is>
          <t>Автомат.выключ. ТИП А377 6БР 100А 380V</t>
        </is>
      </c>
      <c r="E508" s="4" t="inlineStr">
        <is>
          <t>2</t>
        </is>
      </c>
      <c r="F508" s="4" t="n">
        <v>2</v>
      </c>
      <c r="G508" s="8" t="n"/>
      <c r="H508" s="4">
        <f>IF(G508="","",G508-F508)</f>
        <v/>
      </c>
      <c r="I508" s="9" t="n">
        <v>12295</v>
      </c>
      <c r="J508" s="9">
        <f>IF(G508="","",H508*I508)</f>
        <v/>
      </c>
      <c r="K508" s="8" t="inlineStr"/>
      <c r="L508" s="8" t="inlineStr"/>
      <c r="M508" s="10" t="inlineStr"/>
    </row>
    <row r="509">
      <c r="A509" s="4" t="n">
        <v>505</v>
      </c>
      <c r="B509" s="6" t="inlineStr">
        <is>
          <t>Склад 3</t>
        </is>
      </c>
      <c r="C509" s="4" t="inlineStr">
        <is>
          <t>ЭЛЕКТРИКА</t>
        </is>
      </c>
      <c r="D509" s="5" t="inlineStr">
        <is>
          <t>Автомат.выключ. ТИП А377 6БР 160А 380V</t>
        </is>
      </c>
      <c r="E509" s="4" t="inlineStr">
        <is>
          <t>3</t>
        </is>
      </c>
      <c r="F509" s="4" t="n">
        <v>3</v>
      </c>
      <c r="G509" s="8" t="n"/>
      <c r="H509" s="4">
        <f>IF(G509="","",G509-F509)</f>
        <v/>
      </c>
      <c r="I509" s="9" t="n">
        <v>12295</v>
      </c>
      <c r="J509" s="9">
        <f>IF(G509="","",H509*I509)</f>
        <v/>
      </c>
      <c r="K509" s="8" t="inlineStr"/>
      <c r="L509" s="8" t="inlineStr"/>
      <c r="M509" s="10" t="inlineStr"/>
    </row>
    <row r="510">
      <c r="A510" s="4" t="n">
        <v>506</v>
      </c>
      <c r="B510" s="6" t="inlineStr">
        <is>
          <t>Склад 3</t>
        </is>
      </c>
      <c r="C510" s="4" t="inlineStr">
        <is>
          <t>ЭЛЕКТРИКА</t>
        </is>
      </c>
      <c r="D510" s="5" t="inlineStr">
        <is>
          <t>Автоматический выключатель LG 10А</t>
        </is>
      </c>
      <c r="E510" s="4" t="inlineStr">
        <is>
          <t>1</t>
        </is>
      </c>
      <c r="F510" s="4" t="n">
        <v>1</v>
      </c>
      <c r="G510" s="8" t="n"/>
      <c r="H510" s="4">
        <f>IF(G510="","",G510-F510)</f>
        <v/>
      </c>
      <c r="I510" s="9" t="n"/>
      <c r="J510" s="9">
        <f>IF(G510="","",H510*I510)</f>
        <v/>
      </c>
      <c r="K510" s="8" t="inlineStr"/>
      <c r="L510" s="8" t="inlineStr"/>
      <c r="M510" s="10" t="inlineStr"/>
    </row>
    <row r="511">
      <c r="A511" s="4" t="n">
        <v>507</v>
      </c>
      <c r="B511" s="6" t="inlineStr">
        <is>
          <t>Склад 3</t>
        </is>
      </c>
      <c r="C511" s="4" t="inlineStr">
        <is>
          <t>ЭЛЕКТРИКА</t>
        </is>
      </c>
      <c r="D511" s="5" t="inlineStr">
        <is>
          <t>Автоматический выключатель LG 20А</t>
        </is>
      </c>
      <c r="E511" s="4" t="inlineStr">
        <is>
          <t>1</t>
        </is>
      </c>
      <c r="F511" s="4" t="n">
        <v>1</v>
      </c>
      <c r="G511" s="8" t="n"/>
      <c r="H511" s="4">
        <f>IF(G511="","",G511-F511)</f>
        <v/>
      </c>
      <c r="I511" s="9" t="n"/>
      <c r="J511" s="9">
        <f>IF(G511="","",H511*I511)</f>
        <v/>
      </c>
      <c r="K511" s="8" t="inlineStr"/>
      <c r="L511" s="8" t="inlineStr"/>
      <c r="M511" s="10" t="inlineStr"/>
    </row>
    <row r="512">
      <c r="A512" s="4" t="n">
        <v>508</v>
      </c>
      <c r="B512" s="6" t="inlineStr">
        <is>
          <t>Склад 3</t>
        </is>
      </c>
      <c r="C512" s="4" t="inlineStr">
        <is>
          <t>ЭЛЕКТРИКА</t>
        </is>
      </c>
      <c r="D512" s="5" t="inlineStr">
        <is>
          <t>Автоматический выключатель MUF 10-5</t>
        </is>
      </c>
      <c r="E512" s="4" t="inlineStr">
        <is>
          <t>1</t>
        </is>
      </c>
      <c r="F512" s="4" t="n">
        <v>1</v>
      </c>
      <c r="G512" s="8" t="n"/>
      <c r="H512" s="4">
        <f>IF(G512="","",G512-F512)</f>
        <v/>
      </c>
      <c r="I512" s="9" t="n"/>
      <c r="J512" s="9">
        <f>IF(G512="","",H512*I512)</f>
        <v/>
      </c>
      <c r="K512" s="8" t="inlineStr"/>
      <c r="L512" s="8" t="inlineStr"/>
      <c r="M512" s="10" t="inlineStr"/>
    </row>
    <row r="513">
      <c r="A513" s="4" t="n">
        <v>509</v>
      </c>
      <c r="B513" s="6" t="inlineStr">
        <is>
          <t>Склад 3</t>
        </is>
      </c>
      <c r="C513" s="4" t="inlineStr">
        <is>
          <t>ЭЛЕКТРИКА</t>
        </is>
      </c>
      <c r="D513" s="5" t="inlineStr">
        <is>
          <t>В-1</t>
        </is>
      </c>
      <c r="E513" s="4" t="inlineStr">
        <is>
          <t>1</t>
        </is>
      </c>
      <c r="F513" s="4" t="n">
        <v>1</v>
      </c>
      <c r="G513" s="8" t="n"/>
      <c r="H513" s="4">
        <f>IF(G513="","",G513-F513)</f>
        <v/>
      </c>
      <c r="I513" s="9" t="n"/>
      <c r="J513" s="9">
        <f>IF(G513="","",H513*I513)</f>
        <v/>
      </c>
      <c r="K513" s="8" t="inlineStr"/>
      <c r="L513" s="8" t="inlineStr"/>
      <c r="M513" s="10" t="inlineStr"/>
    </row>
    <row r="514">
      <c r="A514" s="4" t="n">
        <v>510</v>
      </c>
      <c r="B514" s="6" t="inlineStr">
        <is>
          <t>Склад 3</t>
        </is>
      </c>
      <c r="C514" s="4" t="inlineStr">
        <is>
          <t>ЭЛЕКТРИКА</t>
        </is>
      </c>
      <c r="D514" s="5" t="inlineStr">
        <is>
          <t>ВК-16</t>
        </is>
      </c>
      <c r="E514" s="4" t="inlineStr">
        <is>
          <t>6</t>
        </is>
      </c>
      <c r="F514" s="4" t="n">
        <v>6</v>
      </c>
      <c r="G514" s="8" t="n"/>
      <c r="H514" s="4">
        <f>IF(G514="","",G514-F514)</f>
        <v/>
      </c>
      <c r="I514" s="9" t="n"/>
      <c r="J514" s="9">
        <f>IF(G514="","",H514*I514)</f>
        <v/>
      </c>
      <c r="K514" s="8" t="inlineStr"/>
      <c r="L514" s="8" t="inlineStr"/>
      <c r="M514" s="10" t="inlineStr"/>
    </row>
    <row r="515">
      <c r="A515" s="4" t="n">
        <v>511</v>
      </c>
      <c r="B515" s="6" t="inlineStr">
        <is>
          <t>Склад 3</t>
        </is>
      </c>
      <c r="C515" s="4" t="inlineStr">
        <is>
          <t>ЭЛЕКТРИКА</t>
        </is>
      </c>
      <c r="D515" s="5" t="inlineStr">
        <is>
          <t>ВК-300</t>
        </is>
      </c>
      <c r="E515" s="4" t="inlineStr">
        <is>
          <t>7</t>
        </is>
      </c>
      <c r="F515" s="4" t="n">
        <v>7</v>
      </c>
      <c r="G515" s="8" t="n"/>
      <c r="H515" s="4">
        <f>IF(G515="","",G515-F515)</f>
        <v/>
      </c>
      <c r="I515" s="9" t="n"/>
      <c r="J515" s="9">
        <f>IF(G515="","",H515*I515)</f>
        <v/>
      </c>
      <c r="K515" s="8" t="inlineStr"/>
      <c r="L515" s="8" t="inlineStr"/>
      <c r="M515" s="10" t="inlineStr"/>
    </row>
    <row r="516">
      <c r="A516" s="4" t="n">
        <v>512</v>
      </c>
      <c r="B516" s="6" t="inlineStr">
        <is>
          <t>Склад 3</t>
        </is>
      </c>
      <c r="C516" s="4" t="inlineStr">
        <is>
          <t>ЭЛЕКТРИКА</t>
        </is>
      </c>
      <c r="D516" s="5" t="inlineStr">
        <is>
          <t>ВС-1</t>
        </is>
      </c>
      <c r="E516" s="4" t="inlineStr">
        <is>
          <t>3</t>
        </is>
      </c>
      <c r="F516" s="4" t="n">
        <v>3</v>
      </c>
      <c r="G516" s="8" t="n"/>
      <c r="H516" s="4">
        <f>IF(G516="","",G516-F516)</f>
        <v/>
      </c>
      <c r="I516" s="9" t="n"/>
      <c r="J516" s="9">
        <f>IF(G516="","",H516*I516)</f>
        <v/>
      </c>
      <c r="K516" s="8" t="inlineStr"/>
      <c r="L516" s="8" t="inlineStr"/>
      <c r="M516" s="10" t="inlineStr"/>
    </row>
    <row r="517">
      <c r="A517" s="4" t="n">
        <v>513</v>
      </c>
      <c r="B517" s="6" t="inlineStr">
        <is>
          <t>Склад 3</t>
        </is>
      </c>
      <c r="C517" s="4" t="inlineStr">
        <is>
          <t>ЭЛЕКТРИКА</t>
        </is>
      </c>
      <c r="D517" s="5" t="inlineStr">
        <is>
          <t>Вентилятор РСС 2/4</t>
        </is>
      </c>
      <c r="E517" s="4" t="inlineStr">
        <is>
          <t>1</t>
        </is>
      </c>
      <c r="F517" s="4" t="n">
        <v>1</v>
      </c>
      <c r="G517" s="8" t="n"/>
      <c r="H517" s="4">
        <f>IF(G517="","",G517-F517)</f>
        <v/>
      </c>
      <c r="I517" s="9" t="n"/>
      <c r="J517" s="9">
        <f>IF(G517="","",H517*I517)</f>
        <v/>
      </c>
      <c r="K517" s="8" t="inlineStr"/>
      <c r="L517" s="8" t="inlineStr"/>
      <c r="M517" s="10" t="inlineStr"/>
    </row>
    <row r="518">
      <c r="A518" s="4" t="n">
        <v>514</v>
      </c>
      <c r="B518" s="6" t="inlineStr">
        <is>
          <t>Склад 3</t>
        </is>
      </c>
      <c r="C518" s="4" t="inlineStr">
        <is>
          <t>ЭЛЕКТРИКА</t>
        </is>
      </c>
      <c r="D518" s="5" t="inlineStr">
        <is>
          <t>Вентилятор РСС-10/10</t>
        </is>
      </c>
      <c r="E518" s="4" t="inlineStr">
        <is>
          <t>2</t>
        </is>
      </c>
      <c r="F518" s="4" t="n">
        <v>2</v>
      </c>
      <c r="G518" s="8" t="n"/>
      <c r="H518" s="4">
        <f>IF(G518="","",G518-F518)</f>
        <v/>
      </c>
      <c r="I518" s="9" t="n"/>
      <c r="J518" s="9">
        <f>IF(G518="","",H518*I518)</f>
        <v/>
      </c>
      <c r="K518" s="8" t="inlineStr"/>
      <c r="L518" s="8" t="inlineStr"/>
      <c r="M518" s="10" t="inlineStr"/>
    </row>
    <row r="519">
      <c r="A519" s="4" t="n">
        <v>515</v>
      </c>
      <c r="B519" s="6" t="inlineStr">
        <is>
          <t>Склад 3</t>
        </is>
      </c>
      <c r="C519" s="4" t="inlineStr">
        <is>
          <t>ЭЛЕКТРИКА</t>
        </is>
      </c>
      <c r="D519" s="5" t="inlineStr">
        <is>
          <t>Вентилятор ЦСУ-14</t>
        </is>
      </c>
      <c r="E519" s="4" t="inlineStr">
        <is>
          <t>2</t>
        </is>
      </c>
      <c r="F519" s="4" t="n">
        <v>2</v>
      </c>
      <c r="G519" s="8" t="n"/>
      <c r="H519" s="4">
        <f>IF(G519="","",G519-F519)</f>
        <v/>
      </c>
      <c r="I519" s="9" t="n"/>
      <c r="J519" s="9">
        <f>IF(G519="","",H519*I519)</f>
        <v/>
      </c>
      <c r="K519" s="8" t="inlineStr"/>
      <c r="L519" s="8" t="inlineStr"/>
      <c r="M519" s="10" t="inlineStr"/>
    </row>
    <row r="520">
      <c r="A520" s="4" t="n">
        <v>516</v>
      </c>
      <c r="B520" s="6" t="inlineStr">
        <is>
          <t>Склад 3</t>
        </is>
      </c>
      <c r="C520" s="4" t="inlineStr">
        <is>
          <t>ЭЛЕКТРИКА</t>
        </is>
      </c>
      <c r="D520" s="5" t="inlineStr">
        <is>
          <t>Вилка к ПКЭ-300</t>
        </is>
      </c>
      <c r="E520" s="4" t="inlineStr">
        <is>
          <t>4</t>
        </is>
      </c>
      <c r="F520" s="4" t="n">
        <v>4</v>
      </c>
      <c r="G520" s="8" t="n"/>
      <c r="H520" s="4">
        <f>IF(G520="","",G520-F520)</f>
        <v/>
      </c>
      <c r="I520" s="9" t="n"/>
      <c r="J520" s="9">
        <f>IF(G520="","",H520*I520)</f>
        <v/>
      </c>
      <c r="K520" s="8" t="inlineStr"/>
      <c r="L520" s="8" t="inlineStr"/>
      <c r="M520" s="10" t="inlineStr"/>
    </row>
    <row r="521">
      <c r="A521" s="4" t="n">
        <v>517</v>
      </c>
      <c r="B521" s="6" t="inlineStr">
        <is>
          <t>Склад 3</t>
        </is>
      </c>
      <c r="C521" s="4" t="inlineStr">
        <is>
          <t>ЭЛЕКТРИКА</t>
        </is>
      </c>
      <c r="D521" s="5" t="inlineStr">
        <is>
          <t>Водонагреватель ВЭС-300 ОМ5 220 V (щит управ+провода+термометр)</t>
        </is>
      </c>
      <c r="E521" s="4" t="inlineStr">
        <is>
          <t>1</t>
        </is>
      </c>
      <c r="F521" s="4" t="n">
        <v>1</v>
      </c>
      <c r="G521" s="8" t="n"/>
      <c r="H521" s="4">
        <f>IF(G521="","",G521-F521)</f>
        <v/>
      </c>
      <c r="I521" s="9" t="n">
        <v>285000</v>
      </c>
      <c r="J521" s="9">
        <f>IF(G521="","",H521*I521)</f>
        <v/>
      </c>
      <c r="K521" s="8" t="inlineStr"/>
      <c r="L521" s="8" t="inlineStr"/>
      <c r="M521" s="10" t="inlineStr"/>
    </row>
    <row r="522">
      <c r="A522" s="4" t="n">
        <v>518</v>
      </c>
      <c r="B522" s="6" t="inlineStr">
        <is>
          <t>Склад 3</t>
        </is>
      </c>
      <c r="C522" s="4" t="inlineStr">
        <is>
          <t>ЭЛЕКТРИКА</t>
        </is>
      </c>
      <c r="D522" s="5" t="inlineStr">
        <is>
          <t>Воздухораспределитель поворотный 542 77 1 105</t>
        </is>
      </c>
      <c r="E522" s="4" t="inlineStr">
        <is>
          <t>6</t>
        </is>
      </c>
      <c r="F522" s="4" t="n">
        <v>6</v>
      </c>
      <c r="G522" s="8" t="n"/>
      <c r="H522" s="4">
        <f>IF(G522="","",G522-F522)</f>
        <v/>
      </c>
      <c r="I522" s="9" t="n">
        <v>7540</v>
      </c>
      <c r="J522" s="9">
        <f>IF(G522="","",H522*I522)</f>
        <v/>
      </c>
      <c r="K522" s="8" t="inlineStr"/>
      <c r="L522" s="8" t="inlineStr"/>
      <c r="M522" s="10" t="inlineStr"/>
    </row>
    <row r="523">
      <c r="A523" s="4" t="n">
        <v>519</v>
      </c>
      <c r="B523" s="6" t="inlineStr">
        <is>
          <t>Склад 3</t>
        </is>
      </c>
      <c r="C523" s="4" t="inlineStr">
        <is>
          <t>ЭЛЕКТРИКА</t>
        </is>
      </c>
      <c r="D523" s="5" t="inlineStr">
        <is>
          <t>Выключатель Т-5-4М</t>
        </is>
      </c>
      <c r="E523" s="4" t="inlineStr">
        <is>
          <t>21</t>
        </is>
      </c>
      <c r="F523" s="4" t="n">
        <v>21</v>
      </c>
      <c r="G523" s="8" t="n"/>
      <c r="H523" s="4">
        <f>IF(G523="","",G523-F523)</f>
        <v/>
      </c>
      <c r="I523" s="9" t="n"/>
      <c r="J523" s="9">
        <f>IF(G523="","",H523*I523)</f>
        <v/>
      </c>
      <c r="K523" s="8" t="inlineStr"/>
      <c r="L523" s="8" t="inlineStr"/>
      <c r="M523" s="10" t="inlineStr"/>
    </row>
    <row r="524">
      <c r="A524" s="4" t="n">
        <v>520</v>
      </c>
      <c r="B524" s="6" t="inlineStr">
        <is>
          <t>Склад 3</t>
        </is>
      </c>
      <c r="C524" s="4" t="inlineStr">
        <is>
          <t>ЭЛЕКТРИКА</t>
        </is>
      </c>
      <c r="D524" s="5" t="inlineStr">
        <is>
          <t>ГПВ 2-60</t>
        </is>
      </c>
      <c r="E524" s="4" t="inlineStr">
        <is>
          <t>1</t>
        </is>
      </c>
      <c r="F524" s="4" t="n">
        <v>1</v>
      </c>
      <c r="G524" s="8" t="n"/>
      <c r="H524" s="4">
        <f>IF(G524="","",G524-F524)</f>
        <v/>
      </c>
      <c r="I524" s="9" t="n"/>
      <c r="J524" s="9">
        <f>IF(G524="","",H524*I524)</f>
        <v/>
      </c>
      <c r="K524" s="8" t="inlineStr"/>
      <c r="L524" s="8" t="inlineStr"/>
      <c r="M524" s="10" t="inlineStr"/>
    </row>
    <row r="525">
      <c r="A525" s="4" t="n">
        <v>521</v>
      </c>
      <c r="B525" s="6" t="inlineStr">
        <is>
          <t>Склад 3</t>
        </is>
      </c>
      <c r="C525" s="4" t="inlineStr">
        <is>
          <t>ЭЛЕКТРИКА</t>
        </is>
      </c>
      <c r="D525" s="5" t="inlineStr">
        <is>
          <t>ГПВ 3-10</t>
        </is>
      </c>
      <c r="E525" s="4" t="inlineStr">
        <is>
          <t>2</t>
        </is>
      </c>
      <c r="F525" s="4" t="n">
        <v>2</v>
      </c>
      <c r="G525" s="8" t="n"/>
      <c r="H525" s="4">
        <f>IF(G525="","",G525-F525)</f>
        <v/>
      </c>
      <c r="I525" s="9" t="n"/>
      <c r="J525" s="9">
        <f>IF(G525="","",H525*I525)</f>
        <v/>
      </c>
      <c r="K525" s="8" t="inlineStr"/>
      <c r="L525" s="8" t="inlineStr"/>
      <c r="M525" s="10" t="inlineStr"/>
    </row>
    <row r="526">
      <c r="A526" s="4" t="n">
        <v>522</v>
      </c>
      <c r="B526" s="6" t="inlineStr">
        <is>
          <t>Склад 3</t>
        </is>
      </c>
      <c r="C526" s="4" t="inlineStr">
        <is>
          <t>ЭЛЕКТРИКА</t>
        </is>
      </c>
      <c r="D526" s="5" t="inlineStr">
        <is>
          <t>ГПВ 3-60</t>
        </is>
      </c>
      <c r="E526" s="4" t="inlineStr">
        <is>
          <t>1</t>
        </is>
      </c>
      <c r="F526" s="4" t="n">
        <v>1</v>
      </c>
      <c r="G526" s="8" t="n"/>
      <c r="H526" s="4">
        <f>IF(G526="","",G526-F526)</f>
        <v/>
      </c>
      <c r="I526" s="9" t="n"/>
      <c r="J526" s="9">
        <f>IF(G526="","",H526*I526)</f>
        <v/>
      </c>
      <c r="K526" s="8" t="inlineStr"/>
      <c r="L526" s="8" t="inlineStr"/>
      <c r="M526" s="10" t="inlineStr"/>
    </row>
    <row r="527">
      <c r="A527" s="4" t="n">
        <v>523</v>
      </c>
      <c r="B527" s="6" t="inlineStr">
        <is>
          <t>Склад 3</t>
        </is>
      </c>
      <c r="C527" s="4" t="inlineStr">
        <is>
          <t>ЭЛЕКТРИКА</t>
        </is>
      </c>
      <c r="D527" s="5" t="inlineStr">
        <is>
          <t>ГПВ-3-16</t>
        </is>
      </c>
      <c r="E527" s="4" t="inlineStr">
        <is>
          <t>2</t>
        </is>
      </c>
      <c r="F527" s="4" t="n">
        <v>2</v>
      </c>
      <c r="G527" s="8" t="n"/>
      <c r="H527" s="4">
        <f>IF(G527="","",G527-F527)</f>
        <v/>
      </c>
      <c r="I527" s="9" t="n"/>
      <c r="J527" s="9">
        <f>IF(G527="","",H527*I527)</f>
        <v/>
      </c>
      <c r="K527" s="8" t="inlineStr"/>
      <c r="L527" s="8" t="inlineStr"/>
      <c r="M527" s="10" t="inlineStr"/>
    </row>
    <row r="528">
      <c r="A528" s="4" t="n">
        <v>524</v>
      </c>
      <c r="B528" s="6" t="inlineStr">
        <is>
          <t>Склад 3</t>
        </is>
      </c>
      <c r="C528" s="4" t="inlineStr">
        <is>
          <t>ЭЛЕКТРИКА</t>
        </is>
      </c>
      <c r="D528" s="5" t="inlineStr">
        <is>
          <t>ГПП 2-10</t>
        </is>
      </c>
      <c r="E528" s="4" t="inlineStr">
        <is>
          <t>1</t>
        </is>
      </c>
      <c r="F528" s="4" t="n">
        <v>1</v>
      </c>
      <c r="G528" s="8" t="n"/>
      <c r="H528" s="4">
        <f>IF(G528="","",G528-F528)</f>
        <v/>
      </c>
      <c r="I528" s="9" t="n"/>
      <c r="J528" s="9">
        <f>IF(G528="","",H528*I528)</f>
        <v/>
      </c>
      <c r="K528" s="8" t="inlineStr"/>
      <c r="L528" s="8" t="inlineStr"/>
      <c r="M528" s="10" t="inlineStr"/>
    </row>
    <row r="529">
      <c r="A529" s="4" t="n">
        <v>525</v>
      </c>
      <c r="B529" s="6" t="inlineStr">
        <is>
          <t>Склад 3</t>
        </is>
      </c>
      <c r="C529" s="4" t="inlineStr">
        <is>
          <t>ЭЛЕКТРИКА</t>
        </is>
      </c>
      <c r="D529" s="5" t="inlineStr">
        <is>
          <t>ГПП 3-10</t>
        </is>
      </c>
      <c r="E529" s="4" t="inlineStr">
        <is>
          <t>1</t>
        </is>
      </c>
      <c r="F529" s="4" t="n">
        <v>1</v>
      </c>
      <c r="G529" s="8" t="n"/>
      <c r="H529" s="4">
        <f>IF(G529="","",G529-F529)</f>
        <v/>
      </c>
      <c r="I529" s="9" t="n"/>
      <c r="J529" s="9">
        <f>IF(G529="","",H529*I529)</f>
        <v/>
      </c>
      <c r="K529" s="8" t="inlineStr"/>
      <c r="L529" s="8" t="inlineStr"/>
      <c r="M529" s="10" t="inlineStr"/>
    </row>
    <row r="530">
      <c r="A530" s="4" t="n">
        <v>526</v>
      </c>
      <c r="B530" s="6" t="inlineStr">
        <is>
          <t>Склад 3</t>
        </is>
      </c>
      <c r="C530" s="4" t="inlineStr">
        <is>
          <t>ЭЛЕКТРИКА</t>
        </is>
      </c>
      <c r="D530" s="5" t="inlineStr">
        <is>
          <t>ДПС-331Р 100А для военной техники</t>
        </is>
      </c>
      <c r="E530" s="4" t="inlineStr">
        <is>
          <t>2</t>
        </is>
      </c>
      <c r="F530" s="4" t="n">
        <v>2</v>
      </c>
      <c r="G530" s="8" t="n"/>
      <c r="H530" s="4">
        <f>IF(G530="","",G530-F530)</f>
        <v/>
      </c>
      <c r="I530" s="9" t="n"/>
      <c r="J530" s="9">
        <f>IF(G530="","",H530*I530)</f>
        <v/>
      </c>
      <c r="K530" s="8" t="inlineStr"/>
      <c r="L530" s="8" t="inlineStr"/>
      <c r="M530" s="10" t="inlineStr"/>
    </row>
    <row r="531">
      <c r="A531" s="4" t="n">
        <v>527</v>
      </c>
      <c r="B531" s="6" t="inlineStr">
        <is>
          <t>Склад 3</t>
        </is>
      </c>
      <c r="C531" s="4" t="inlineStr">
        <is>
          <t>ЭЛЕКТРИКА</t>
        </is>
      </c>
      <c r="D531" s="5" t="inlineStr">
        <is>
          <t>Данфас TF-2 -40/+10С R12</t>
        </is>
      </c>
      <c r="E531" s="4" t="inlineStr">
        <is>
          <t>1</t>
        </is>
      </c>
      <c r="F531" s="4" t="n">
        <v>1</v>
      </c>
      <c r="G531" s="8" t="n"/>
      <c r="H531" s="4">
        <f>IF(G531="","",G531-F531)</f>
        <v/>
      </c>
      <c r="I531" s="9" t="n"/>
      <c r="J531" s="9">
        <f>IF(G531="","",H531*I531)</f>
        <v/>
      </c>
      <c r="K531" s="8" t="inlineStr"/>
      <c r="L531" s="8" t="inlineStr"/>
      <c r="M531" s="10" t="inlineStr"/>
    </row>
    <row r="532">
      <c r="A532" s="4" t="n">
        <v>528</v>
      </c>
      <c r="B532" s="6" t="inlineStr">
        <is>
          <t>Склад 3</t>
        </is>
      </c>
      <c r="C532" s="4" t="inlineStr">
        <is>
          <t>ЭЛЕКТРИКА</t>
        </is>
      </c>
      <c r="D532" s="5" t="inlineStr">
        <is>
          <t>Датчик давления Мертик 665 1,0</t>
        </is>
      </c>
      <c r="E532" s="4" t="inlineStr">
        <is>
          <t>3</t>
        </is>
      </c>
      <c r="F532" s="4" t="n">
        <v>3</v>
      </c>
      <c r="G532" s="8" t="n"/>
      <c r="H532" s="4">
        <f>IF(G532="","",G532-F532)</f>
        <v/>
      </c>
      <c r="I532" s="9" t="n"/>
      <c r="J532" s="9">
        <f>IF(G532="","",H532*I532)</f>
        <v/>
      </c>
      <c r="K532" s="8" t="inlineStr"/>
      <c r="L532" s="8" t="inlineStr"/>
      <c r="M532" s="10" t="inlineStr"/>
    </row>
    <row r="533">
      <c r="A533" s="4" t="n">
        <v>529</v>
      </c>
      <c r="B533" s="6" t="inlineStr">
        <is>
          <t>Склад 3</t>
        </is>
      </c>
      <c r="C533" s="4" t="inlineStr">
        <is>
          <t>ЭЛЕКТРИКА</t>
        </is>
      </c>
      <c r="D533" s="5" t="inlineStr">
        <is>
          <t>Диски тормозные 170мм</t>
        </is>
      </c>
      <c r="E533" s="4" t="inlineStr">
        <is>
          <t>4</t>
        </is>
      </c>
      <c r="F533" s="4" t="n">
        <v>4</v>
      </c>
      <c r="G533" s="8" t="n"/>
      <c r="H533" s="4">
        <f>IF(G533="","",G533-F533)</f>
        <v/>
      </c>
      <c r="I533" s="9" t="n">
        <v>2890</v>
      </c>
      <c r="J533" s="9">
        <f>IF(G533="","",H533*I533)</f>
        <v/>
      </c>
      <c r="K533" s="8" t="inlineStr"/>
      <c r="L533" s="8" t="inlineStr"/>
      <c r="M533" s="10" t="inlineStr"/>
    </row>
    <row r="534">
      <c r="A534" s="4" t="n">
        <v>530</v>
      </c>
      <c r="B534" s="6" t="inlineStr">
        <is>
          <t>Склад 3</t>
        </is>
      </c>
      <c r="C534" s="4" t="inlineStr">
        <is>
          <t>ЭЛЕКТРИКА</t>
        </is>
      </c>
      <c r="D534" s="5" t="inlineStr">
        <is>
          <t>Диски тормозные 185мм</t>
        </is>
      </c>
      <c r="E534" s="4" t="inlineStr">
        <is>
          <t>2</t>
        </is>
      </c>
      <c r="F534" s="4" t="n">
        <v>2</v>
      </c>
      <c r="G534" s="8" t="n"/>
      <c r="H534" s="4">
        <f>IF(G534="","",G534-F534)</f>
        <v/>
      </c>
      <c r="I534" s="9" t="n">
        <v>10000</v>
      </c>
      <c r="J534" s="9">
        <f>IF(G534="","",H534*I534)</f>
        <v/>
      </c>
      <c r="K534" s="8" t="inlineStr"/>
      <c r="L534" s="8" t="inlineStr"/>
      <c r="M534" s="10" t="inlineStr"/>
    </row>
    <row r="535">
      <c r="A535" s="4" t="n">
        <v>531</v>
      </c>
      <c r="B535" s="6" t="inlineStr">
        <is>
          <t>Склад 3</t>
        </is>
      </c>
      <c r="C535" s="4" t="inlineStr">
        <is>
          <t>ЭЛЕКТРИКА</t>
        </is>
      </c>
      <c r="D535" s="5" t="inlineStr">
        <is>
          <t>Диски тормозные 225мм</t>
        </is>
      </c>
      <c r="E535" s="4" t="inlineStr">
        <is>
          <t>11</t>
        </is>
      </c>
      <c r="F535" s="4" t="n">
        <v>11</v>
      </c>
      <c r="G535" s="8" t="n"/>
      <c r="H535" s="4">
        <f>IF(G535="","",G535-F535)</f>
        <v/>
      </c>
      <c r="I535" s="9" t="n">
        <v>4890</v>
      </c>
      <c r="J535" s="9">
        <f>IF(G535="","",H535*I535)</f>
        <v/>
      </c>
      <c r="K535" s="8" t="inlineStr"/>
      <c r="L535" s="8" t="inlineStr"/>
      <c r="M535" s="10" t="inlineStr"/>
    </row>
    <row r="536">
      <c r="A536" s="4" t="n">
        <v>532</v>
      </c>
      <c r="B536" s="6" t="inlineStr">
        <is>
          <t>Склад 3</t>
        </is>
      </c>
      <c r="C536" s="4" t="inlineStr">
        <is>
          <t>ЭЛЕКТРИКА</t>
        </is>
      </c>
      <c r="D536" s="5" t="inlineStr">
        <is>
          <t>Диски тормозные 260мм</t>
        </is>
      </c>
      <c r="E536" s="4" t="inlineStr">
        <is>
          <t>1</t>
        </is>
      </c>
      <c r="F536" s="4" t="n">
        <v>1</v>
      </c>
      <c r="G536" s="8" t="n"/>
      <c r="H536" s="4">
        <f>IF(G536="","",G536-F536)</f>
        <v/>
      </c>
      <c r="I536" s="9" t="n">
        <v>5100</v>
      </c>
      <c r="J536" s="9">
        <f>IF(G536="","",H536*I536)</f>
        <v/>
      </c>
      <c r="K536" s="8" t="inlineStr"/>
      <c r="L536" s="8" t="inlineStr"/>
      <c r="M536" s="10" t="inlineStr"/>
    </row>
    <row r="537">
      <c r="A537" s="4" t="n">
        <v>533</v>
      </c>
      <c r="B537" s="6" t="inlineStr">
        <is>
          <t>Склад 3</t>
        </is>
      </c>
      <c r="C537" s="4" t="inlineStr">
        <is>
          <t>ЭЛЕКТРИКА</t>
        </is>
      </c>
      <c r="D537" s="5" t="inlineStr">
        <is>
          <t>Диски тормозные 310мм</t>
        </is>
      </c>
      <c r="E537" s="4" t="inlineStr">
        <is>
          <t>1</t>
        </is>
      </c>
      <c r="F537" s="4" t="n">
        <v>1</v>
      </c>
      <c r="G537" s="8" t="n"/>
      <c r="H537" s="4">
        <f>IF(G537="","",G537-F537)</f>
        <v/>
      </c>
      <c r="I537" s="9" t="n">
        <v>9890</v>
      </c>
      <c r="J537" s="9">
        <f>IF(G537="","",H537*I537)</f>
        <v/>
      </c>
      <c r="K537" s="8" t="inlineStr"/>
      <c r="L537" s="8" t="inlineStr"/>
      <c r="M537" s="10" t="inlineStr"/>
    </row>
    <row r="538">
      <c r="A538" s="4" t="n">
        <v>534</v>
      </c>
      <c r="B538" s="6" t="inlineStr">
        <is>
          <t>Склад 3</t>
        </is>
      </c>
      <c r="C538" s="4" t="inlineStr">
        <is>
          <t>ЭЛЕКТРИКА</t>
        </is>
      </c>
      <c r="D538" s="5" t="inlineStr">
        <is>
          <t>Диски тормозные ТДП-6А Ф400</t>
        </is>
      </c>
      <c r="E538" s="4" t="inlineStr">
        <is>
          <t>7</t>
        </is>
      </c>
      <c r="F538" s="4" t="n">
        <v>7</v>
      </c>
      <c r="G538" s="8" t="n"/>
      <c r="H538" s="4">
        <f>IF(G538="","",G538-F538)</f>
        <v/>
      </c>
      <c r="I538" s="9" t="n">
        <v>40000</v>
      </c>
      <c r="J538" s="9">
        <f>IF(G538="","",H538*I538)</f>
        <v/>
      </c>
      <c r="K538" s="8" t="inlineStr"/>
      <c r="L538" s="8" t="inlineStr"/>
      <c r="M538" s="10" t="inlineStr"/>
    </row>
    <row r="539">
      <c r="A539" s="4" t="n">
        <v>535</v>
      </c>
      <c r="B539" s="6" t="inlineStr">
        <is>
          <t>Склад 3</t>
        </is>
      </c>
      <c r="C539" s="4" t="inlineStr">
        <is>
          <t>ЭЛЕКТРИКА</t>
        </is>
      </c>
      <c r="D539" s="5" t="inlineStr">
        <is>
          <t>ЗМР2-1 замыкатель массы</t>
        </is>
      </c>
      <c r="E539" s="4" t="inlineStr">
        <is>
          <t>1</t>
        </is>
      </c>
      <c r="F539" s="4" t="n">
        <v>1</v>
      </c>
      <c r="G539" s="8" t="n"/>
      <c r="H539" s="4">
        <f>IF(G539="","",G539-F539)</f>
        <v/>
      </c>
      <c r="I539" s="9" t="n">
        <v>5500</v>
      </c>
      <c r="J539" s="9">
        <f>IF(G539="","",H539*I539)</f>
        <v/>
      </c>
      <c r="K539" s="8" t="inlineStr"/>
      <c r="L539" s="8" t="inlineStr"/>
      <c r="M539" s="10" t="inlineStr"/>
    </row>
    <row r="540">
      <c r="A540" s="4" t="n">
        <v>536</v>
      </c>
      <c r="B540" s="6" t="inlineStr">
        <is>
          <t>Склад 3</t>
        </is>
      </c>
      <c r="C540" s="4" t="inlineStr">
        <is>
          <t>ЭЛЕКТРИКА</t>
        </is>
      </c>
      <c r="D540" s="5" t="inlineStr">
        <is>
          <t>Звонок ЗПВ 220В</t>
        </is>
      </c>
      <c r="E540" s="4" t="inlineStr">
        <is>
          <t>4</t>
        </is>
      </c>
      <c r="F540" s="4" t="n">
        <v>4</v>
      </c>
      <c r="G540" s="8" t="n"/>
      <c r="H540" s="4">
        <f>IF(G540="","",G540-F540)</f>
        <v/>
      </c>
      <c r="I540" s="9" t="n">
        <v>7500</v>
      </c>
      <c r="J540" s="9">
        <f>IF(G540="","",H540*I540)</f>
        <v/>
      </c>
      <c r="K540" s="8" t="inlineStr"/>
      <c r="L540" s="8" t="inlineStr"/>
      <c r="M540" s="10" t="inlineStr"/>
    </row>
    <row r="541">
      <c r="A541" s="4" t="n">
        <v>537</v>
      </c>
      <c r="B541" s="6" t="inlineStr">
        <is>
          <t>Склад 3</t>
        </is>
      </c>
      <c r="C541" s="4" t="inlineStr">
        <is>
          <t>ЭЛЕКТРИКА</t>
        </is>
      </c>
      <c r="D541" s="5" t="inlineStr">
        <is>
          <t>Звонок ЗПВ 24В</t>
        </is>
      </c>
      <c r="E541" s="4" t="inlineStr">
        <is>
          <t>1</t>
        </is>
      </c>
      <c r="F541" s="4" t="n">
        <v>1</v>
      </c>
      <c r="G541" s="8" t="n"/>
      <c r="H541" s="4">
        <f>IF(G541="","",G541-F541)</f>
        <v/>
      </c>
      <c r="I541" s="9" t="n">
        <v>299</v>
      </c>
      <c r="J541" s="9">
        <f>IF(G541="","",H541*I541)</f>
        <v/>
      </c>
      <c r="K541" s="8" t="inlineStr"/>
      <c r="L541" s="8" t="inlineStr"/>
      <c r="M541" s="10" t="inlineStr"/>
    </row>
    <row r="542">
      <c r="A542" s="4" t="n">
        <v>538</v>
      </c>
      <c r="B542" s="6" t="inlineStr">
        <is>
          <t>Склад 3</t>
        </is>
      </c>
      <c r="C542" s="4" t="inlineStr">
        <is>
          <t>ЭЛЕКТРИКА</t>
        </is>
      </c>
      <c r="D542" s="5" t="inlineStr">
        <is>
          <t>КВП Коробка соединительная КВП4-1,5 10А 380А</t>
        </is>
      </c>
      <c r="E542" s="4" t="inlineStr">
        <is>
          <t>30</t>
        </is>
      </c>
      <c r="F542" s="4" t="n">
        <v>30</v>
      </c>
      <c r="G542" s="8" t="n"/>
      <c r="H542" s="4">
        <f>IF(G542="","",G542-F542)</f>
        <v/>
      </c>
      <c r="I542" s="9" t="n">
        <v>1380</v>
      </c>
      <c r="J542" s="9">
        <f>IF(G542="","",H542*I542)</f>
        <v/>
      </c>
      <c r="K542" s="8" t="inlineStr"/>
      <c r="L542" s="8" t="inlineStr"/>
      <c r="M542" s="10" t="inlineStr"/>
    </row>
    <row r="543">
      <c r="A543" s="4" t="n">
        <v>539</v>
      </c>
      <c r="B543" s="6" t="inlineStr">
        <is>
          <t>Склад 3</t>
        </is>
      </c>
      <c r="C543" s="4" t="inlineStr">
        <is>
          <t>ЭЛЕКТРИКА</t>
        </is>
      </c>
      <c r="D543" s="5" t="inlineStr">
        <is>
          <t>Кнопка КУ-741</t>
        </is>
      </c>
      <c r="E543" s="4" t="inlineStr">
        <is>
          <t>1</t>
        </is>
      </c>
      <c r="F543" s="4" t="n">
        <v>1</v>
      </c>
      <c r="G543" s="8" t="n"/>
      <c r="H543" s="4">
        <f>IF(G543="","",G543-F543)</f>
        <v/>
      </c>
      <c r="I543" s="9" t="n">
        <v>12500</v>
      </c>
      <c r="J543" s="9">
        <f>IF(G543="","",H543*I543)</f>
        <v/>
      </c>
      <c r="K543" s="8" t="inlineStr"/>
      <c r="L543" s="8" t="inlineStr"/>
      <c r="M543" s="10" t="inlineStr"/>
    </row>
    <row r="544">
      <c r="A544" s="4" t="n">
        <v>540</v>
      </c>
      <c r="B544" s="6" t="inlineStr">
        <is>
          <t>Склад 3</t>
        </is>
      </c>
      <c r="C544" s="4" t="inlineStr">
        <is>
          <t>ЭЛЕКТРИКА</t>
        </is>
      </c>
      <c r="D544" s="5" t="inlineStr">
        <is>
          <t>Коробка соединительная Т9-4М</t>
        </is>
      </c>
      <c r="E544" s="4" t="inlineStr">
        <is>
          <t>51</t>
        </is>
      </c>
      <c r="F544" s="4" t="n">
        <v>51</v>
      </c>
      <c r="G544" s="8" t="n"/>
      <c r="H544" s="4">
        <f>IF(G544="","",G544-F544)</f>
        <v/>
      </c>
      <c r="I544" s="9" t="n">
        <v>1980</v>
      </c>
      <c r="J544" s="9">
        <f>IF(G544="","",H544*I544)</f>
        <v/>
      </c>
      <c r="K544" s="8" t="inlineStr"/>
      <c r="L544" s="8" t="inlineStr"/>
      <c r="M544" s="10" t="inlineStr"/>
    </row>
    <row r="545">
      <c r="A545" s="4" t="n">
        <v>541</v>
      </c>
      <c r="B545" s="6" t="inlineStr">
        <is>
          <t>Склад 3</t>
        </is>
      </c>
      <c r="C545" s="4" t="inlineStr">
        <is>
          <t>ЭЛЕКТРИКА</t>
        </is>
      </c>
      <c r="D545" s="5" t="inlineStr">
        <is>
          <t>Лампа Б230*35Вт</t>
        </is>
      </c>
      <c r="E545" s="4" t="inlineStr">
        <is>
          <t>462</t>
        </is>
      </c>
      <c r="F545" s="4" t="n">
        <v>462</v>
      </c>
      <c r="G545" s="8" t="n"/>
      <c r="H545" s="4">
        <f>IF(G545="","",G545-F545)</f>
        <v/>
      </c>
      <c r="I545" s="9" t="n">
        <v>20</v>
      </c>
      <c r="J545" s="9">
        <f>IF(G545="","",H545*I545)</f>
        <v/>
      </c>
      <c r="K545" s="8" t="inlineStr"/>
      <c r="L545" s="8" t="inlineStr"/>
      <c r="M545" s="10" t="inlineStr"/>
    </row>
    <row r="546">
      <c r="A546" s="4" t="n">
        <v>542</v>
      </c>
      <c r="B546" s="6" t="inlineStr">
        <is>
          <t>Склад 3</t>
        </is>
      </c>
      <c r="C546" s="4" t="inlineStr">
        <is>
          <t>ЭЛЕКТРИКА</t>
        </is>
      </c>
      <c r="D546" s="5" t="inlineStr">
        <is>
          <t>Лампочки</t>
        </is>
      </c>
      <c r="E546" s="4" t="inlineStr">
        <is>
          <t>85</t>
        </is>
      </c>
      <c r="F546" s="4" t="n">
        <v>85</v>
      </c>
      <c r="G546" s="8" t="n"/>
      <c r="H546" s="4">
        <f>IF(G546="","",G546-F546)</f>
        <v/>
      </c>
      <c r="I546" s="9" t="n">
        <v>50</v>
      </c>
      <c r="J546" s="9">
        <f>IF(G546="","",H546*I546)</f>
        <v/>
      </c>
      <c r="K546" s="8" t="inlineStr"/>
      <c r="L546" s="8" t="inlineStr"/>
      <c r="M546" s="10" t="inlineStr"/>
    </row>
    <row r="547">
      <c r="A547" s="4" t="n">
        <v>543</v>
      </c>
      <c r="B547" s="6" t="inlineStr">
        <is>
          <t>Склад 3</t>
        </is>
      </c>
      <c r="C547" s="4" t="inlineStr">
        <is>
          <t>ЭЛЕКТРИКА</t>
        </is>
      </c>
      <c r="D547" s="5" t="inlineStr">
        <is>
          <t>Лампочки накаливания 6V 21W BA15s</t>
        </is>
      </c>
      <c r="E547" s="4" t="inlineStr">
        <is>
          <t>100</t>
        </is>
      </c>
      <c r="F547" s="4" t="n">
        <v>100</v>
      </c>
      <c r="G547" s="8" t="n"/>
      <c r="H547" s="4">
        <f>IF(G547="","",G547-F547)</f>
        <v/>
      </c>
      <c r="I547" s="9" t="n">
        <v>100</v>
      </c>
      <c r="J547" s="9">
        <f>IF(G547="","",H547*I547)</f>
        <v/>
      </c>
      <c r="K547" s="8" t="inlineStr"/>
      <c r="L547" s="8" t="inlineStr"/>
      <c r="M547" s="10" t="inlineStr"/>
    </row>
    <row r="548">
      <c r="A548" s="4" t="n">
        <v>544</v>
      </c>
      <c r="B548" s="6" t="inlineStr">
        <is>
          <t>Склад 3</t>
        </is>
      </c>
      <c r="C548" s="4" t="inlineStr">
        <is>
          <t>ЭЛЕКТРИКА</t>
        </is>
      </c>
      <c r="D548" s="5" t="inlineStr">
        <is>
          <t>Лампочки накаливания В15s/18</t>
        </is>
      </c>
      <c r="E548" s="4" t="inlineStr">
        <is>
          <t>799</t>
        </is>
      </c>
      <c r="F548" s="4" t="n">
        <v>799</v>
      </c>
      <c r="G548" s="8" t="n"/>
      <c r="H548" s="4">
        <f>IF(G548="","",G548-F548)</f>
        <v/>
      </c>
      <c r="I548" s="9" t="n">
        <v>115</v>
      </c>
      <c r="J548" s="9">
        <f>IF(G548="","",H548*I548)</f>
        <v/>
      </c>
      <c r="K548" s="8" t="inlineStr"/>
      <c r="L548" s="8" t="inlineStr"/>
      <c r="M548" s="10" t="inlineStr"/>
    </row>
    <row r="549">
      <c r="A549" s="4" t="n">
        <v>545</v>
      </c>
      <c r="B549" s="6" t="inlineStr">
        <is>
          <t>Склад 3</t>
        </is>
      </c>
      <c r="C549" s="4" t="inlineStr">
        <is>
          <t>ЭЛЕКТРИКА</t>
        </is>
      </c>
      <c r="D549" s="5" t="inlineStr">
        <is>
          <t>МКУ 1-0-3кг/см</t>
        </is>
      </c>
      <c r="E549" s="4" t="inlineStr">
        <is>
          <t>4</t>
        </is>
      </c>
      <c r="F549" s="4" t="n">
        <v>4</v>
      </c>
      <c r="G549" s="8" t="n"/>
      <c r="H549" s="4">
        <f>IF(G549="","",G549-F549)</f>
        <v/>
      </c>
      <c r="I549" s="9" t="n">
        <v>3490</v>
      </c>
      <c r="J549" s="9">
        <f>IF(G549="","",H549*I549)</f>
        <v/>
      </c>
      <c r="K549" s="8" t="inlineStr"/>
      <c r="L549" s="8" t="inlineStr"/>
      <c r="M549" s="10" t="inlineStr"/>
    </row>
    <row r="550">
      <c r="A550" s="4" t="n">
        <v>546</v>
      </c>
      <c r="B550" s="6" t="inlineStr">
        <is>
          <t>Склад 3</t>
        </is>
      </c>
      <c r="C550" s="4" t="inlineStr">
        <is>
          <t>ЭЛЕКТРИКА</t>
        </is>
      </c>
      <c r="D550" s="5" t="inlineStr">
        <is>
          <t>Манометр МT-УХЛ3 от0до160kgf/cm2</t>
        </is>
      </c>
      <c r="E550" s="4" t="inlineStr">
        <is>
          <t>1</t>
        </is>
      </c>
      <c r="F550" s="4" t="n">
        <v>1</v>
      </c>
      <c r="G550" s="8" t="n"/>
      <c r="H550" s="4">
        <f>IF(G550="","",G550-F550)</f>
        <v/>
      </c>
      <c r="I550" s="9" t="n">
        <v>3000</v>
      </c>
      <c r="J550" s="9">
        <f>IF(G550="","",H550*I550)</f>
        <v/>
      </c>
      <c r="K550" s="8" t="inlineStr"/>
      <c r="L550" s="8" t="inlineStr"/>
      <c r="M550" s="10" t="inlineStr"/>
    </row>
    <row r="551">
      <c r="A551" s="4" t="n">
        <v>547</v>
      </c>
      <c r="B551" s="6" t="inlineStr">
        <is>
          <t>Склад 3</t>
        </is>
      </c>
      <c r="C551" s="4" t="inlineStr">
        <is>
          <t>ЭЛЕКТРИКА</t>
        </is>
      </c>
      <c r="D551" s="5" t="inlineStr">
        <is>
          <t>Манометр МT-УХЛ3 от0до60kgf/cm2</t>
        </is>
      </c>
      <c r="E551" s="4" t="inlineStr">
        <is>
          <t>1</t>
        </is>
      </c>
      <c r="F551" s="4" t="n">
        <v>1</v>
      </c>
      <c r="G551" s="8" t="n"/>
      <c r="H551" s="4">
        <f>IF(G551="","",G551-F551)</f>
        <v/>
      </c>
      <c r="I551" s="9" t="n">
        <v>2500</v>
      </c>
      <c r="J551" s="9">
        <f>IF(G551="","",H551*I551)</f>
        <v/>
      </c>
      <c r="K551" s="8" t="inlineStr"/>
      <c r="L551" s="8" t="inlineStr"/>
      <c r="M551" s="10" t="inlineStr"/>
    </row>
    <row r="552">
      <c r="A552" s="4" t="n">
        <v>548</v>
      </c>
      <c r="B552" s="6" t="inlineStr">
        <is>
          <t>Склад 3</t>
        </is>
      </c>
      <c r="C552" s="4" t="inlineStr">
        <is>
          <t>ЭЛЕКТРИКА</t>
        </is>
      </c>
      <c r="D552" s="5" t="inlineStr">
        <is>
          <t>Патрон к светильнику СС-373</t>
        </is>
      </c>
      <c r="E552" s="4" t="inlineStr">
        <is>
          <t>12</t>
        </is>
      </c>
      <c r="F552" s="4" t="n">
        <v>12</v>
      </c>
      <c r="G552" s="8" t="n"/>
      <c r="H552" s="4">
        <f>IF(G552="","",G552-F552)</f>
        <v/>
      </c>
      <c r="I552" s="9" t="n">
        <v>500</v>
      </c>
      <c r="J552" s="9">
        <f>IF(G552="","",H552*I552)</f>
        <v/>
      </c>
      <c r="K552" s="8" t="inlineStr"/>
      <c r="L552" s="8" t="inlineStr"/>
      <c r="M552" s="10" t="inlineStr"/>
    </row>
    <row r="553">
      <c r="A553" s="4" t="n">
        <v>549</v>
      </c>
      <c r="B553" s="6" t="inlineStr">
        <is>
          <t>Склад 3</t>
        </is>
      </c>
      <c r="C553" s="4" t="inlineStr">
        <is>
          <t>ЭЛЕКТРИКА</t>
        </is>
      </c>
      <c r="D553" s="5" t="inlineStr">
        <is>
          <t>Переключатель ПП 3*25 СП44 камбузный выключатель</t>
        </is>
      </c>
      <c r="E553" s="4" t="inlineStr">
        <is>
          <t>1</t>
        </is>
      </c>
      <c r="F553" s="4" t="n">
        <v>1</v>
      </c>
      <c r="G553" s="8" t="n"/>
      <c r="H553" s="4">
        <f>IF(G553="","",G553-F553)</f>
        <v/>
      </c>
      <c r="I553" s="9" t="n">
        <v>5500</v>
      </c>
      <c r="J553" s="9">
        <f>IF(G553="","",H553*I553)</f>
        <v/>
      </c>
      <c r="K553" s="8" t="inlineStr"/>
      <c r="L553" s="8" t="inlineStr"/>
      <c r="M553" s="10" t="inlineStr"/>
    </row>
    <row r="554">
      <c r="A554" s="4" t="n">
        <v>550</v>
      </c>
      <c r="B554" s="6" t="inlineStr">
        <is>
          <t>Склад 3</t>
        </is>
      </c>
      <c r="C554" s="4" t="inlineStr">
        <is>
          <t>ЭЛЕКТРИКА</t>
        </is>
      </c>
      <c r="D554" s="5" t="inlineStr">
        <is>
          <t>Предохранитель ПВД 40А</t>
        </is>
      </c>
      <c r="E554" s="4" t="inlineStr">
        <is>
          <t>300</t>
        </is>
      </c>
      <c r="F554" s="4" t="n">
        <v>300</v>
      </c>
      <c r="G554" s="8" t="n"/>
      <c r="H554" s="4">
        <f>IF(G554="","",G554-F554)</f>
        <v/>
      </c>
      <c r="I554" s="9" t="n">
        <v>50</v>
      </c>
      <c r="J554" s="9">
        <f>IF(G554="","",H554*I554)</f>
        <v/>
      </c>
      <c r="K554" s="8" t="inlineStr"/>
      <c r="L554" s="8" t="inlineStr"/>
      <c r="M554" s="10" t="inlineStr"/>
    </row>
    <row r="555">
      <c r="A555" s="4" t="n">
        <v>551</v>
      </c>
      <c r="B555" s="6" t="inlineStr">
        <is>
          <t>Склад 3</t>
        </is>
      </c>
      <c r="C555" s="4" t="inlineStr">
        <is>
          <t>ЭЛЕКТРИКА</t>
        </is>
      </c>
      <c r="D555" s="5" t="inlineStr">
        <is>
          <t>Прожектор ГО-400 220-240В 50Гц</t>
        </is>
      </c>
      <c r="E555" s="4" t="inlineStr">
        <is>
          <t>5</t>
        </is>
      </c>
      <c r="F555" s="4" t="n">
        <v>5</v>
      </c>
      <c r="G555" s="8" t="n"/>
      <c r="H555" s="4">
        <f>IF(G555="","",G555-F555)</f>
        <v/>
      </c>
      <c r="I555" s="9" t="n">
        <v>5914</v>
      </c>
      <c r="J555" s="9">
        <f>IF(G555="","",H555*I555)</f>
        <v/>
      </c>
      <c r="K555" s="8" t="inlineStr"/>
      <c r="L555" s="8" t="inlineStr"/>
      <c r="M555" s="10" t="inlineStr"/>
    </row>
    <row r="556">
      <c r="A556" s="4" t="n">
        <v>552</v>
      </c>
      <c r="B556" s="6" t="inlineStr">
        <is>
          <t>Склад 3</t>
        </is>
      </c>
      <c r="C556" s="4" t="inlineStr">
        <is>
          <t>ЭЛЕКТРИКА</t>
        </is>
      </c>
      <c r="D556" s="5" t="inlineStr">
        <is>
          <t>РДК-57</t>
        </is>
      </c>
      <c r="E556" s="4" t="inlineStr">
        <is>
          <t>5</t>
        </is>
      </c>
      <c r="F556" s="4" t="n">
        <v>5</v>
      </c>
      <c r="G556" s="8" t="n"/>
      <c r="H556" s="4">
        <f>IF(G556="","",G556-F556)</f>
        <v/>
      </c>
      <c r="I556" s="9" t="n">
        <v>1716</v>
      </c>
      <c r="J556" s="9">
        <f>IF(G556="","",H556*I556)</f>
        <v/>
      </c>
      <c r="K556" s="8" t="inlineStr"/>
      <c r="L556" s="8" t="inlineStr"/>
      <c r="M556" s="10" t="inlineStr"/>
    </row>
    <row r="557">
      <c r="A557" s="4" t="n">
        <v>553</v>
      </c>
      <c r="B557" s="6" t="inlineStr">
        <is>
          <t>Склад 3</t>
        </is>
      </c>
      <c r="C557" s="4" t="inlineStr">
        <is>
          <t>ЭЛЕКТРИКА</t>
        </is>
      </c>
      <c r="D557" s="5" t="inlineStr">
        <is>
          <t>РС-1</t>
        </is>
      </c>
      <c r="E557" s="4" t="inlineStr">
        <is>
          <t>1</t>
        </is>
      </c>
      <c r="F557" s="4" t="n">
        <v>1</v>
      </c>
      <c r="G557" s="8" t="n"/>
      <c r="H557" s="4">
        <f>IF(G557="","",G557-F557)</f>
        <v/>
      </c>
      <c r="I557" s="9" t="n">
        <v>515</v>
      </c>
      <c r="J557" s="9">
        <f>IF(G557="","",H557*I557)</f>
        <v/>
      </c>
      <c r="K557" s="8" t="inlineStr"/>
      <c r="L557" s="8" t="inlineStr"/>
      <c r="M557" s="10" t="inlineStr"/>
    </row>
    <row r="558">
      <c r="A558" s="4" t="n">
        <v>554</v>
      </c>
      <c r="B558" s="6" t="inlineStr">
        <is>
          <t>Склад 3</t>
        </is>
      </c>
      <c r="C558" s="4" t="inlineStr">
        <is>
          <t>ЭЛЕКТРИКА</t>
        </is>
      </c>
      <c r="D558" s="5" t="inlineStr">
        <is>
          <t>РШ2-41</t>
        </is>
      </c>
      <c r="E558" s="4" t="inlineStr">
        <is>
          <t>57</t>
        </is>
      </c>
      <c r="F558" s="4" t="n">
        <v>57</v>
      </c>
      <c r="G558" s="8" t="n"/>
      <c r="H558" s="4">
        <f>IF(G558="","",G558-F558)</f>
        <v/>
      </c>
      <c r="I558" s="9" t="n">
        <v>730</v>
      </c>
      <c r="J558" s="9">
        <f>IF(G558="","",H558*I558)</f>
        <v/>
      </c>
      <c r="K558" s="8" t="inlineStr"/>
      <c r="L558" s="8" t="inlineStr"/>
      <c r="M558" s="10" t="inlineStr"/>
    </row>
    <row r="559">
      <c r="A559" s="4" t="n">
        <v>555</v>
      </c>
      <c r="B559" s="6" t="inlineStr">
        <is>
          <t>Склад 3</t>
        </is>
      </c>
      <c r="C559" s="4" t="inlineStr">
        <is>
          <t>ЭЛЕКТРИКА</t>
        </is>
      </c>
      <c r="D559" s="5" t="inlineStr">
        <is>
          <t>РШВ2-41</t>
        </is>
      </c>
      <c r="E559" s="4" t="inlineStr">
        <is>
          <t>83</t>
        </is>
      </c>
      <c r="F559" s="4" t="n">
        <v>83</v>
      </c>
      <c r="G559" s="8" t="n"/>
      <c r="H559" s="4">
        <f>IF(G559="","",G559-F559)</f>
        <v/>
      </c>
      <c r="I559" s="9" t="n">
        <v>5980</v>
      </c>
      <c r="J559" s="9">
        <f>IF(G559="","",H559*I559)</f>
        <v/>
      </c>
      <c r="K559" s="8" t="inlineStr"/>
      <c r="L559" s="8" t="inlineStr"/>
      <c r="M559" s="10" t="inlineStr"/>
    </row>
    <row r="560">
      <c r="A560" s="4" t="n">
        <v>556</v>
      </c>
      <c r="B560" s="6" t="inlineStr">
        <is>
          <t>Склад 3</t>
        </is>
      </c>
      <c r="C560" s="4" t="inlineStr">
        <is>
          <t>ЭЛЕКТРИКА</t>
        </is>
      </c>
      <c r="D560" s="5" t="inlineStr">
        <is>
          <t>РШП-2 380В 35А (вилка)</t>
        </is>
      </c>
      <c r="E560" s="4" t="inlineStr">
        <is>
          <t>1</t>
        </is>
      </c>
      <c r="F560" s="4" t="n">
        <v>1</v>
      </c>
      <c r="G560" s="8" t="n"/>
      <c r="H560" s="4">
        <f>IF(G560="","",G560-F560)</f>
        <v/>
      </c>
      <c r="I560" s="9" t="n">
        <v>1373</v>
      </c>
      <c r="J560" s="9">
        <f>IF(G560="","",H560*I560)</f>
        <v/>
      </c>
      <c r="K560" s="8" t="inlineStr"/>
      <c r="L560" s="8" t="inlineStr"/>
      <c r="M560" s="10" t="inlineStr"/>
    </row>
    <row r="561">
      <c r="A561" s="4" t="n">
        <v>557</v>
      </c>
      <c r="B561" s="6" t="inlineStr">
        <is>
          <t>Склад 3</t>
        </is>
      </c>
      <c r="C561" s="4" t="inlineStr">
        <is>
          <t>ЭЛЕКТРИКА</t>
        </is>
      </c>
      <c r="D561" s="5" t="inlineStr">
        <is>
          <t>РШП-3 380В 35А (розетка)</t>
        </is>
      </c>
      <c r="E561" s="4" t="inlineStr">
        <is>
          <t>10</t>
        </is>
      </c>
      <c r="F561" s="4" t="n">
        <v>10</v>
      </c>
      <c r="G561" s="8" t="n"/>
      <c r="H561" s="4">
        <f>IF(G561="","",G561-F561)</f>
        <v/>
      </c>
      <c r="I561" s="9" t="n">
        <v>1487</v>
      </c>
      <c r="J561" s="9">
        <f>IF(G561="","",H561*I561)</f>
        <v/>
      </c>
      <c r="K561" s="8" t="inlineStr"/>
      <c r="L561" s="8" t="inlineStr"/>
      <c r="M561" s="10" t="inlineStr"/>
    </row>
    <row r="562">
      <c r="A562" s="4" t="n">
        <v>558</v>
      </c>
      <c r="B562" s="6" t="inlineStr">
        <is>
          <t>Склад 3</t>
        </is>
      </c>
      <c r="C562" s="4" t="inlineStr">
        <is>
          <t>ЭЛЕКТРИКА</t>
        </is>
      </c>
      <c r="D562" s="5" t="inlineStr">
        <is>
          <t>Резинки для СС328</t>
        </is>
      </c>
      <c r="E562" s="4" t="inlineStr">
        <is>
          <t>405</t>
        </is>
      </c>
      <c r="F562" s="4" t="n">
        <v>405</v>
      </c>
      <c r="G562" s="8" t="n"/>
      <c r="H562" s="4">
        <f>IF(G562="","",G562-F562)</f>
        <v/>
      </c>
      <c r="I562" s="9" t="n">
        <v>190</v>
      </c>
      <c r="J562" s="9">
        <f>IF(G562="","",H562*I562)</f>
        <v/>
      </c>
      <c r="K562" s="8" t="inlineStr"/>
      <c r="L562" s="8" t="inlineStr"/>
      <c r="M562" s="10" t="inlineStr"/>
    </row>
    <row r="563">
      <c r="A563" s="4" t="n">
        <v>559</v>
      </c>
      <c r="B563" s="6" t="inlineStr">
        <is>
          <t>Склад 3</t>
        </is>
      </c>
      <c r="C563" s="4" t="inlineStr">
        <is>
          <t>ЭЛЕКТРИКА</t>
        </is>
      </c>
      <c r="D563" s="5" t="inlineStr">
        <is>
          <t>Реле активной мощности РМ-53</t>
        </is>
      </c>
      <c r="E563" s="4" t="inlineStr">
        <is>
          <t>1</t>
        </is>
      </c>
      <c r="F563" s="4" t="n">
        <v>1</v>
      </c>
      <c r="G563" s="8" t="n"/>
      <c r="H563" s="4">
        <f>IF(G563="","",G563-F563)</f>
        <v/>
      </c>
      <c r="I563" s="9" t="n">
        <v>10800</v>
      </c>
      <c r="J563" s="9">
        <f>IF(G563="","",H563*I563)</f>
        <v/>
      </c>
      <c r="K563" s="8" t="inlineStr"/>
      <c r="L563" s="8" t="inlineStr"/>
      <c r="M563" s="10" t="inlineStr"/>
    </row>
    <row r="564">
      <c r="A564" s="4" t="n">
        <v>560</v>
      </c>
      <c r="B564" s="6" t="inlineStr">
        <is>
          <t>Склад 3</t>
        </is>
      </c>
      <c r="C564" s="4" t="inlineStr">
        <is>
          <t>ЭЛЕКТРИКА</t>
        </is>
      </c>
      <c r="D564" s="5" t="inlineStr">
        <is>
          <t>Реле давления РНД-1</t>
        </is>
      </c>
      <c r="E564" s="4" t="inlineStr">
        <is>
          <t>2</t>
        </is>
      </c>
      <c r="F564" s="4" t="n">
        <v>2</v>
      </c>
      <c r="G564" s="8" t="n"/>
      <c r="H564" s="4">
        <f>IF(G564="","",G564-F564)</f>
        <v/>
      </c>
      <c r="I564" s="9" t="n">
        <v>7980</v>
      </c>
      <c r="J564" s="9">
        <f>IF(G564="","",H564*I564)</f>
        <v/>
      </c>
      <c r="K564" s="8" t="inlineStr"/>
      <c r="L564" s="8" t="inlineStr"/>
      <c r="M564" s="10" t="inlineStr"/>
    </row>
    <row r="565">
      <c r="A565" s="4" t="n">
        <v>561</v>
      </c>
      <c r="B565" s="6" t="inlineStr">
        <is>
          <t>Склад 3</t>
        </is>
      </c>
      <c r="C565" s="4" t="inlineStr">
        <is>
          <t>ЭЛЕКТРИКА</t>
        </is>
      </c>
      <c r="D565" s="5" t="inlineStr">
        <is>
          <t>Реле температуры ТАМ-102-1-07-2-2</t>
        </is>
      </c>
      <c r="E565" s="4" t="inlineStr">
        <is>
          <t>2</t>
        </is>
      </c>
      <c r="F565" s="4" t="n">
        <v>2</v>
      </c>
      <c r="G565" s="8" t="n"/>
      <c r="H565" s="4">
        <f>IF(G565="","",G565-F565)</f>
        <v/>
      </c>
      <c r="I565" s="9" t="n">
        <v>7200</v>
      </c>
      <c r="J565" s="9">
        <f>IF(G565="","",H565*I565)</f>
        <v/>
      </c>
      <c r="K565" s="8" t="inlineStr"/>
      <c r="L565" s="8" t="inlineStr"/>
      <c r="M565" s="10" t="inlineStr"/>
    </row>
    <row r="566">
      <c r="A566" s="4" t="n">
        <v>562</v>
      </c>
      <c r="B566" s="6" t="inlineStr">
        <is>
          <t>Склад 3</t>
        </is>
      </c>
      <c r="C566" s="4" t="inlineStr">
        <is>
          <t>ЭЛЕКТРИКА</t>
        </is>
      </c>
      <c r="D566" s="5" t="inlineStr">
        <is>
          <t>Реле температуры комбинированное КРМ 60С 220В</t>
        </is>
      </c>
      <c r="E566" s="4" t="inlineStr">
        <is>
          <t>1</t>
        </is>
      </c>
      <c r="F566" s="4" t="n">
        <v>1</v>
      </c>
      <c r="G566" s="8" t="n"/>
      <c r="H566" s="4">
        <f>IF(G566="","",G566-F566)</f>
        <v/>
      </c>
      <c r="I566" s="9" t="n">
        <v>7560</v>
      </c>
      <c r="J566" s="9">
        <f>IF(G566="","",H566*I566)</f>
        <v/>
      </c>
      <c r="K566" s="8" t="inlineStr"/>
      <c r="L566" s="8" t="inlineStr"/>
      <c r="M566" s="10" t="inlineStr"/>
    </row>
    <row r="567">
      <c r="A567" s="4" t="n">
        <v>563</v>
      </c>
      <c r="B567" s="6" t="inlineStr">
        <is>
          <t>Склад 3</t>
        </is>
      </c>
      <c r="C567" s="4" t="inlineStr">
        <is>
          <t>ЭЛЕКТРИКА</t>
        </is>
      </c>
      <c r="D567" s="5" t="inlineStr">
        <is>
          <t>Реле уровня РОС-400</t>
        </is>
      </c>
      <c r="E567" s="4" t="inlineStr">
        <is>
          <t>1</t>
        </is>
      </c>
      <c r="F567" s="4" t="n">
        <v>1</v>
      </c>
      <c r="G567" s="8" t="n"/>
      <c r="H567" s="4">
        <f>IF(G567="","",G567-F567)</f>
        <v/>
      </c>
      <c r="I567" s="9" t="n">
        <v>15893</v>
      </c>
      <c r="J567" s="9">
        <f>IF(G567="","",H567*I567)</f>
        <v/>
      </c>
      <c r="K567" s="8" t="inlineStr"/>
      <c r="L567" s="8" t="inlineStr"/>
      <c r="M567" s="10" t="inlineStr"/>
    </row>
    <row r="568">
      <c r="A568" s="4" t="n">
        <v>564</v>
      </c>
      <c r="B568" s="6" t="inlineStr">
        <is>
          <t>Склад 3</t>
        </is>
      </c>
      <c r="C568" s="4" t="inlineStr">
        <is>
          <t>ЭЛЕКТРИКА</t>
        </is>
      </c>
      <c r="D568" s="5" t="inlineStr">
        <is>
          <t>Реле-регулятор РРТ-32</t>
        </is>
      </c>
      <c r="E568" s="4" t="inlineStr">
        <is>
          <t>1</t>
        </is>
      </c>
      <c r="F568" s="4" t="n">
        <v>1</v>
      </c>
      <c r="G568" s="8" t="n"/>
      <c r="H568" s="4">
        <f>IF(G568="","",G568-F568)</f>
        <v/>
      </c>
      <c r="I568" s="9" t="n">
        <v>28500</v>
      </c>
      <c r="J568" s="9">
        <f>IF(G568="","",H568*I568)</f>
        <v/>
      </c>
      <c r="K568" s="8" t="inlineStr"/>
      <c r="L568" s="8" t="inlineStr"/>
      <c r="M568" s="10" t="inlineStr"/>
    </row>
    <row r="569">
      <c r="A569" s="4" t="n">
        <v>565</v>
      </c>
      <c r="B569" s="6" t="inlineStr">
        <is>
          <t>Склад 3</t>
        </is>
      </c>
      <c r="C569" s="4" t="inlineStr">
        <is>
          <t>ЭЛЕКТРИКА</t>
        </is>
      </c>
      <c r="D569" s="5" t="inlineStr">
        <is>
          <t>Розетка РС-2</t>
        </is>
      </c>
      <c r="E569" s="4" t="inlineStr">
        <is>
          <t>1</t>
        </is>
      </c>
      <c r="F569" s="4" t="n">
        <v>1</v>
      </c>
      <c r="G569" s="8" t="n"/>
      <c r="H569" s="4">
        <f>IF(G569="","",G569-F569)</f>
        <v/>
      </c>
      <c r="I569" s="9" t="n">
        <v>630</v>
      </c>
      <c r="J569" s="9">
        <f>IF(G569="","",H569*I569)</f>
        <v/>
      </c>
      <c r="K569" s="8" t="inlineStr"/>
      <c r="L569" s="8" t="inlineStr"/>
      <c r="M569" s="10" t="inlineStr"/>
    </row>
    <row r="570">
      <c r="A570" s="4" t="n">
        <v>566</v>
      </c>
      <c r="B570" s="6" t="inlineStr">
        <is>
          <t>Склад 3</t>
        </is>
      </c>
      <c r="C570" s="4" t="inlineStr">
        <is>
          <t>ЭЛЕКТРИКА</t>
        </is>
      </c>
      <c r="D570" s="5" t="inlineStr">
        <is>
          <t>СЯ10-2-0 ящик соединительный</t>
        </is>
      </c>
      <c r="E570" s="4" t="inlineStr">
        <is>
          <t>8</t>
        </is>
      </c>
      <c r="F570" s="4" t="n">
        <v>8</v>
      </c>
      <c r="G570" s="8" t="n"/>
      <c r="H570" s="4">
        <f>IF(G570="","",G570-F570)</f>
        <v/>
      </c>
      <c r="I570" s="9" t="n">
        <v>6900</v>
      </c>
      <c r="J570" s="9">
        <f>IF(G570="","",H570*I570)</f>
        <v/>
      </c>
      <c r="K570" s="8" t="inlineStr"/>
      <c r="L570" s="8" t="inlineStr"/>
      <c r="M570" s="10" t="inlineStr"/>
    </row>
    <row r="571">
      <c r="A571" s="4" t="n">
        <v>567</v>
      </c>
      <c r="B571" s="6" t="inlineStr">
        <is>
          <t>Склад 3</t>
        </is>
      </c>
      <c r="C571" s="4" t="inlineStr">
        <is>
          <t>ЭЛЕКТРИКА</t>
        </is>
      </c>
      <c r="D571" s="5" t="inlineStr">
        <is>
          <t>Светильник OWP-250 220V</t>
        </is>
      </c>
      <c r="E571" s="4" t="inlineStr">
        <is>
          <t>1</t>
        </is>
      </c>
      <c r="F571" s="4" t="n">
        <v>1</v>
      </c>
      <c r="G571" s="8" t="n"/>
      <c r="H571" s="4">
        <f>IF(G571="","",G571-F571)</f>
        <v/>
      </c>
      <c r="I571" s="9" t="n">
        <v>3500</v>
      </c>
      <c r="J571" s="9">
        <f>IF(G571="","",H571*I571)</f>
        <v/>
      </c>
      <c r="K571" s="8" t="inlineStr"/>
      <c r="L571" s="8" t="inlineStr"/>
      <c r="M571" s="10" t="inlineStr"/>
    </row>
    <row r="572">
      <c r="A572" s="4" t="n">
        <v>568</v>
      </c>
      <c r="B572" s="6" t="inlineStr">
        <is>
          <t>Склад 3</t>
        </is>
      </c>
      <c r="C572" s="4" t="inlineStr">
        <is>
          <t>ЭЛЕКТРИКА</t>
        </is>
      </c>
      <c r="D572" s="5" t="inlineStr">
        <is>
          <t>Светильник ВЗГ-100</t>
        </is>
      </c>
      <c r="E572" s="4" t="inlineStr">
        <is>
          <t>2</t>
        </is>
      </c>
      <c r="F572" s="4" t="n">
        <v>2</v>
      </c>
      <c r="G572" s="8" t="n"/>
      <c r="H572" s="4">
        <f>IF(G572="","",G572-F572)</f>
        <v/>
      </c>
      <c r="I572" s="9" t="n">
        <v>7500</v>
      </c>
      <c r="J572" s="9">
        <f>IF(G572="","",H572*I572)</f>
        <v/>
      </c>
      <c r="K572" s="8" t="inlineStr"/>
      <c r="L572" s="8" t="inlineStr"/>
      <c r="M572" s="10" t="inlineStr"/>
    </row>
    <row r="573">
      <c r="A573" s="4" t="n">
        <v>569</v>
      </c>
      <c r="B573" s="6" t="inlineStr">
        <is>
          <t>Склад 3</t>
        </is>
      </c>
      <c r="C573" s="4" t="inlineStr">
        <is>
          <t>ЭЛЕКТРИКА</t>
        </is>
      </c>
      <c r="D573" s="5" t="inlineStr">
        <is>
          <t>Светильник ДНЮИ 676 252 006</t>
        </is>
      </c>
      <c r="E573" s="4" t="inlineStr">
        <is>
          <t>7</t>
        </is>
      </c>
      <c r="F573" s="4" t="n">
        <v>7</v>
      </c>
      <c r="G573" s="8" t="n"/>
      <c r="H573" s="4">
        <f>IF(G573="","",G573-F573)</f>
        <v/>
      </c>
      <c r="I573" s="9" t="n">
        <v>2500</v>
      </c>
      <c r="J573" s="9">
        <f>IF(G573="","",H573*I573)</f>
        <v/>
      </c>
      <c r="K573" s="8" t="inlineStr"/>
      <c r="L573" s="8" t="inlineStr"/>
      <c r="M573" s="10" t="inlineStr"/>
    </row>
    <row r="574">
      <c r="A574" s="4" t="n">
        <v>570</v>
      </c>
      <c r="B574" s="6" t="inlineStr">
        <is>
          <t>Склад 3</t>
        </is>
      </c>
      <c r="C574" s="4" t="inlineStr">
        <is>
          <t>ЭЛЕКТРИКА</t>
        </is>
      </c>
      <c r="D574" s="5" t="inlineStr">
        <is>
          <t>Светильник СС-373 в сборе</t>
        </is>
      </c>
      <c r="E574" s="4" t="inlineStr">
        <is>
          <t>6</t>
        </is>
      </c>
      <c r="F574" s="4" t="n">
        <v>6</v>
      </c>
      <c r="G574" s="8" t="n"/>
      <c r="H574" s="4">
        <f>IF(G574="","",G574-F574)</f>
        <v/>
      </c>
      <c r="I574" s="9" t="n">
        <v>4950</v>
      </c>
      <c r="J574" s="9">
        <f>IF(G574="","",H574*I574)</f>
        <v/>
      </c>
      <c r="K574" s="8" t="inlineStr"/>
      <c r="L574" s="8" t="inlineStr"/>
      <c r="M574" s="10" t="inlineStr"/>
    </row>
    <row r="575">
      <c r="A575" s="4" t="n">
        <v>571</v>
      </c>
      <c r="B575" s="6" t="inlineStr">
        <is>
          <t>Склад 3</t>
        </is>
      </c>
      <c r="C575" s="4" t="inlineStr">
        <is>
          <t>ЭЛЕКТРИКА</t>
        </is>
      </c>
      <c r="D575" s="5" t="inlineStr">
        <is>
          <t>Светильник СС-410(новые) большие</t>
        </is>
      </c>
      <c r="E575" s="4" t="inlineStr">
        <is>
          <t>2</t>
        </is>
      </c>
      <c r="F575" s="4" t="n">
        <v>2</v>
      </c>
      <c r="G575" s="8" t="n"/>
      <c r="H575" s="4">
        <f>IF(G575="","",G575-F575)</f>
        <v/>
      </c>
      <c r="I575" s="9" t="n">
        <v>18000</v>
      </c>
      <c r="J575" s="9">
        <f>IF(G575="","",H575*I575)</f>
        <v/>
      </c>
      <c r="K575" s="8" t="inlineStr"/>
      <c r="L575" s="8" t="inlineStr"/>
      <c r="M575" s="10" t="inlineStr"/>
    </row>
    <row r="576">
      <c r="A576" s="4" t="n">
        <v>572</v>
      </c>
      <c r="B576" s="6" t="inlineStr">
        <is>
          <t>Склад 3</t>
        </is>
      </c>
      <c r="C576" s="4" t="inlineStr">
        <is>
          <t>ЭЛЕКТРИКА</t>
        </is>
      </c>
      <c r="D576" s="5" t="inlineStr">
        <is>
          <t>Светильник СС-411 мал. (не понятный)</t>
        </is>
      </c>
      <c r="E576" s="4" t="inlineStr">
        <is>
          <t>1</t>
        </is>
      </c>
      <c r="F576" s="4" t="n">
        <v>1</v>
      </c>
      <c r="G576" s="8" t="n"/>
      <c r="H576" s="4">
        <f>IF(G576="","",G576-F576)</f>
        <v/>
      </c>
      <c r="I576" s="9" t="n">
        <v>18000</v>
      </c>
      <c r="J576" s="9">
        <f>IF(G576="","",H576*I576)</f>
        <v/>
      </c>
      <c r="K576" s="8" t="inlineStr"/>
      <c r="L576" s="8" t="inlineStr"/>
      <c r="M576" s="10" t="inlineStr"/>
    </row>
    <row r="577">
      <c r="A577" s="4" t="n">
        <v>573</v>
      </c>
      <c r="B577" s="6" t="inlineStr">
        <is>
          <t>Склад 3</t>
        </is>
      </c>
      <c r="C577" s="4" t="inlineStr">
        <is>
          <t>ЭЛЕКТРИКА</t>
        </is>
      </c>
      <c r="D577" s="5" t="inlineStr">
        <is>
          <t>Светильник СС-565 ЛВ(белый)</t>
        </is>
      </c>
      <c r="E577" s="4" t="inlineStr">
        <is>
          <t>1</t>
        </is>
      </c>
      <c r="F577" s="4" t="n">
        <v>1</v>
      </c>
      <c r="G577" s="8" t="n"/>
      <c r="H577" s="4">
        <f>IF(G577="","",G577-F577)</f>
        <v/>
      </c>
      <c r="I577" s="9" t="n">
        <v>5300</v>
      </c>
      <c r="J577" s="9">
        <f>IF(G577="","",H577*I577)</f>
        <v/>
      </c>
      <c r="K577" s="8" t="inlineStr"/>
      <c r="L577" s="8" t="inlineStr"/>
      <c r="M577" s="10" t="inlineStr"/>
    </row>
    <row r="578">
      <c r="A578" s="4" t="n">
        <v>574</v>
      </c>
      <c r="B578" s="6" t="inlineStr">
        <is>
          <t>Склад 3</t>
        </is>
      </c>
      <c r="C578" s="4" t="inlineStr">
        <is>
          <t>ЭЛЕКТРИКА</t>
        </is>
      </c>
      <c r="D578" s="5" t="inlineStr">
        <is>
          <t>Светильник СС476 (зеленый)</t>
        </is>
      </c>
      <c r="E578" s="4" t="inlineStr">
        <is>
          <t>1</t>
        </is>
      </c>
      <c r="F578" s="4" t="n">
        <v>1</v>
      </c>
      <c r="G578" s="8" t="n"/>
      <c r="H578" s="4">
        <f>IF(G578="","",G578-F578)</f>
        <v/>
      </c>
      <c r="I578" s="9" t="n">
        <v>4600</v>
      </c>
      <c r="J578" s="9">
        <f>IF(G578="","",H578*I578)</f>
        <v/>
      </c>
      <c r="K578" s="8" t="inlineStr"/>
      <c r="L578" s="8" t="inlineStr"/>
      <c r="M578" s="10" t="inlineStr"/>
    </row>
    <row r="579">
      <c r="A579" s="4" t="n">
        <v>575</v>
      </c>
      <c r="B579" s="6" t="inlineStr">
        <is>
          <t>Склад 3</t>
        </is>
      </c>
      <c r="C579" s="4" t="inlineStr">
        <is>
          <t>ЭЛЕКТРИКА</t>
        </is>
      </c>
      <c r="D579" s="5" t="inlineStr">
        <is>
          <t>Светильник СС937 (зеленый)</t>
        </is>
      </c>
      <c r="E579" s="4" t="inlineStr">
        <is>
          <t>1</t>
        </is>
      </c>
      <c r="F579" s="4" t="n">
        <v>1</v>
      </c>
      <c r="G579" s="8" t="n"/>
      <c r="H579" s="4">
        <f>IF(G579="","",G579-F579)</f>
        <v/>
      </c>
      <c r="I579" s="9" t="n">
        <v>6000</v>
      </c>
      <c r="J579" s="9">
        <f>IF(G579="","",H579*I579)</f>
        <v/>
      </c>
      <c r="K579" s="8" t="inlineStr"/>
      <c r="L579" s="8" t="inlineStr"/>
      <c r="M579" s="10" t="inlineStr"/>
    </row>
    <row r="580">
      <c r="A580" s="4" t="n">
        <v>576</v>
      </c>
      <c r="B580" s="6" t="inlineStr">
        <is>
          <t>Склад 3</t>
        </is>
      </c>
      <c r="C580" s="4" t="inlineStr">
        <is>
          <t>ЭЛЕКТРИКА</t>
        </is>
      </c>
      <c r="D580" s="5" t="inlineStr">
        <is>
          <t>Светильник СС967 (СС835Б) без стекла</t>
        </is>
      </c>
      <c r="E580" s="4" t="inlineStr">
        <is>
          <t>1</t>
        </is>
      </c>
      <c r="F580" s="4" t="n">
        <v>1</v>
      </c>
      <c r="G580" s="8" t="n"/>
      <c r="H580" s="4">
        <f>IF(G580="","",G580-F580)</f>
        <v/>
      </c>
      <c r="I580" s="9" t="n">
        <v>3600</v>
      </c>
      <c r="J580" s="9">
        <f>IF(G580="","",H580*I580)</f>
        <v/>
      </c>
      <c r="K580" s="8" t="inlineStr"/>
      <c r="L580" s="8" t="inlineStr"/>
      <c r="M580" s="10" t="inlineStr"/>
    </row>
    <row r="581">
      <c r="A581" s="4" t="n">
        <v>577</v>
      </c>
      <c r="B581" s="6" t="inlineStr">
        <is>
          <t>Склад 3</t>
        </is>
      </c>
      <c r="C581" s="4" t="inlineStr">
        <is>
          <t>ЭЛЕКТРИКА</t>
        </is>
      </c>
      <c r="D581" s="5" t="inlineStr">
        <is>
          <t>Светильник взрывобезопасный НПП25-100</t>
        </is>
      </c>
      <c r="E581" s="4" t="inlineStr">
        <is>
          <t>2</t>
        </is>
      </c>
      <c r="F581" s="4" t="n">
        <v>2</v>
      </c>
      <c r="G581" s="8" t="n"/>
      <c r="H581" s="4">
        <f>IF(G581="","",G581-F581)</f>
        <v/>
      </c>
      <c r="I581" s="9" t="n">
        <v>8890</v>
      </c>
      <c r="J581" s="9">
        <f>IF(G581="","",H581*I581)</f>
        <v/>
      </c>
      <c r="K581" s="8" t="inlineStr"/>
      <c r="L581" s="8" t="inlineStr"/>
      <c r="M581" s="10" t="inlineStr"/>
    </row>
    <row r="582">
      <c r="A582" s="4" t="n">
        <v>578</v>
      </c>
      <c r="B582" s="6" t="inlineStr">
        <is>
          <t>Склад 3</t>
        </is>
      </c>
      <c r="C582" s="4" t="inlineStr">
        <is>
          <t>ЭЛЕКТРИКА</t>
        </is>
      </c>
      <c r="D582" s="5" t="inlineStr">
        <is>
          <t>Сельсин БД-1404</t>
        </is>
      </c>
      <c r="E582" s="4" t="inlineStr">
        <is>
          <t>2</t>
        </is>
      </c>
      <c r="F582" s="4" t="n">
        <v>2</v>
      </c>
      <c r="G582" s="8" t="n"/>
      <c r="H582" s="4">
        <f>IF(G582="","",G582-F582)</f>
        <v/>
      </c>
      <c r="I582" s="9" t="n">
        <v>4800</v>
      </c>
      <c r="J582" s="9">
        <f>IF(G582="","",H582*I582)</f>
        <v/>
      </c>
      <c r="K582" s="8" t="inlineStr"/>
      <c r="L582" s="8" t="inlineStr"/>
      <c r="M582" s="10" t="inlineStr"/>
    </row>
    <row r="583">
      <c r="A583" s="4" t="n">
        <v>579</v>
      </c>
      <c r="B583" s="6" t="inlineStr">
        <is>
          <t>Склад 3</t>
        </is>
      </c>
      <c r="C583" s="4" t="inlineStr">
        <is>
          <t>ЭЛЕКТРИКА</t>
        </is>
      </c>
      <c r="D583" s="5" t="inlineStr">
        <is>
          <t>Стекло с обогревом 560*800 б/у</t>
        </is>
      </c>
      <c r="E583" s="4" t="inlineStr">
        <is>
          <t>1</t>
        </is>
      </c>
      <c r="F583" s="4" t="n">
        <v>1</v>
      </c>
      <c r="G583" s="8" t="n"/>
      <c r="H583" s="4">
        <f>IF(G583="","",G583-F583)</f>
        <v/>
      </c>
      <c r="I583" s="9" t="n">
        <v>25000</v>
      </c>
      <c r="J583" s="9">
        <f>IF(G583="","",H583*I583)</f>
        <v/>
      </c>
      <c r="K583" s="8" t="inlineStr"/>
      <c r="L583" s="8" t="inlineStr"/>
      <c r="M583" s="10" t="inlineStr"/>
    </row>
    <row r="584">
      <c r="A584" s="4" t="n">
        <v>580</v>
      </c>
      <c r="B584" s="6" t="inlineStr">
        <is>
          <t>Склад 3</t>
        </is>
      </c>
      <c r="C584" s="4" t="inlineStr">
        <is>
          <t>ЭЛЕКТРИКА</t>
        </is>
      </c>
      <c r="D584" s="5" t="inlineStr">
        <is>
          <t>ТРТ-122 11,5А</t>
        </is>
      </c>
      <c r="E584" s="4" t="inlineStr">
        <is>
          <t>6</t>
        </is>
      </c>
      <c r="F584" s="4" t="n">
        <v>6</v>
      </c>
      <c r="G584" s="8" t="n"/>
      <c r="H584" s="4">
        <f>IF(G584="","",G584-F584)</f>
        <v/>
      </c>
      <c r="I584" s="9" t="n">
        <v>1716</v>
      </c>
      <c r="J584" s="9">
        <f>IF(G584="","",H584*I584)</f>
        <v/>
      </c>
      <c r="K584" s="8" t="inlineStr"/>
      <c r="L584" s="8" t="inlineStr"/>
      <c r="M584" s="10" t="inlineStr"/>
    </row>
    <row r="585">
      <c r="A585" s="4" t="n">
        <v>581</v>
      </c>
      <c r="B585" s="6" t="inlineStr">
        <is>
          <t>Склад 3</t>
        </is>
      </c>
      <c r="C585" s="4" t="inlineStr">
        <is>
          <t>ЭЛЕКТРИКА</t>
        </is>
      </c>
      <c r="D585" s="5" t="inlineStr">
        <is>
          <t>ТРТ-131 14,5А</t>
        </is>
      </c>
      <c r="E585" s="4" t="inlineStr">
        <is>
          <t>2</t>
        </is>
      </c>
      <c r="F585" s="4" t="n">
        <v>2</v>
      </c>
      <c r="G585" s="8" t="n"/>
      <c r="H585" s="4">
        <f>IF(G585="","",G585-F585)</f>
        <v/>
      </c>
      <c r="I585" s="9" t="n">
        <v>1716</v>
      </c>
      <c r="J585" s="9">
        <f>IF(G585="","",H585*I585)</f>
        <v/>
      </c>
      <c r="K585" s="8" t="inlineStr"/>
      <c r="L585" s="8" t="inlineStr"/>
      <c r="M585" s="10" t="inlineStr"/>
    </row>
    <row r="586">
      <c r="A586" s="4" t="n">
        <v>582</v>
      </c>
      <c r="B586" s="6" t="inlineStr">
        <is>
          <t>Склад 3</t>
        </is>
      </c>
      <c r="C586" s="4" t="inlineStr">
        <is>
          <t>ЭЛЕКТРИКА</t>
        </is>
      </c>
      <c r="D586" s="5" t="inlineStr">
        <is>
          <t>ТРТ-132</t>
        </is>
      </c>
      <c r="E586" s="4" t="inlineStr">
        <is>
          <t>1</t>
        </is>
      </c>
      <c r="F586" s="4" t="n">
        <v>1</v>
      </c>
      <c r="G586" s="8" t="n"/>
      <c r="H586" s="4">
        <f>IF(G586="","",G586-F586)</f>
        <v/>
      </c>
      <c r="I586" s="9" t="n">
        <v>1848</v>
      </c>
      <c r="J586" s="9">
        <f>IF(G586="","",H586*I586)</f>
        <v/>
      </c>
      <c r="K586" s="8" t="inlineStr"/>
      <c r="L586" s="8" t="inlineStr"/>
      <c r="M586" s="10" t="inlineStr"/>
    </row>
    <row r="587">
      <c r="A587" s="4" t="n">
        <v>583</v>
      </c>
      <c r="B587" s="6" t="inlineStr">
        <is>
          <t>Склад 3</t>
        </is>
      </c>
      <c r="C587" s="4" t="inlineStr">
        <is>
          <t>ЭЛЕКТРИКА</t>
        </is>
      </c>
      <c r="D587" s="5" t="inlineStr">
        <is>
          <t>Трансформатор ОСВМ-0,65-74 ОМ5</t>
        </is>
      </c>
      <c r="E587" s="4" t="inlineStr">
        <is>
          <t>1</t>
        </is>
      </c>
      <c r="F587" s="4" t="n">
        <v>1</v>
      </c>
      <c r="G587" s="8" t="n"/>
      <c r="H587" s="4">
        <f>IF(G587="","",G587-F587)</f>
        <v/>
      </c>
      <c r="I587" s="9" t="n">
        <v>3500</v>
      </c>
      <c r="J587" s="9">
        <f>IF(G587="","",H587*I587)</f>
        <v/>
      </c>
      <c r="K587" s="8" t="inlineStr"/>
      <c r="L587" s="8" t="inlineStr"/>
      <c r="M587" s="10" t="inlineStr"/>
    </row>
    <row r="588">
      <c r="A588" s="4" t="n">
        <v>584</v>
      </c>
      <c r="B588" s="6" t="inlineStr">
        <is>
          <t>Склад 3</t>
        </is>
      </c>
      <c r="C588" s="4" t="inlineStr">
        <is>
          <t>ЭЛЕКТРИКА</t>
        </is>
      </c>
      <c r="D588" s="5" t="inlineStr">
        <is>
          <t>Тумблер ТП1-2</t>
        </is>
      </c>
      <c r="E588" s="4" t="inlineStr">
        <is>
          <t>15</t>
        </is>
      </c>
      <c r="F588" s="4" t="n">
        <v>15</v>
      </c>
      <c r="G588" s="8" t="n"/>
      <c r="H588" s="4">
        <f>IF(G588="","",G588-F588)</f>
        <v/>
      </c>
      <c r="I588" s="9" t="n">
        <v>595</v>
      </c>
      <c r="J588" s="9">
        <f>IF(G588="","",H588*I588)</f>
        <v/>
      </c>
      <c r="K588" s="8" t="inlineStr"/>
      <c r="L588" s="8" t="inlineStr"/>
      <c r="M588" s="10" t="inlineStr"/>
    </row>
    <row r="589">
      <c r="A589" s="4" t="n">
        <v>585</v>
      </c>
      <c r="B589" s="6" t="inlineStr">
        <is>
          <t>Склад 3</t>
        </is>
      </c>
      <c r="C589" s="4" t="inlineStr">
        <is>
          <t>ЭЛЕКТРИКА</t>
        </is>
      </c>
      <c r="D589" s="5" t="inlineStr">
        <is>
          <t>Универсальный переключатель УП 5112-Ф105 16А 380V</t>
        </is>
      </c>
      <c r="E589" s="4" t="inlineStr">
        <is>
          <t>1</t>
        </is>
      </c>
      <c r="F589" s="4" t="n">
        <v>1</v>
      </c>
      <c r="G589" s="8" t="n"/>
      <c r="H589" s="4">
        <f>IF(G589="","",G589-F589)</f>
        <v/>
      </c>
      <c r="I589" s="9" t="n">
        <v>3480</v>
      </c>
      <c r="J589" s="9">
        <f>IF(G589="","",H589*I589)</f>
        <v/>
      </c>
      <c r="K589" s="8" t="inlineStr"/>
      <c r="L589" s="8" t="inlineStr"/>
      <c r="M589" s="10" t="inlineStr"/>
    </row>
    <row r="590">
      <c r="A590" s="4" t="n">
        <v>586</v>
      </c>
      <c r="B590" s="6" t="inlineStr">
        <is>
          <t>Склад электрики</t>
        </is>
      </c>
      <c r="C590" s="4" t="inlineStr"/>
      <c r="D590" s="5" t="inlineStr">
        <is>
          <t>Блины к клинкету Ду100</t>
        </is>
      </c>
      <c r="E590" s="4" t="inlineStr"/>
      <c r="F590" s="4" t="n">
        <v>11</v>
      </c>
      <c r="G590" s="8" t="n"/>
      <c r="H590" s="4">
        <f>IF(G590="","",G590-F590)</f>
        <v/>
      </c>
      <c r="I590" s="9" t="n"/>
      <c r="J590" s="9">
        <f>IF(G590="","",H590*I590)</f>
        <v/>
      </c>
      <c r="K590" s="8" t="inlineStr"/>
      <c r="L590" s="8" t="inlineStr"/>
      <c r="M590" s="10" t="inlineStr"/>
    </row>
    <row r="591">
      <c r="A591" s="4" t="n">
        <v>587</v>
      </c>
      <c r="B591" s="6" t="inlineStr">
        <is>
          <t>Склад электрики</t>
        </is>
      </c>
      <c r="C591" s="4" t="inlineStr"/>
      <c r="D591" s="5" t="inlineStr">
        <is>
          <t>Извещатель пожарный МДПИ-028</t>
        </is>
      </c>
      <c r="E591" s="4" t="inlineStr"/>
      <c r="F591" s="4" t="n">
        <v>13</v>
      </c>
      <c r="G591" s="8" t="n"/>
      <c r="H591" s="4">
        <f>IF(G591="","",G591-F591)</f>
        <v/>
      </c>
      <c r="I591" s="9" t="n"/>
      <c r="J591" s="9">
        <f>IF(G591="","",H591*I591)</f>
        <v/>
      </c>
      <c r="K591" s="8" t="inlineStr"/>
      <c r="L591" s="8" t="inlineStr"/>
      <c r="M591" s="10" t="inlineStr"/>
    </row>
    <row r="592">
      <c r="A592" s="4" t="n">
        <v>588</v>
      </c>
      <c r="B592" s="6" t="inlineStr">
        <is>
          <t>Склад электрики</t>
        </is>
      </c>
      <c r="C592" s="4" t="inlineStr"/>
      <c r="D592" s="5" t="inlineStr">
        <is>
          <t>Посуда к плите ПКЭ-50 (комплект -4шт)</t>
        </is>
      </c>
      <c r="E592" s="4" t="inlineStr"/>
      <c r="F592" s="4" t="n">
        <v>1</v>
      </c>
      <c r="G592" s="8" t="n"/>
      <c r="H592" s="4">
        <f>IF(G592="","",G592-F592)</f>
        <v/>
      </c>
      <c r="I592" s="9" t="n"/>
      <c r="J592" s="9">
        <f>IF(G592="","",H592*I592)</f>
        <v/>
      </c>
      <c r="K592" s="8" t="inlineStr"/>
      <c r="L592" s="8" t="inlineStr"/>
      <c r="M592" s="10" t="inlineStr"/>
    </row>
    <row r="593">
      <c r="A593" s="4" t="n">
        <v>589</v>
      </c>
      <c r="B593" s="6" t="inlineStr">
        <is>
          <t>Склад электрики</t>
        </is>
      </c>
      <c r="C593" s="4" t="inlineStr"/>
      <c r="D593" s="5" t="inlineStr">
        <is>
          <t>Светильник СС-56</t>
        </is>
      </c>
      <c r="E593" s="4" t="inlineStr"/>
      <c r="F593" s="4" t="n">
        <v>11</v>
      </c>
      <c r="G593" s="8" t="n"/>
      <c r="H593" s="4">
        <f>IF(G593="","",G593-F593)</f>
        <v/>
      </c>
      <c r="I593" s="9" t="n"/>
      <c r="J593" s="9">
        <f>IF(G593="","",H593*I593)</f>
        <v/>
      </c>
      <c r="K593" s="8" t="inlineStr"/>
      <c r="L593" s="8" t="inlineStr"/>
      <c r="M593" s="10" t="inlineStr"/>
    </row>
    <row r="594">
      <c r="A594" s="4" t="n">
        <v>590</v>
      </c>
      <c r="B594" s="6" t="inlineStr">
        <is>
          <t>Склад электрики</t>
        </is>
      </c>
      <c r="C594" s="4" t="inlineStr"/>
      <c r="D594" s="5" t="inlineStr">
        <is>
          <t>Светильник СС844</t>
        </is>
      </c>
      <c r="E594" s="4" t="inlineStr"/>
      <c r="F594" s="4" t="n">
        <v>76</v>
      </c>
      <c r="G594" s="8" t="n"/>
      <c r="H594" s="4">
        <f>IF(G594="","",G594-F594)</f>
        <v/>
      </c>
      <c r="I594" s="9" t="n"/>
      <c r="J594" s="9">
        <f>IF(G594="","",H594*I594)</f>
        <v/>
      </c>
      <c r="K594" s="8" t="inlineStr"/>
      <c r="L594" s="8" t="inlineStr"/>
      <c r="M594" s="10" t="inlineStr"/>
    </row>
    <row r="595">
      <c r="A595" s="4" t="n">
        <v>591</v>
      </c>
      <c r="B595" s="6" t="inlineStr">
        <is>
          <t>Склад электрики</t>
        </is>
      </c>
      <c r="C595" s="4" t="inlineStr"/>
      <c r="D595" s="5" t="inlineStr">
        <is>
          <t>Светильник СС844(корпкус)</t>
        </is>
      </c>
      <c r="E595" s="4" t="inlineStr"/>
      <c r="F595" s="4" t="n">
        <v>28</v>
      </c>
      <c r="G595" s="8" t="n"/>
      <c r="H595" s="4">
        <f>IF(G595="","",G595-F595)</f>
        <v/>
      </c>
      <c r="I595" s="9" t="n"/>
      <c r="J595" s="9">
        <f>IF(G595="","",H595*I595)</f>
        <v/>
      </c>
      <c r="K595" s="8" t="inlineStr"/>
      <c r="L595" s="8" t="inlineStr"/>
      <c r="M595" s="10" t="inlineStr"/>
    </row>
    <row r="596">
      <c r="A596" s="4" t="n">
        <v>592</v>
      </c>
      <c r="B596" s="6" t="inlineStr">
        <is>
          <t>Склад электрики</t>
        </is>
      </c>
      <c r="C596" s="4" t="inlineStr"/>
      <c r="D596" s="5" t="inlineStr">
        <is>
          <t>Светильник СС901А-I (аккумуляторный)</t>
        </is>
      </c>
      <c r="E596" s="4" t="inlineStr"/>
      <c r="F596" s="4" t="n">
        <v>41</v>
      </c>
      <c r="G596" s="8" t="n"/>
      <c r="H596" s="4">
        <f>IF(G596="","",G596-F596)</f>
        <v/>
      </c>
      <c r="I596" s="9" t="n"/>
      <c r="J596" s="9">
        <f>IF(G596="","",H596*I596)</f>
        <v/>
      </c>
      <c r="K596" s="8" t="inlineStr"/>
      <c r="L596" s="8" t="inlineStr"/>
      <c r="M596" s="10" t="inlineStr"/>
    </row>
    <row r="597">
      <c r="A597" s="4" t="n">
        <v>593</v>
      </c>
      <c r="B597" s="6" t="inlineStr">
        <is>
          <t>Склад электрики</t>
        </is>
      </c>
      <c r="C597" s="4" t="inlineStr"/>
      <c r="D597" s="5" t="inlineStr">
        <is>
          <t>Светильник СС901А-I (корпус)</t>
        </is>
      </c>
      <c r="E597" s="4" t="inlineStr"/>
      <c r="F597" s="4" t="n">
        <v>4</v>
      </c>
      <c r="G597" s="8" t="n"/>
      <c r="H597" s="4">
        <f>IF(G597="","",G597-F597)</f>
        <v/>
      </c>
      <c r="I597" s="9" t="n"/>
      <c r="J597" s="9">
        <f>IF(G597="","",H597*I597)</f>
        <v/>
      </c>
      <c r="K597" s="8" t="inlineStr"/>
      <c r="L597" s="8" t="inlineStr"/>
      <c r="M597" s="10" t="inlineStr"/>
    </row>
    <row r="598">
      <c r="A598" s="4" t="n">
        <v>594</v>
      </c>
      <c r="B598" s="6" t="inlineStr">
        <is>
          <t>Склад электрики</t>
        </is>
      </c>
      <c r="C598" s="4" t="inlineStr"/>
      <c r="D598" s="5" t="inlineStr">
        <is>
          <t>Ствол пожарный Ду50 Ру10 черт.812-03.011-01</t>
        </is>
      </c>
      <c r="E598" s="4" t="inlineStr"/>
      <c r="F598" s="4" t="n">
        <v>2</v>
      </c>
      <c r="G598" s="8" t="n"/>
      <c r="H598" s="4">
        <f>IF(G598="","",G598-F598)</f>
        <v/>
      </c>
      <c r="I598" s="9" t="n"/>
      <c r="J598" s="9">
        <f>IF(G598="","",H598*I598)</f>
        <v/>
      </c>
      <c r="K598" s="8" t="inlineStr"/>
      <c r="L598" s="8" t="inlineStr"/>
      <c r="M598" s="10" t="inlineStr"/>
    </row>
    <row r="599">
      <c r="A599" s="4" t="n">
        <v>595</v>
      </c>
      <c r="B599" s="6" t="inlineStr">
        <is>
          <t>Склад электрики</t>
        </is>
      </c>
      <c r="C599" s="4" t="inlineStr"/>
      <c r="D599" s="5" t="inlineStr">
        <is>
          <t>Ствол пожарный Ду65 Ру10 черт.812-03.011-02</t>
        </is>
      </c>
      <c r="E599" s="4" t="inlineStr"/>
      <c r="F599" s="4" t="n">
        <v>2</v>
      </c>
      <c r="G599" s="8" t="n"/>
      <c r="H599" s="4">
        <f>IF(G599="","",G599-F599)</f>
        <v/>
      </c>
      <c r="I599" s="9" t="n"/>
      <c r="J599" s="9">
        <f>IF(G599="","",H599*I599)</f>
        <v/>
      </c>
      <c r="K599" s="8" t="inlineStr"/>
      <c r="L599" s="8" t="inlineStr"/>
      <c r="M599" s="10" t="inlineStr"/>
    </row>
    <row r="600">
      <c r="A600" s="4" t="n">
        <v>596</v>
      </c>
      <c r="B600" s="6" t="inlineStr">
        <is>
          <t>Склад электрики</t>
        </is>
      </c>
      <c r="C600" s="4" t="inlineStr"/>
      <c r="D600" s="5" t="inlineStr">
        <is>
          <t>Термометр ТКП-60/3М</t>
        </is>
      </c>
      <c r="E600" s="4" t="inlineStr"/>
      <c r="F600" s="4" t="n">
        <v>1</v>
      </c>
      <c r="G600" s="8" t="n"/>
      <c r="H600" s="4">
        <f>IF(G600="","",G600-F600)</f>
        <v/>
      </c>
      <c r="I600" s="9" t="n"/>
      <c r="J600" s="9">
        <f>IF(G600="","",H600*I600)</f>
        <v/>
      </c>
      <c r="K600" s="8" t="inlineStr"/>
      <c r="L600" s="8" t="inlineStr"/>
      <c r="M600" s="10" t="inlineStr"/>
    </row>
    <row r="601">
      <c r="A601" s="4" t="n">
        <v>597</v>
      </c>
      <c r="B601" s="6" t="inlineStr">
        <is>
          <t>Склад электрики</t>
        </is>
      </c>
      <c r="C601" s="4" t="inlineStr"/>
      <c r="D601" s="5" t="inlineStr">
        <is>
          <t>Трансформатор ШТ 127/24 40Вт</t>
        </is>
      </c>
      <c r="E601" s="4" t="inlineStr"/>
      <c r="F601" s="4" t="n">
        <v>18</v>
      </c>
      <c r="G601" s="8" t="n"/>
      <c r="H601" s="4">
        <f>IF(G601="","",G601-F601)</f>
        <v/>
      </c>
      <c r="I601" s="9" t="n"/>
      <c r="J601" s="9">
        <f>IF(G601="","",H601*I601)</f>
        <v/>
      </c>
      <c r="K601" s="8" t="inlineStr"/>
      <c r="L601" s="8" t="inlineStr"/>
      <c r="M601" s="10" t="inlineStr"/>
    </row>
    <row r="602">
      <c r="A602" s="4" t="n">
        <v>598</v>
      </c>
      <c r="B602" s="6" t="inlineStr">
        <is>
          <t>Склад электрики</t>
        </is>
      </c>
      <c r="C602" s="4" t="inlineStr">
        <is>
          <t>ЗИП</t>
        </is>
      </c>
      <c r="D602" s="5" t="inlineStr">
        <is>
          <t>Болт шатунный(мотылев)</t>
        </is>
      </c>
      <c r="E602" s="4" t="inlineStr"/>
      <c r="F602" s="4" t="n">
        <v>29</v>
      </c>
      <c r="G602" s="8" t="n"/>
      <c r="H602" s="4">
        <f>IF(G602="","",G602-F602)</f>
        <v/>
      </c>
      <c r="I602" s="9" t="n"/>
      <c r="J602" s="9">
        <f>IF(G602="","",H602*I602)</f>
        <v/>
      </c>
      <c r="K602" s="8" t="inlineStr"/>
      <c r="L602" s="8" t="inlineStr"/>
      <c r="M602" s="10" t="inlineStr"/>
    </row>
    <row r="603">
      <c r="A603" s="4" t="n">
        <v>599</v>
      </c>
      <c r="B603" s="6" t="inlineStr">
        <is>
          <t>Склад электрики</t>
        </is>
      </c>
      <c r="C603" s="4" t="inlineStr">
        <is>
          <t>ЗИП</t>
        </is>
      </c>
      <c r="D603" s="5" t="inlineStr">
        <is>
          <t>Винт толкателя</t>
        </is>
      </c>
      <c r="E603" s="4" t="inlineStr"/>
      <c r="F603" s="4" t="n">
        <v>32</v>
      </c>
      <c r="G603" s="8" t="n"/>
      <c r="H603" s="4">
        <f>IF(G603="","",G603-F603)</f>
        <v/>
      </c>
      <c r="I603" s="9" t="n"/>
      <c r="J603" s="9">
        <f>IF(G603="","",H603*I603)</f>
        <v/>
      </c>
      <c r="K603" s="8" t="inlineStr"/>
      <c r="L603" s="8" t="inlineStr"/>
      <c r="M603" s="10" t="inlineStr"/>
    </row>
    <row r="604">
      <c r="A604" s="4" t="n">
        <v>600</v>
      </c>
      <c r="B604" s="6" t="inlineStr">
        <is>
          <t>Склад электрики</t>
        </is>
      </c>
      <c r="C604" s="4" t="inlineStr">
        <is>
          <t>ЗИП</t>
        </is>
      </c>
      <c r="D604" s="5" t="inlineStr">
        <is>
          <t>Винт толкателя с резьбой</t>
        </is>
      </c>
      <c r="E604" s="4" t="inlineStr"/>
      <c r="F604" s="4" t="n">
        <v>11</v>
      </c>
      <c r="G604" s="8" t="n"/>
      <c r="H604" s="4">
        <f>IF(G604="","",G604-F604)</f>
        <v/>
      </c>
      <c r="I604" s="9" t="n"/>
      <c r="J604" s="9">
        <f>IF(G604="","",H604*I604)</f>
        <v/>
      </c>
      <c r="K604" s="8" t="inlineStr"/>
      <c r="L604" s="8" t="inlineStr"/>
      <c r="M604" s="10" t="inlineStr"/>
    </row>
    <row r="605">
      <c r="A605" s="4" t="n">
        <v>601</v>
      </c>
      <c r="B605" s="6" t="inlineStr">
        <is>
          <t>Склад электрики</t>
        </is>
      </c>
      <c r="C605" s="4" t="inlineStr">
        <is>
          <t>ЗИП</t>
        </is>
      </c>
      <c r="D605" s="5" t="inlineStr">
        <is>
          <t>Вкладыш мотылевый (пара)</t>
        </is>
      </c>
      <c r="E605" s="4" t="inlineStr"/>
      <c r="F605" s="4" t="n">
        <v>2</v>
      </c>
      <c r="G605" s="8" t="n"/>
      <c r="H605" s="4">
        <f>IF(G605="","",G605-F605)</f>
        <v/>
      </c>
      <c r="I605" s="9" t="n"/>
      <c r="J605" s="9">
        <f>IF(G605="","",H605*I605)</f>
        <v/>
      </c>
      <c r="K605" s="8" t="inlineStr"/>
      <c r="L605" s="8" t="inlineStr"/>
      <c r="M605" s="10" t="inlineStr"/>
    </row>
    <row r="606">
      <c r="A606" s="4" t="n">
        <v>602</v>
      </c>
      <c r="B606" s="6" t="inlineStr">
        <is>
          <t>Склад электрики</t>
        </is>
      </c>
      <c r="C606" s="4" t="inlineStr">
        <is>
          <t>ЗИП</t>
        </is>
      </c>
      <c r="D606" s="5" t="inlineStr">
        <is>
          <t>Вкладыш мотылевый 3РР</t>
        </is>
      </c>
      <c r="E606" s="4" t="inlineStr"/>
      <c r="F606" s="4" t="n">
        <v>3</v>
      </c>
      <c r="G606" s="8" t="n"/>
      <c r="H606" s="4">
        <f>IF(G606="","",G606-F606)</f>
        <v/>
      </c>
      <c r="I606" s="9" t="n"/>
      <c r="J606" s="9">
        <f>IF(G606="","",H606*I606)</f>
        <v/>
      </c>
      <c r="K606" s="8" t="inlineStr"/>
      <c r="L606" s="8" t="inlineStr"/>
      <c r="M606" s="10" t="inlineStr"/>
    </row>
    <row r="607">
      <c r="A607" s="4" t="n">
        <v>603</v>
      </c>
      <c r="B607" s="6" t="inlineStr">
        <is>
          <t>Склад электрики</t>
        </is>
      </c>
      <c r="C607" s="4" t="inlineStr">
        <is>
          <t>ЗИП</t>
        </is>
      </c>
      <c r="D607" s="5" t="inlineStr">
        <is>
          <t>Вкладыш мотылевый номинал</t>
        </is>
      </c>
      <c r="E607" s="4" t="inlineStr"/>
      <c r="F607" s="4" t="n">
        <v>2</v>
      </c>
      <c r="G607" s="8" t="n"/>
      <c r="H607" s="4">
        <f>IF(G607="","",G607-F607)</f>
        <v/>
      </c>
      <c r="I607" s="9" t="n"/>
      <c r="J607" s="9">
        <f>IF(G607="","",H607*I607)</f>
        <v/>
      </c>
      <c r="K607" s="8" t="inlineStr"/>
      <c r="L607" s="8" t="inlineStr"/>
      <c r="M607" s="10" t="inlineStr"/>
    </row>
    <row r="608">
      <c r="A608" s="4" t="n">
        <v>604</v>
      </c>
      <c r="B608" s="6" t="inlineStr">
        <is>
          <t>Склад электрики</t>
        </is>
      </c>
      <c r="C608" s="4" t="inlineStr">
        <is>
          <t>ЗИП</t>
        </is>
      </c>
      <c r="D608" s="5" t="inlineStr">
        <is>
          <t>Вкладыш рамовый номинал</t>
        </is>
      </c>
      <c r="E608" s="4" t="inlineStr"/>
      <c r="F608" s="4" t="n">
        <v>3</v>
      </c>
      <c r="G608" s="8" t="n"/>
      <c r="H608" s="4">
        <f>IF(G608="","",G608-F608)</f>
        <v/>
      </c>
      <c r="I608" s="9" t="n"/>
      <c r="J608" s="9">
        <f>IF(G608="","",H608*I608)</f>
        <v/>
      </c>
      <c r="K608" s="8" t="inlineStr"/>
      <c r="L608" s="8" t="inlineStr"/>
      <c r="M608" s="10" t="inlineStr"/>
    </row>
    <row r="609">
      <c r="A609" s="4" t="n">
        <v>605</v>
      </c>
      <c r="B609" s="6" t="inlineStr">
        <is>
          <t>Склад электрики</t>
        </is>
      </c>
      <c r="C609" s="4" t="inlineStr">
        <is>
          <t>ЗИП</t>
        </is>
      </c>
      <c r="D609" s="5" t="inlineStr">
        <is>
          <t>Втулка 602-061-211</t>
        </is>
      </c>
      <c r="E609" s="4" t="inlineStr"/>
      <c r="F609" s="4" t="n">
        <v>20</v>
      </c>
      <c r="G609" s="8" t="n"/>
      <c r="H609" s="4">
        <f>IF(G609="","",G609-F609)</f>
        <v/>
      </c>
      <c r="I609" s="9" t="n"/>
      <c r="J609" s="9">
        <f>IF(G609="","",H609*I609)</f>
        <v/>
      </c>
      <c r="K609" s="8" t="inlineStr"/>
      <c r="L609" s="8" t="inlineStr"/>
      <c r="M609" s="10" t="inlineStr"/>
    </row>
    <row r="610">
      <c r="A610" s="4" t="n">
        <v>606</v>
      </c>
      <c r="B610" s="6" t="inlineStr">
        <is>
          <t>Склад электрики</t>
        </is>
      </c>
      <c r="C610" s="4" t="inlineStr">
        <is>
          <t>ЗИП</t>
        </is>
      </c>
      <c r="D610" s="5" t="inlineStr">
        <is>
          <t>Втулка 602-061-212</t>
        </is>
      </c>
      <c r="E610" s="4" t="inlineStr"/>
      <c r="F610" s="4" t="n">
        <v>11</v>
      </c>
      <c r="G610" s="8" t="n"/>
      <c r="H610" s="4">
        <f>IF(G610="","",G610-F610)</f>
        <v/>
      </c>
      <c r="I610" s="9" t="n"/>
      <c r="J610" s="9">
        <f>IF(G610="","",H610*I610)</f>
        <v/>
      </c>
      <c r="K610" s="8" t="inlineStr"/>
      <c r="L610" s="8" t="inlineStr"/>
      <c r="M610" s="10" t="inlineStr"/>
    </row>
    <row r="611">
      <c r="A611" s="4" t="n">
        <v>607</v>
      </c>
      <c r="B611" s="6" t="inlineStr">
        <is>
          <t>Склад электрики</t>
        </is>
      </c>
      <c r="C611" s="4" t="inlineStr">
        <is>
          <t>ЗИП</t>
        </is>
      </c>
      <c r="D611" s="5" t="inlineStr">
        <is>
          <t>Втулка VD26/20</t>
        </is>
      </c>
      <c r="E611" s="4" t="inlineStr"/>
      <c r="F611" s="4" t="n">
        <v>1</v>
      </c>
      <c r="G611" s="8" t="n"/>
      <c r="H611" s="4">
        <f>IF(G611="","",G611-F611)</f>
        <v/>
      </c>
      <c r="I611" s="9" t="n"/>
      <c r="J611" s="9">
        <f>IF(G611="","",H611*I611)</f>
        <v/>
      </c>
      <c r="K611" s="8" t="inlineStr"/>
      <c r="L611" s="8" t="inlineStr"/>
      <c r="M611" s="10" t="inlineStr"/>
    </row>
    <row r="612">
      <c r="A612" s="4" t="n">
        <v>608</v>
      </c>
      <c r="B612" s="6" t="inlineStr">
        <is>
          <t>Склад электрики</t>
        </is>
      </c>
      <c r="C612" s="4" t="inlineStr">
        <is>
          <t>ЗИП</t>
        </is>
      </c>
      <c r="D612" s="5" t="inlineStr">
        <is>
          <t>Втулка подвода топлива</t>
        </is>
      </c>
      <c r="E612" s="4" t="inlineStr"/>
      <c r="F612" s="4" t="n">
        <v>11</v>
      </c>
      <c r="G612" s="8" t="n"/>
      <c r="H612" s="4">
        <f>IF(G612="","",G612-F612)</f>
        <v/>
      </c>
      <c r="I612" s="9" t="n"/>
      <c r="J612" s="9">
        <f>IF(G612="","",H612*I612)</f>
        <v/>
      </c>
      <c r="K612" s="8" t="inlineStr"/>
      <c r="L612" s="8" t="inlineStr"/>
      <c r="M612" s="10" t="inlineStr"/>
    </row>
    <row r="613">
      <c r="A613" s="4" t="n">
        <v>609</v>
      </c>
      <c r="B613" s="6" t="inlineStr">
        <is>
          <t>Склад электрики</t>
        </is>
      </c>
      <c r="C613" s="4" t="inlineStr">
        <is>
          <t>ЗИП</t>
        </is>
      </c>
      <c r="D613" s="5" t="inlineStr">
        <is>
          <t>Головка блока цилиндра 3D6</t>
        </is>
      </c>
      <c r="E613" s="4" t="inlineStr"/>
      <c r="F613" s="4" t="n">
        <v>2</v>
      </c>
      <c r="G613" s="8" t="n"/>
      <c r="H613" s="4">
        <f>IF(G613="","",G613-F613)</f>
        <v/>
      </c>
      <c r="I613" s="9" t="n"/>
      <c r="J613" s="9">
        <f>IF(G613="","",H613*I613)</f>
        <v/>
      </c>
      <c r="K613" s="8" t="inlineStr"/>
      <c r="L613" s="8" t="inlineStr"/>
      <c r="M613" s="10" t="inlineStr"/>
    </row>
    <row r="614">
      <c r="A614" s="4" t="n">
        <v>610</v>
      </c>
      <c r="B614" s="6" t="inlineStr">
        <is>
          <t>Склад электрики</t>
        </is>
      </c>
      <c r="C614" s="4" t="inlineStr">
        <is>
          <t>ЗИП</t>
        </is>
      </c>
      <c r="D614" s="5" t="inlineStr">
        <is>
          <t>Головка поршня</t>
        </is>
      </c>
      <c r="E614" s="4" t="inlineStr"/>
      <c r="F614" s="4" t="n">
        <v>1</v>
      </c>
      <c r="G614" s="8" t="n"/>
      <c r="H614" s="4">
        <f>IF(G614="","",G614-F614)</f>
        <v/>
      </c>
      <c r="I614" s="9" t="n"/>
      <c r="J614" s="9">
        <f>IF(G614="","",H614*I614)</f>
        <v/>
      </c>
      <c r="K614" s="8" t="inlineStr"/>
      <c r="L614" s="8" t="inlineStr"/>
      <c r="M614" s="10" t="inlineStr"/>
    </row>
    <row r="615">
      <c r="A615" s="4" t="n">
        <v>611</v>
      </c>
      <c r="B615" s="6" t="inlineStr">
        <is>
          <t>Склад электрики</t>
        </is>
      </c>
      <c r="C615" s="4" t="inlineStr">
        <is>
          <t>ЗИП</t>
        </is>
      </c>
      <c r="D615" s="5" t="inlineStr">
        <is>
          <t>Клапан ТНВД VD26/20</t>
        </is>
      </c>
      <c r="E615" s="4" t="inlineStr"/>
      <c r="F615" s="4" t="n">
        <v>40</v>
      </c>
      <c r="G615" s="8" t="n"/>
      <c r="H615" s="4">
        <f>IF(G615="","",G615-F615)</f>
        <v/>
      </c>
      <c r="I615" s="9" t="n"/>
      <c r="J615" s="9">
        <f>IF(G615="","",H615*I615)</f>
        <v/>
      </c>
      <c r="K615" s="8" t="inlineStr"/>
      <c r="L615" s="8" t="inlineStr"/>
      <c r="M615" s="10" t="inlineStr"/>
    </row>
    <row r="616">
      <c r="A616" s="4" t="n">
        <v>612</v>
      </c>
      <c r="B616" s="6" t="inlineStr">
        <is>
          <t>Склад электрики</t>
        </is>
      </c>
      <c r="C616" s="4" t="inlineStr">
        <is>
          <t>ЗИП</t>
        </is>
      </c>
      <c r="D616" s="5" t="inlineStr">
        <is>
          <t>Клапан выпускной 602-062-001</t>
        </is>
      </c>
      <c r="E616" s="4" t="inlineStr"/>
      <c r="F616" s="4" t="n">
        <v>1</v>
      </c>
      <c r="G616" s="8" t="n"/>
      <c r="H616" s="4">
        <f>IF(G616="","",G616-F616)</f>
        <v/>
      </c>
      <c r="I616" s="9" t="n"/>
      <c r="J616" s="9">
        <f>IF(G616="","",H616*I616)</f>
        <v/>
      </c>
      <c r="K616" s="8" t="inlineStr"/>
      <c r="L616" s="8" t="inlineStr"/>
      <c r="M616" s="10" t="inlineStr"/>
    </row>
    <row r="617">
      <c r="A617" s="4" t="n">
        <v>613</v>
      </c>
      <c r="B617" s="6" t="inlineStr">
        <is>
          <t>Склад электрики</t>
        </is>
      </c>
      <c r="C617" s="4" t="inlineStr">
        <is>
          <t>ЗИП</t>
        </is>
      </c>
      <c r="D617" s="5" t="inlineStr">
        <is>
          <t>Клапан выпускной 602-062-001-01</t>
        </is>
      </c>
      <c r="E617" s="4" t="inlineStr"/>
      <c r="F617" s="4" t="n">
        <v>1</v>
      </c>
      <c r="G617" s="8" t="n"/>
      <c r="H617" s="4">
        <f>IF(G617="","",G617-F617)</f>
        <v/>
      </c>
      <c r="I617" s="9" t="n"/>
      <c r="J617" s="9">
        <f>IF(G617="","",H617*I617)</f>
        <v/>
      </c>
      <c r="K617" s="8" t="inlineStr"/>
      <c r="L617" s="8" t="inlineStr"/>
      <c r="M617" s="10" t="inlineStr"/>
    </row>
    <row r="618">
      <c r="A618" s="4" t="n">
        <v>614</v>
      </c>
      <c r="B618" s="6" t="inlineStr">
        <is>
          <t>Склад электрики</t>
        </is>
      </c>
      <c r="C618" s="4" t="inlineStr">
        <is>
          <t>ЗИП</t>
        </is>
      </c>
      <c r="D618" s="5" t="inlineStr">
        <is>
          <t>Клапан газораспредел. VD26/20 б/у</t>
        </is>
      </c>
      <c r="E618" s="4" t="inlineStr"/>
      <c r="F618" s="4" t="n">
        <v>7</v>
      </c>
      <c r="G618" s="8" t="n"/>
      <c r="H618" s="4">
        <f>IF(G618="","",G618-F618)</f>
        <v/>
      </c>
      <c r="I618" s="9" t="n"/>
      <c r="J618" s="9">
        <f>IF(G618="","",H618*I618)</f>
        <v/>
      </c>
      <c r="K618" s="8" t="inlineStr"/>
      <c r="L618" s="8" t="inlineStr"/>
      <c r="M618" s="10" t="inlineStr"/>
    </row>
    <row r="619">
      <c r="A619" s="4" t="n">
        <v>615</v>
      </c>
      <c r="B619" s="6" t="inlineStr">
        <is>
          <t>Склад электрики</t>
        </is>
      </c>
      <c r="C619" s="4" t="inlineStr">
        <is>
          <t>ЗИП</t>
        </is>
      </c>
      <c r="D619" s="5" t="inlineStr">
        <is>
          <t>Клапан газораспределения</t>
        </is>
      </c>
      <c r="E619" s="4" t="inlineStr"/>
      <c r="F619" s="4" t="n">
        <v>12</v>
      </c>
      <c r="G619" s="8" t="n"/>
      <c r="H619" s="4">
        <f>IF(G619="","",G619-F619)</f>
        <v/>
      </c>
      <c r="I619" s="9" t="n"/>
      <c r="J619" s="9">
        <f>IF(G619="","",H619*I619)</f>
        <v/>
      </c>
      <c r="K619" s="8" t="inlineStr"/>
      <c r="L619" s="8" t="inlineStr"/>
      <c r="M619" s="10" t="inlineStr"/>
    </row>
    <row r="620">
      <c r="A620" s="4" t="n">
        <v>616</v>
      </c>
      <c r="B620" s="6" t="inlineStr">
        <is>
          <t>Склад электрики</t>
        </is>
      </c>
      <c r="C620" s="4" t="inlineStr">
        <is>
          <t>ЗИП</t>
        </is>
      </c>
      <c r="D620" s="5" t="inlineStr">
        <is>
          <t>Клапан нагнетательный ТНВД</t>
        </is>
      </c>
      <c r="E620" s="4" t="inlineStr"/>
      <c r="F620" s="4" t="n">
        <v>9</v>
      </c>
      <c r="G620" s="8" t="n"/>
      <c r="H620" s="4">
        <f>IF(G620="","",G620-F620)</f>
        <v/>
      </c>
      <c r="I620" s="9" t="n"/>
      <c r="J620" s="9">
        <f>IF(G620="","",H620*I620)</f>
        <v/>
      </c>
      <c r="K620" s="8" t="inlineStr"/>
      <c r="L620" s="8" t="inlineStr"/>
      <c r="M620" s="10" t="inlineStr"/>
    </row>
    <row r="621">
      <c r="A621" s="4" t="n">
        <v>617</v>
      </c>
      <c r="B621" s="6" t="inlineStr">
        <is>
          <t>Склад электрики</t>
        </is>
      </c>
      <c r="C621" s="4" t="inlineStr">
        <is>
          <t>ЗИП</t>
        </is>
      </c>
      <c r="D621" s="5" t="inlineStr">
        <is>
          <t>Клапан пусковой главный</t>
        </is>
      </c>
      <c r="E621" s="4" t="inlineStr"/>
      <c r="F621" s="4" t="n">
        <v>1</v>
      </c>
      <c r="G621" s="8" t="n"/>
      <c r="H621" s="4">
        <f>IF(G621="","",G621-F621)</f>
        <v/>
      </c>
      <c r="I621" s="9" t="n"/>
      <c r="J621" s="9">
        <f>IF(G621="","",H621*I621)</f>
        <v/>
      </c>
      <c r="K621" s="8" t="inlineStr"/>
      <c r="L621" s="8" t="inlineStr"/>
      <c r="M621" s="10" t="inlineStr"/>
    </row>
    <row r="622">
      <c r="A622" s="4" t="n">
        <v>618</v>
      </c>
      <c r="B622" s="6" t="inlineStr">
        <is>
          <t>Склад электрики</t>
        </is>
      </c>
      <c r="C622" s="4" t="inlineStr">
        <is>
          <t>ЗИП</t>
        </is>
      </c>
      <c r="D622" s="5" t="inlineStr">
        <is>
          <t>Ключ на СЦ-1,5</t>
        </is>
      </c>
      <c r="E622" s="4" t="inlineStr"/>
      <c r="F622" s="4" t="n">
        <v>1</v>
      </c>
      <c r="G622" s="8" t="n"/>
      <c r="H622" s="4">
        <f>IF(G622="","",G622-F622)</f>
        <v/>
      </c>
      <c r="I622" s="9" t="n"/>
      <c r="J622" s="9">
        <f>IF(G622="","",H622*I622)</f>
        <v/>
      </c>
      <c r="K622" s="8" t="inlineStr"/>
      <c r="L622" s="8" t="inlineStr"/>
      <c r="M622" s="10" t="inlineStr"/>
    </row>
    <row r="623">
      <c r="A623" s="4" t="n">
        <v>619</v>
      </c>
      <c r="B623" s="6" t="inlineStr">
        <is>
          <t>Склад электрики</t>
        </is>
      </c>
      <c r="C623" s="4" t="inlineStr">
        <is>
          <t>ЗИП</t>
        </is>
      </c>
      <c r="D623" s="5" t="inlineStr">
        <is>
          <t>Ключ на СЦ-3</t>
        </is>
      </c>
      <c r="E623" s="4" t="inlineStr"/>
      <c r="F623" s="4" t="n">
        <v>1</v>
      </c>
      <c r="G623" s="8" t="n"/>
      <c r="H623" s="4">
        <f>IF(G623="","",G623-F623)</f>
        <v/>
      </c>
      <c r="I623" s="9" t="n"/>
      <c r="J623" s="9">
        <f>IF(G623="","",H623*I623)</f>
        <v/>
      </c>
      <c r="K623" s="8" t="inlineStr"/>
      <c r="L623" s="8" t="inlineStr"/>
      <c r="M623" s="10" t="inlineStr"/>
    </row>
    <row r="624">
      <c r="A624" s="4" t="n">
        <v>620</v>
      </c>
      <c r="B624" s="6" t="inlineStr">
        <is>
          <t>Склад электрики</t>
        </is>
      </c>
      <c r="C624" s="4" t="inlineStr">
        <is>
          <t>ЗИП</t>
        </is>
      </c>
      <c r="D624" s="5" t="inlineStr">
        <is>
          <t>Коллектор (паук) 602-205-014</t>
        </is>
      </c>
      <c r="E624" s="4" t="inlineStr"/>
      <c r="F624" s="4" t="n">
        <v>2</v>
      </c>
      <c r="G624" s="8" t="n"/>
      <c r="H624" s="4">
        <f>IF(G624="","",G624-F624)</f>
        <v/>
      </c>
      <c r="I624" s="9" t="n"/>
      <c r="J624" s="9">
        <f>IF(G624="","",H624*I624)</f>
        <v/>
      </c>
      <c r="K624" s="8" t="inlineStr"/>
      <c r="L624" s="8" t="inlineStr"/>
      <c r="M624" s="10" t="inlineStr"/>
    </row>
    <row r="625">
      <c r="A625" s="4" t="n">
        <v>621</v>
      </c>
      <c r="B625" s="6" t="inlineStr">
        <is>
          <t>Склад электрики</t>
        </is>
      </c>
      <c r="C625" s="4" t="inlineStr">
        <is>
          <t>ЗИП</t>
        </is>
      </c>
      <c r="D625" s="5" t="inlineStr">
        <is>
          <t>Кольцо компресс. d=4мм VD26/20</t>
        </is>
      </c>
      <c r="E625" s="4" t="inlineStr"/>
      <c r="F625" s="4" t="n">
        <v>8</v>
      </c>
      <c r="G625" s="8" t="n"/>
      <c r="H625" s="4">
        <f>IF(G625="","",G625-F625)</f>
        <v/>
      </c>
      <c r="I625" s="9" t="n"/>
      <c r="J625" s="9">
        <f>IF(G625="","",H625*I625)</f>
        <v/>
      </c>
      <c r="K625" s="8" t="inlineStr"/>
      <c r="L625" s="8" t="inlineStr"/>
      <c r="M625" s="10" t="inlineStr"/>
    </row>
    <row r="626">
      <c r="A626" s="4" t="n">
        <v>622</v>
      </c>
      <c r="B626" s="6" t="inlineStr">
        <is>
          <t>Склад электрики</t>
        </is>
      </c>
      <c r="C626" s="4" t="inlineStr">
        <is>
          <t>ЗИП</t>
        </is>
      </c>
      <c r="D626" s="5" t="inlineStr">
        <is>
          <t>Кольцо компресс. d=5мм VD26/20</t>
        </is>
      </c>
      <c r="E626" s="4" t="inlineStr"/>
      <c r="F626" s="4" t="n">
        <v>12</v>
      </c>
      <c r="G626" s="8" t="n"/>
      <c r="H626" s="4">
        <f>IF(G626="","",G626-F626)</f>
        <v/>
      </c>
      <c r="I626" s="9" t="n"/>
      <c r="J626" s="9">
        <f>IF(G626="","",H626*I626)</f>
        <v/>
      </c>
      <c r="K626" s="8" t="inlineStr"/>
      <c r="L626" s="8" t="inlineStr"/>
      <c r="M626" s="10" t="inlineStr"/>
    </row>
    <row r="627">
      <c r="A627" s="4" t="n">
        <v>623</v>
      </c>
      <c r="B627" s="6" t="inlineStr">
        <is>
          <t>Склад электрики</t>
        </is>
      </c>
      <c r="C627" s="4" t="inlineStr">
        <is>
          <t>ЗИП</t>
        </is>
      </c>
      <c r="D627" s="5" t="inlineStr">
        <is>
          <t>Кольцо маслосъемное без пружины VD26/20</t>
        </is>
      </c>
      <c r="E627" s="4" t="inlineStr"/>
      <c r="F627" s="4" t="n">
        <v>7</v>
      </c>
      <c r="G627" s="8" t="n"/>
      <c r="H627" s="4">
        <f>IF(G627="","",G627-F627)</f>
        <v/>
      </c>
      <c r="I627" s="9" t="n"/>
      <c r="J627" s="9">
        <f>IF(G627="","",H627*I627)</f>
        <v/>
      </c>
      <c r="K627" s="8" t="inlineStr"/>
      <c r="L627" s="8" t="inlineStr"/>
      <c r="M627" s="10" t="inlineStr"/>
    </row>
    <row r="628">
      <c r="A628" s="4" t="n">
        <v>624</v>
      </c>
      <c r="B628" s="6" t="inlineStr">
        <is>
          <t>Склад электрики</t>
        </is>
      </c>
      <c r="C628" s="4" t="inlineStr">
        <is>
          <t>ЗИП</t>
        </is>
      </c>
      <c r="D628" s="5" t="inlineStr">
        <is>
          <t>Кольцо маслосъемное с пружиной VD26/20</t>
        </is>
      </c>
      <c r="E628" s="4" t="inlineStr"/>
      <c r="F628" s="4" t="n">
        <v>2</v>
      </c>
      <c r="G628" s="8" t="n"/>
      <c r="H628" s="4">
        <f>IF(G628="","",G628-F628)</f>
        <v/>
      </c>
      <c r="I628" s="9" t="n"/>
      <c r="J628" s="9">
        <f>IF(G628="","",H628*I628)</f>
        <v/>
      </c>
      <c r="K628" s="8" t="inlineStr"/>
      <c r="L628" s="8" t="inlineStr"/>
      <c r="M628" s="10" t="inlineStr"/>
    </row>
    <row r="629">
      <c r="A629" s="4" t="n">
        <v>625</v>
      </c>
      <c r="B629" s="6" t="inlineStr">
        <is>
          <t>Склад электрики</t>
        </is>
      </c>
      <c r="C629" s="4" t="inlineStr">
        <is>
          <t>ЗИП</t>
        </is>
      </c>
      <c r="D629" s="5" t="inlineStr">
        <is>
          <t>Кольцо омеднен.</t>
        </is>
      </c>
      <c r="E629" s="4" t="inlineStr"/>
      <c r="F629" s="4" t="n">
        <v>7</v>
      </c>
      <c r="G629" s="8" t="n"/>
      <c r="H629" s="4">
        <f>IF(G629="","",G629-F629)</f>
        <v/>
      </c>
      <c r="I629" s="9" t="n"/>
      <c r="J629" s="9">
        <f>IF(G629="","",H629*I629)</f>
        <v/>
      </c>
      <c r="K629" s="8" t="inlineStr"/>
      <c r="L629" s="8" t="inlineStr"/>
      <c r="M629" s="10" t="inlineStr"/>
    </row>
    <row r="630">
      <c r="A630" s="4" t="n">
        <v>626</v>
      </c>
      <c r="B630" s="6" t="inlineStr">
        <is>
          <t>Склад электрики</t>
        </is>
      </c>
      <c r="C630" s="4" t="inlineStr">
        <is>
          <t>ЗИП</t>
        </is>
      </c>
      <c r="D630" s="5" t="inlineStr">
        <is>
          <t>Кольцо поршнев. Мо</t>
        </is>
      </c>
      <c r="E630" s="4" t="inlineStr"/>
      <c r="F630" s="4" t="n">
        <v>8</v>
      </c>
      <c r="G630" s="8" t="n"/>
      <c r="H630" s="4">
        <f>IF(G630="","",G630-F630)</f>
        <v/>
      </c>
      <c r="I630" s="9" t="n"/>
      <c r="J630" s="9">
        <f>IF(G630="","",H630*I630)</f>
        <v/>
      </c>
      <c r="K630" s="8" t="inlineStr"/>
      <c r="L630" s="8" t="inlineStr"/>
      <c r="M630" s="10" t="inlineStr"/>
    </row>
    <row r="631">
      <c r="A631" s="4" t="n">
        <v>627</v>
      </c>
      <c r="B631" s="6" t="inlineStr">
        <is>
          <t>Склад электрики</t>
        </is>
      </c>
      <c r="C631" s="4" t="inlineStr">
        <is>
          <t>ЗИП</t>
        </is>
      </c>
      <c r="D631" s="5" t="inlineStr">
        <is>
          <t>Кольцо поршнев. черн.</t>
        </is>
      </c>
      <c r="E631" s="4" t="inlineStr"/>
      <c r="F631" s="4" t="n">
        <v>3</v>
      </c>
      <c r="G631" s="8" t="n"/>
      <c r="H631" s="4">
        <f>IF(G631="","",G631-F631)</f>
        <v/>
      </c>
      <c r="I631" s="9" t="n"/>
      <c r="J631" s="9">
        <f>IF(G631="","",H631*I631)</f>
        <v/>
      </c>
      <c r="K631" s="8" t="inlineStr"/>
      <c r="L631" s="8" t="inlineStr"/>
      <c r="M631" s="10" t="inlineStr"/>
    </row>
    <row r="632">
      <c r="A632" s="4" t="n">
        <v>628</v>
      </c>
      <c r="B632" s="6" t="inlineStr">
        <is>
          <t>Склад электрики</t>
        </is>
      </c>
      <c r="C632" s="4" t="inlineStr">
        <is>
          <t>ЗИП</t>
        </is>
      </c>
      <c r="D632" s="5" t="inlineStr">
        <is>
          <t>Кольцо турбины</t>
        </is>
      </c>
      <c r="E632" s="4" t="inlineStr"/>
      <c r="F632" s="4" t="n">
        <v>8</v>
      </c>
      <c r="G632" s="8" t="n"/>
      <c r="H632" s="4">
        <f>IF(G632="","",G632-F632)</f>
        <v/>
      </c>
      <c r="I632" s="9" t="n"/>
      <c r="J632" s="9">
        <f>IF(G632="","",H632*I632)</f>
        <v/>
      </c>
      <c r="K632" s="8" t="inlineStr"/>
      <c r="L632" s="8" t="inlineStr"/>
      <c r="M632" s="10" t="inlineStr"/>
    </row>
    <row r="633">
      <c r="A633" s="4" t="n">
        <v>629</v>
      </c>
      <c r="B633" s="6" t="inlineStr">
        <is>
          <t>Склад электрики</t>
        </is>
      </c>
      <c r="C633" s="4" t="inlineStr">
        <is>
          <t>ЗИП</t>
        </is>
      </c>
      <c r="D633" s="5" t="inlineStr">
        <is>
          <t>Кольцо уплотнительное 13,6х2,7</t>
        </is>
      </c>
      <c r="E633" s="4" t="inlineStr"/>
      <c r="F633" s="4" t="n">
        <v>166</v>
      </c>
      <c r="G633" s="8" t="n"/>
      <c r="H633" s="4">
        <f>IF(G633="","",G633-F633)</f>
        <v/>
      </c>
      <c r="I633" s="9" t="n"/>
      <c r="J633" s="9">
        <f>IF(G633="","",H633*I633)</f>
        <v/>
      </c>
      <c r="K633" s="8" t="inlineStr"/>
      <c r="L633" s="8" t="inlineStr"/>
      <c r="M633" s="10" t="inlineStr"/>
    </row>
    <row r="634">
      <c r="A634" s="4" t="n">
        <v>630</v>
      </c>
      <c r="B634" s="6" t="inlineStr">
        <is>
          <t>Склад электрики</t>
        </is>
      </c>
      <c r="C634" s="4" t="inlineStr">
        <is>
          <t>ЗИП</t>
        </is>
      </c>
      <c r="D634" s="5" t="inlineStr">
        <is>
          <t>Кольцо уплотнительное 20,22х3,53</t>
        </is>
      </c>
      <c r="E634" s="4" t="inlineStr"/>
      <c r="F634" s="4" t="n">
        <v>80</v>
      </c>
      <c r="G634" s="8" t="n"/>
      <c r="H634" s="4">
        <f>IF(G634="","",G634-F634)</f>
        <v/>
      </c>
      <c r="I634" s="9" t="n"/>
      <c r="J634" s="9">
        <f>IF(G634="","",H634*I634)</f>
        <v/>
      </c>
      <c r="K634" s="8" t="inlineStr"/>
      <c r="L634" s="8" t="inlineStr"/>
      <c r="M634" s="10" t="inlineStr"/>
    </row>
    <row r="635">
      <c r="A635" s="4" t="n">
        <v>631</v>
      </c>
      <c r="B635" s="6" t="inlineStr">
        <is>
          <t>Склад электрики</t>
        </is>
      </c>
      <c r="C635" s="4" t="inlineStr">
        <is>
          <t>ЗИП</t>
        </is>
      </c>
      <c r="D635" s="5" t="inlineStr">
        <is>
          <t>Кольцо уплотнительное 26,0х7,0</t>
        </is>
      </c>
      <c r="E635" s="4" t="inlineStr"/>
      <c r="F635" s="4" t="n">
        <v>70</v>
      </c>
      <c r="G635" s="8" t="n"/>
      <c r="H635" s="4">
        <f>IF(G635="","",G635-F635)</f>
        <v/>
      </c>
      <c r="I635" s="9" t="n"/>
      <c r="J635" s="9">
        <f>IF(G635="","",H635*I635)</f>
        <v/>
      </c>
      <c r="K635" s="8" t="inlineStr"/>
      <c r="L635" s="8" t="inlineStr"/>
      <c r="M635" s="10" t="inlineStr"/>
    </row>
    <row r="636">
      <c r="A636" s="4" t="n">
        <v>632</v>
      </c>
      <c r="B636" s="6" t="inlineStr">
        <is>
          <t>Склад электрики</t>
        </is>
      </c>
      <c r="C636" s="4" t="inlineStr">
        <is>
          <t>ЗИП</t>
        </is>
      </c>
      <c r="D636" s="5" t="inlineStr">
        <is>
          <t>Кольцо уплотнительное 26,2х3,63</t>
        </is>
      </c>
      <c r="E636" s="4" t="inlineStr"/>
      <c r="F636" s="4" t="n">
        <v>52</v>
      </c>
      <c r="G636" s="8" t="n"/>
      <c r="H636" s="4">
        <f>IF(G636="","",G636-F636)</f>
        <v/>
      </c>
      <c r="I636" s="9" t="n"/>
      <c r="J636" s="9">
        <f>IF(G636="","",H636*I636)</f>
        <v/>
      </c>
      <c r="K636" s="8" t="inlineStr"/>
      <c r="L636" s="8" t="inlineStr"/>
      <c r="M636" s="10" t="inlineStr"/>
    </row>
    <row r="637">
      <c r="A637" s="4" t="n">
        <v>633</v>
      </c>
      <c r="B637" s="6" t="inlineStr">
        <is>
          <t>Склад электрики</t>
        </is>
      </c>
      <c r="C637" s="4" t="inlineStr">
        <is>
          <t>ЗИП</t>
        </is>
      </c>
      <c r="D637" s="5" t="inlineStr">
        <is>
          <t>Кольцо уплотнительное 29,0х3,0</t>
        </is>
      </c>
      <c r="E637" s="4" t="inlineStr"/>
      <c r="F637" s="4" t="n">
        <v>20</v>
      </c>
      <c r="G637" s="8" t="n"/>
      <c r="H637" s="4">
        <f>IF(G637="","",G637-F637)</f>
        <v/>
      </c>
      <c r="I637" s="9" t="n"/>
      <c r="J637" s="9">
        <f>IF(G637="","",H637*I637)</f>
        <v/>
      </c>
      <c r="K637" s="8" t="inlineStr"/>
      <c r="L637" s="8" t="inlineStr"/>
      <c r="M637" s="10" t="inlineStr"/>
    </row>
    <row r="638">
      <c r="A638" s="4" t="n">
        <v>634</v>
      </c>
      <c r="B638" s="6" t="inlineStr">
        <is>
          <t>Склад электрики</t>
        </is>
      </c>
      <c r="C638" s="4" t="inlineStr">
        <is>
          <t>ЗИП</t>
        </is>
      </c>
      <c r="D638" s="5" t="inlineStr">
        <is>
          <t>Кольцо уплотнительное 34,5х3,53</t>
        </is>
      </c>
      <c r="E638" s="4" t="inlineStr"/>
      <c r="F638" s="4" t="n">
        <v>50</v>
      </c>
      <c r="G638" s="8" t="n"/>
      <c r="H638" s="4">
        <f>IF(G638="","",G638-F638)</f>
        <v/>
      </c>
      <c r="I638" s="9" t="n"/>
      <c r="J638" s="9">
        <f>IF(G638="","",H638*I638)</f>
        <v/>
      </c>
      <c r="K638" s="8" t="inlineStr"/>
      <c r="L638" s="8" t="inlineStr"/>
      <c r="M638" s="10" t="inlineStr"/>
    </row>
    <row r="639">
      <c r="A639" s="4" t="n">
        <v>635</v>
      </c>
      <c r="B639" s="6" t="inlineStr">
        <is>
          <t>Склад электрики</t>
        </is>
      </c>
      <c r="C639" s="4" t="inlineStr">
        <is>
          <t>ЗИП</t>
        </is>
      </c>
      <c r="D639" s="5" t="inlineStr">
        <is>
          <t>Кольцо уплотнительное 40,65х5,33</t>
        </is>
      </c>
      <c r="E639" s="4" t="inlineStr"/>
      <c r="F639" s="4" t="n">
        <v>61</v>
      </c>
      <c r="G639" s="8" t="n"/>
      <c r="H639" s="4">
        <f>IF(G639="","",G639-F639)</f>
        <v/>
      </c>
      <c r="I639" s="9" t="n"/>
      <c r="J639" s="9">
        <f>IF(G639="","",H639*I639)</f>
        <v/>
      </c>
      <c r="K639" s="8" t="inlineStr"/>
      <c r="L639" s="8" t="inlineStr"/>
      <c r="M639" s="10" t="inlineStr"/>
    </row>
    <row r="640">
      <c r="A640" s="4" t="n">
        <v>636</v>
      </c>
      <c r="B640" s="6" t="inlineStr">
        <is>
          <t>Склад электрики</t>
        </is>
      </c>
      <c r="C640" s="4" t="inlineStr">
        <is>
          <t>ЗИП</t>
        </is>
      </c>
      <c r="D640" s="5" t="inlineStr">
        <is>
          <t>Кольцо уплотнительное 44,2х3,0</t>
        </is>
      </c>
      <c r="E640" s="4" t="inlineStr"/>
      <c r="F640" s="4" t="n">
        <v>36</v>
      </c>
      <c r="G640" s="8" t="n"/>
      <c r="H640" s="4">
        <f>IF(G640="","",G640-F640)</f>
        <v/>
      </c>
      <c r="I640" s="9" t="n"/>
      <c r="J640" s="9">
        <f>IF(G640="","",H640*I640)</f>
        <v/>
      </c>
      <c r="K640" s="8" t="inlineStr"/>
      <c r="L640" s="8" t="inlineStr"/>
      <c r="M640" s="10" t="inlineStr"/>
    </row>
    <row r="641">
      <c r="A641" s="4" t="n">
        <v>637</v>
      </c>
      <c r="B641" s="6" t="inlineStr">
        <is>
          <t>Склад электрики</t>
        </is>
      </c>
      <c r="C641" s="4" t="inlineStr">
        <is>
          <t>ЗИП</t>
        </is>
      </c>
      <c r="D641" s="5" t="inlineStr">
        <is>
          <t>Кольцо уплотнительное 46,99х5,33</t>
        </is>
      </c>
      <c r="E641" s="4" t="inlineStr"/>
      <c r="F641" s="4" t="n">
        <v>45</v>
      </c>
      <c r="G641" s="8" t="n"/>
      <c r="H641" s="4">
        <f>IF(G641="","",G641-F641)</f>
        <v/>
      </c>
      <c r="I641" s="9" t="n"/>
      <c r="J641" s="9">
        <f>IF(G641="","",H641*I641)</f>
        <v/>
      </c>
      <c r="K641" s="8" t="inlineStr"/>
      <c r="L641" s="8" t="inlineStr"/>
      <c r="M641" s="10" t="inlineStr"/>
    </row>
    <row r="642">
      <c r="A642" s="4" t="n">
        <v>638</v>
      </c>
      <c r="B642" s="6" t="inlineStr">
        <is>
          <t>Склад электрики</t>
        </is>
      </c>
      <c r="C642" s="4" t="inlineStr">
        <is>
          <t>ЗИП</t>
        </is>
      </c>
      <c r="D642" s="5" t="inlineStr">
        <is>
          <t>Кольцо уплотнительное 50,16х5,33</t>
        </is>
      </c>
      <c r="E642" s="4" t="inlineStr"/>
      <c r="F642" s="4" t="n">
        <v>12</v>
      </c>
      <c r="G642" s="8" t="n"/>
      <c r="H642" s="4">
        <f>IF(G642="","",G642-F642)</f>
        <v/>
      </c>
      <c r="I642" s="9" t="n"/>
      <c r="J642" s="9">
        <f>IF(G642="","",H642*I642)</f>
        <v/>
      </c>
      <c r="K642" s="8" t="inlineStr"/>
      <c r="L642" s="8" t="inlineStr"/>
      <c r="M642" s="10" t="inlineStr"/>
    </row>
    <row r="643">
      <c r="A643" s="4" t="n">
        <v>639</v>
      </c>
      <c r="B643" s="6" t="inlineStr">
        <is>
          <t>Склад электрики</t>
        </is>
      </c>
      <c r="C643" s="4" t="inlineStr">
        <is>
          <t>ЗИП</t>
        </is>
      </c>
      <c r="D643" s="5" t="inlineStr">
        <is>
          <t>Кольцо уплотнительное 66,52х5,33</t>
        </is>
      </c>
      <c r="E643" s="4" t="inlineStr"/>
      <c r="F643" s="4" t="n">
        <v>58</v>
      </c>
      <c r="G643" s="8" t="n"/>
      <c r="H643" s="4">
        <f>IF(G643="","",G643-F643)</f>
        <v/>
      </c>
      <c r="I643" s="9" t="n"/>
      <c r="J643" s="9">
        <f>IF(G643="","",H643*I643)</f>
        <v/>
      </c>
      <c r="K643" s="8" t="inlineStr"/>
      <c r="L643" s="8" t="inlineStr"/>
      <c r="M643" s="10" t="inlineStr"/>
    </row>
    <row r="644">
      <c r="A644" s="4" t="n">
        <v>640</v>
      </c>
      <c r="B644" s="6" t="inlineStr">
        <is>
          <t>Склад электрики</t>
        </is>
      </c>
      <c r="C644" s="4" t="inlineStr">
        <is>
          <t>ЗИП</t>
        </is>
      </c>
      <c r="D644" s="5" t="inlineStr">
        <is>
          <t>Кольцо уплотнительное под втулку цилиндра</t>
        </is>
      </c>
      <c r="E644" s="4" t="inlineStr"/>
      <c r="F644" s="4" t="n">
        <v>14</v>
      </c>
      <c r="G644" s="8" t="n"/>
      <c r="H644" s="4">
        <f>IF(G644="","",G644-F644)</f>
        <v/>
      </c>
      <c r="I644" s="9" t="n"/>
      <c r="J644" s="9">
        <f>IF(G644="","",H644*I644)</f>
        <v/>
      </c>
      <c r="K644" s="8" t="inlineStr"/>
      <c r="L644" s="8" t="inlineStr"/>
      <c r="M644" s="10" t="inlineStr"/>
    </row>
    <row r="645">
      <c r="A645" s="4" t="n">
        <v>641</v>
      </c>
      <c r="B645" s="6" t="inlineStr">
        <is>
          <t>Склад электрики</t>
        </is>
      </c>
      <c r="C645" s="4" t="inlineStr">
        <is>
          <t>ЗИП</t>
        </is>
      </c>
      <c r="D645" s="5" t="inlineStr">
        <is>
          <t>Кольцо уплотнительное под плунжер</t>
        </is>
      </c>
      <c r="E645" s="4" t="inlineStr"/>
      <c r="F645" s="4" t="n">
        <v>37</v>
      </c>
      <c r="G645" s="8" t="n"/>
      <c r="H645" s="4">
        <f>IF(G645="","",G645-F645)</f>
        <v/>
      </c>
      <c r="I645" s="9" t="n"/>
      <c r="J645" s="9">
        <f>IF(G645="","",H645*I645)</f>
        <v/>
      </c>
      <c r="K645" s="8" t="inlineStr"/>
      <c r="L645" s="8" t="inlineStr"/>
      <c r="M645" s="10" t="inlineStr"/>
    </row>
    <row r="646">
      <c r="A646" s="4" t="n">
        <v>642</v>
      </c>
      <c r="B646" s="6" t="inlineStr">
        <is>
          <t>Склад электрики</t>
        </is>
      </c>
      <c r="C646" s="4" t="inlineStr">
        <is>
          <t>ЗИП</t>
        </is>
      </c>
      <c r="D646" s="5" t="inlineStr">
        <is>
          <t>Кран индикаторный VD26/20</t>
        </is>
      </c>
      <c r="E646" s="4" t="inlineStr"/>
      <c r="F646" s="4" t="n">
        <v>3</v>
      </c>
      <c r="G646" s="8" t="n"/>
      <c r="H646" s="4">
        <f>IF(G646="","",G646-F646)</f>
        <v/>
      </c>
      <c r="I646" s="9" t="n"/>
      <c r="J646" s="9">
        <f>IF(G646="","",H646*I646)</f>
        <v/>
      </c>
      <c r="K646" s="8" t="inlineStr"/>
      <c r="L646" s="8" t="inlineStr"/>
      <c r="M646" s="10" t="inlineStr"/>
    </row>
    <row r="647">
      <c r="A647" s="4" t="n">
        <v>643</v>
      </c>
      <c r="B647" s="6" t="inlineStr">
        <is>
          <t>Склад электрики</t>
        </is>
      </c>
      <c r="C647" s="4" t="inlineStr">
        <is>
          <t>ЗИП</t>
        </is>
      </c>
      <c r="D647" s="5" t="inlineStr">
        <is>
          <t>Крылатка на насос забортной воды</t>
        </is>
      </c>
      <c r="E647" s="4" t="inlineStr"/>
      <c r="F647" s="4" t="n">
        <v>3</v>
      </c>
      <c r="G647" s="8" t="n"/>
      <c r="H647" s="4">
        <f>IF(G647="","",G647-F647)</f>
        <v/>
      </c>
      <c r="I647" s="9" t="n"/>
      <c r="J647" s="9">
        <f>IF(G647="","",H647*I647)</f>
        <v/>
      </c>
      <c r="K647" s="8" t="inlineStr"/>
      <c r="L647" s="8" t="inlineStr"/>
      <c r="M647" s="10" t="inlineStr"/>
    </row>
    <row r="648">
      <c r="A648" s="4" t="n">
        <v>644</v>
      </c>
      <c r="B648" s="6" t="inlineStr">
        <is>
          <t>Склад электрики</t>
        </is>
      </c>
      <c r="C648" s="4" t="inlineStr">
        <is>
          <t>ЗИП</t>
        </is>
      </c>
      <c r="D648" s="5" t="inlineStr">
        <is>
          <t>Крышка цилиндра 4Ч 10,5/13 (в сборе)</t>
        </is>
      </c>
      <c r="E648" s="4" t="inlineStr"/>
      <c r="F648" s="4" t="n">
        <v>1</v>
      </c>
      <c r="G648" s="8" t="n"/>
      <c r="H648" s="4">
        <f>IF(G648="","",G648-F648)</f>
        <v/>
      </c>
      <c r="I648" s="9" t="n"/>
      <c r="J648" s="9">
        <f>IF(G648="","",H648*I648)</f>
        <v/>
      </c>
      <c r="K648" s="8" t="inlineStr"/>
      <c r="L648" s="8" t="inlineStr"/>
      <c r="M648" s="10" t="inlineStr"/>
    </row>
    <row r="649">
      <c r="A649" s="4" t="n">
        <v>645</v>
      </c>
      <c r="B649" s="6" t="inlineStr">
        <is>
          <t>Склад электрики</t>
        </is>
      </c>
      <c r="C649" s="4" t="inlineStr">
        <is>
          <t>ЗИП</t>
        </is>
      </c>
      <c r="D649" s="5" t="inlineStr">
        <is>
          <t>Крышка цилиндра 4Ч 8,5/11(в сборе)</t>
        </is>
      </c>
      <c r="E649" s="4" t="inlineStr"/>
      <c r="F649" s="4" t="n">
        <v>3</v>
      </c>
      <c r="G649" s="8" t="n"/>
      <c r="H649" s="4">
        <f>IF(G649="","",G649-F649)</f>
        <v/>
      </c>
      <c r="I649" s="9" t="n"/>
      <c r="J649" s="9">
        <f>IF(G649="","",H649*I649)</f>
        <v/>
      </c>
      <c r="K649" s="8" t="inlineStr"/>
      <c r="L649" s="8" t="inlineStr"/>
      <c r="M649" s="10" t="inlineStr"/>
    </row>
    <row r="650">
      <c r="A650" s="4" t="n">
        <v>646</v>
      </c>
      <c r="B650" s="6" t="inlineStr">
        <is>
          <t>Склад электрики</t>
        </is>
      </c>
      <c r="C650" s="4" t="inlineStr">
        <is>
          <t>ЗИП</t>
        </is>
      </c>
      <c r="D650" s="5" t="inlineStr">
        <is>
          <t>Крышка цилиндра 6ЧН40/46 (голая)</t>
        </is>
      </c>
      <c r="E650" s="4" t="inlineStr"/>
      <c r="F650" s="4" t="n">
        <v>1</v>
      </c>
      <c r="G650" s="8" t="n"/>
      <c r="H650" s="4">
        <f>IF(G650="","",G650-F650)</f>
        <v/>
      </c>
      <c r="I650" s="9" t="n"/>
      <c r="J650" s="9">
        <f>IF(G650="","",H650*I650)</f>
        <v/>
      </c>
      <c r="K650" s="8" t="inlineStr"/>
      <c r="L650" s="8" t="inlineStr"/>
      <c r="M650" s="10" t="inlineStr"/>
    </row>
    <row r="651">
      <c r="A651" s="4" t="n">
        <v>647</v>
      </c>
      <c r="B651" s="6" t="inlineStr">
        <is>
          <t>Склад электрики</t>
        </is>
      </c>
      <c r="C651" s="4" t="inlineStr">
        <is>
          <t>ЗИП</t>
        </is>
      </c>
      <c r="D651" s="5" t="inlineStr">
        <is>
          <t>Крышки цилиндра VD26/20 (в сборе)</t>
        </is>
      </c>
      <c r="E651" s="4" t="inlineStr"/>
      <c r="F651" s="4" t="n">
        <v>2</v>
      </c>
      <c r="G651" s="8" t="n"/>
      <c r="H651" s="4">
        <f>IF(G651="","",G651-F651)</f>
        <v/>
      </c>
      <c r="I651" s="9" t="n"/>
      <c r="J651" s="9">
        <f>IF(G651="","",H651*I651)</f>
        <v/>
      </c>
      <c r="K651" s="8" t="inlineStr"/>
      <c r="L651" s="8" t="inlineStr"/>
      <c r="M651" s="10" t="inlineStr"/>
    </row>
    <row r="652">
      <c r="A652" s="4" t="n">
        <v>648</v>
      </c>
      <c r="B652" s="6" t="inlineStr">
        <is>
          <t>Склад электрики</t>
        </is>
      </c>
      <c r="C652" s="4" t="inlineStr">
        <is>
          <t>ЗИП</t>
        </is>
      </c>
      <c r="D652" s="5" t="inlineStr">
        <is>
          <t>Крышки цилиндра VD26/20 (голые)</t>
        </is>
      </c>
      <c r="E652" s="4" t="inlineStr"/>
      <c r="F652" s="4" t="n">
        <v>2</v>
      </c>
      <c r="G652" s="8" t="n"/>
      <c r="H652" s="4">
        <f>IF(G652="","",G652-F652)</f>
        <v/>
      </c>
      <c r="I652" s="9" t="n"/>
      <c r="J652" s="9">
        <f>IF(G652="","",H652*I652)</f>
        <v/>
      </c>
      <c r="K652" s="8" t="inlineStr"/>
      <c r="L652" s="8" t="inlineStr"/>
      <c r="M652" s="10" t="inlineStr"/>
    </row>
    <row r="653">
      <c r="A653" s="4" t="n">
        <v>649</v>
      </c>
      <c r="B653" s="6" t="inlineStr">
        <is>
          <t>Склад электрики</t>
        </is>
      </c>
      <c r="C653" s="4" t="inlineStr">
        <is>
          <t>ЗИП</t>
        </is>
      </c>
      <c r="D653" s="5" t="inlineStr">
        <is>
          <t>Кулачки СЦ-1,5</t>
        </is>
      </c>
      <c r="E653" s="4" t="inlineStr"/>
      <c r="F653" s="4" t="n">
        <v>55</v>
      </c>
      <c r="G653" s="8" t="n"/>
      <c r="H653" s="4">
        <f>IF(G653="","",G653-F653)</f>
        <v/>
      </c>
      <c r="I653" s="9" t="n"/>
      <c r="J653" s="9">
        <f>IF(G653="","",H653*I653)</f>
        <v/>
      </c>
      <c r="K653" s="8" t="inlineStr"/>
      <c r="L653" s="8" t="inlineStr"/>
      <c r="M653" s="10" t="inlineStr"/>
    </row>
    <row r="654">
      <c r="A654" s="4" t="n">
        <v>650</v>
      </c>
      <c r="B654" s="6" t="inlineStr">
        <is>
          <t>Склад электрики</t>
        </is>
      </c>
      <c r="C654" s="4" t="inlineStr">
        <is>
          <t>ЗИП</t>
        </is>
      </c>
      <c r="D654" s="5" t="inlineStr">
        <is>
          <t>Кулачки СЦ-3</t>
        </is>
      </c>
      <c r="E654" s="4" t="inlineStr"/>
      <c r="F654" s="4" t="n">
        <v>36</v>
      </c>
      <c r="G654" s="8" t="n"/>
      <c r="H654" s="4">
        <f>IF(G654="","",G654-F654)</f>
        <v/>
      </c>
      <c r="I654" s="9" t="n"/>
      <c r="J654" s="9">
        <f>IF(G654="","",H654*I654)</f>
        <v/>
      </c>
      <c r="K654" s="8" t="inlineStr"/>
      <c r="L654" s="8" t="inlineStr"/>
      <c r="M654" s="10" t="inlineStr"/>
    </row>
    <row r="655">
      <c r="A655" s="4" t="n">
        <v>651</v>
      </c>
      <c r="B655" s="6" t="inlineStr">
        <is>
          <t>Склад электрики</t>
        </is>
      </c>
      <c r="C655" s="4" t="inlineStr">
        <is>
          <t>ЗИП</t>
        </is>
      </c>
      <c r="D655" s="5" t="inlineStr">
        <is>
          <t>Направляющая VD26/20</t>
        </is>
      </c>
      <c r="E655" s="4" t="inlineStr"/>
      <c r="F655" s="4" t="n">
        <v>2</v>
      </c>
      <c r="G655" s="8" t="n"/>
      <c r="H655" s="4">
        <f>IF(G655="","",G655-F655)</f>
        <v/>
      </c>
      <c r="I655" s="9" t="n"/>
      <c r="J655" s="9">
        <f>IF(G655="","",H655*I655)</f>
        <v/>
      </c>
      <c r="K655" s="8" t="inlineStr"/>
      <c r="L655" s="8" t="inlineStr"/>
      <c r="M655" s="10" t="inlineStr"/>
    </row>
    <row r="656">
      <c r="A656" s="4" t="n">
        <v>652</v>
      </c>
      <c r="B656" s="6" t="inlineStr">
        <is>
          <t>Склад электрики</t>
        </is>
      </c>
      <c r="C656" s="4" t="inlineStr">
        <is>
          <t>ЗИП</t>
        </is>
      </c>
      <c r="D656" s="5" t="inlineStr">
        <is>
          <t>Направляющий клапан (большой)</t>
        </is>
      </c>
      <c r="E656" s="4" t="inlineStr"/>
      <c r="F656" s="4" t="n">
        <v>36</v>
      </c>
      <c r="G656" s="8" t="n"/>
      <c r="H656" s="4">
        <f>IF(G656="","",G656-F656)</f>
        <v/>
      </c>
      <c r="I656" s="9" t="n"/>
      <c r="J656" s="9">
        <f>IF(G656="","",H656*I656)</f>
        <v/>
      </c>
      <c r="K656" s="8" t="inlineStr"/>
      <c r="L656" s="8" t="inlineStr"/>
      <c r="M656" s="10" t="inlineStr"/>
    </row>
    <row r="657">
      <c r="A657" s="4" t="n">
        <v>653</v>
      </c>
      <c r="B657" s="6" t="inlineStr">
        <is>
          <t>Склад электрики</t>
        </is>
      </c>
      <c r="C657" s="4" t="inlineStr">
        <is>
          <t>ЗИП</t>
        </is>
      </c>
      <c r="D657" s="5" t="inlineStr">
        <is>
          <t>Направляющий клапан (маленький)</t>
        </is>
      </c>
      <c r="E657" s="4" t="inlineStr"/>
      <c r="F657" s="4" t="n">
        <v>40</v>
      </c>
      <c r="G657" s="8" t="n"/>
      <c r="H657" s="4">
        <f>IF(G657="","",G657-F657)</f>
        <v/>
      </c>
      <c r="I657" s="9" t="n"/>
      <c r="J657" s="9">
        <f>IF(G657="","",H657*I657)</f>
        <v/>
      </c>
      <c r="K657" s="8" t="inlineStr"/>
      <c r="L657" s="8" t="inlineStr"/>
      <c r="M657" s="10" t="inlineStr"/>
    </row>
    <row r="658">
      <c r="A658" s="4" t="n">
        <v>654</v>
      </c>
      <c r="B658" s="6" t="inlineStr">
        <is>
          <t>Склад электрики</t>
        </is>
      </c>
      <c r="C658" s="4" t="inlineStr">
        <is>
          <t>ЗИП</t>
        </is>
      </c>
      <c r="D658" s="5" t="inlineStr">
        <is>
          <t>Насос ТНВД Н40865</t>
        </is>
      </c>
      <c r="E658" s="4" t="inlineStr"/>
      <c r="F658" s="4" t="n">
        <v>2</v>
      </c>
      <c r="G658" s="8" t="n"/>
      <c r="H658" s="4">
        <f>IF(G658="","",G658-F658)</f>
        <v/>
      </c>
      <c r="I658" s="9" t="n"/>
      <c r="J658" s="9">
        <f>IF(G658="","",H658*I658)</f>
        <v/>
      </c>
      <c r="K658" s="8" t="inlineStr"/>
      <c r="L658" s="8" t="inlineStr"/>
      <c r="M658" s="10" t="inlineStr"/>
    </row>
    <row r="659">
      <c r="A659" s="4" t="n">
        <v>655</v>
      </c>
      <c r="B659" s="6" t="inlineStr">
        <is>
          <t>Склад электрики</t>
        </is>
      </c>
      <c r="C659" s="4" t="inlineStr">
        <is>
          <t>ЗИП</t>
        </is>
      </c>
      <c r="D659" s="5" t="inlineStr">
        <is>
          <t>Насос ТНВД НТ5П4</t>
        </is>
      </c>
      <c r="E659" s="4" t="inlineStr"/>
      <c r="F659" s="4" t="n">
        <v>1</v>
      </c>
      <c r="G659" s="8" t="n"/>
      <c r="H659" s="4">
        <f>IF(G659="","",G659-F659)</f>
        <v/>
      </c>
      <c r="I659" s="9" t="n"/>
      <c r="J659" s="9">
        <f>IF(G659="","",H659*I659)</f>
        <v/>
      </c>
      <c r="K659" s="8" t="inlineStr"/>
      <c r="L659" s="8" t="inlineStr"/>
      <c r="M659" s="10" t="inlineStr"/>
    </row>
    <row r="660">
      <c r="A660" s="4" t="n">
        <v>656</v>
      </c>
      <c r="B660" s="6" t="inlineStr">
        <is>
          <t>Склад электрики</t>
        </is>
      </c>
      <c r="C660" s="4" t="inlineStr">
        <is>
          <t>ЗИП</t>
        </is>
      </c>
      <c r="D660" s="5" t="inlineStr">
        <is>
          <t>Насос забортной воды 3D6 черт. СБ 584-01-25К</t>
        </is>
      </c>
      <c r="E660" s="4" t="inlineStr"/>
      <c r="F660" s="4" t="n">
        <v>3</v>
      </c>
      <c r="G660" s="8" t="n"/>
      <c r="H660" s="4">
        <f>IF(G660="","",G660-F660)</f>
        <v/>
      </c>
      <c r="I660" s="9" t="n"/>
      <c r="J660" s="9">
        <f>IF(G660="","",H660*I660)</f>
        <v/>
      </c>
      <c r="K660" s="8" t="inlineStr"/>
      <c r="L660" s="8" t="inlineStr"/>
      <c r="M660" s="10" t="inlineStr"/>
    </row>
    <row r="661">
      <c r="A661" s="4" t="n">
        <v>657</v>
      </c>
      <c r="B661" s="6" t="inlineStr">
        <is>
          <t>Склад электрики</t>
        </is>
      </c>
      <c r="C661" s="4" t="inlineStr">
        <is>
          <t>ЗИП</t>
        </is>
      </c>
      <c r="D661" s="5" t="inlineStr">
        <is>
          <t>Насос забортной воды 3D6 черт. СБ 584-01-82</t>
        </is>
      </c>
      <c r="E661" s="4" t="inlineStr"/>
      <c r="F661" s="4" t="n">
        <v>1</v>
      </c>
      <c r="G661" s="8" t="n"/>
      <c r="H661" s="4">
        <f>IF(G661="","",G661-F661)</f>
        <v/>
      </c>
      <c r="I661" s="9" t="n"/>
      <c r="J661" s="9">
        <f>IF(G661="","",H661*I661)</f>
        <v/>
      </c>
      <c r="K661" s="8" t="inlineStr"/>
      <c r="L661" s="8" t="inlineStr"/>
      <c r="M661" s="10" t="inlineStr"/>
    </row>
    <row r="662">
      <c r="A662" s="4" t="n">
        <v>658</v>
      </c>
      <c r="B662" s="6" t="inlineStr">
        <is>
          <t>Склад электрики</t>
        </is>
      </c>
      <c r="C662" s="4" t="inlineStr">
        <is>
          <t>ЗИП</t>
        </is>
      </c>
      <c r="D662" s="5" t="inlineStr">
        <is>
          <t>Насос пресной воды 4Ч 8,5/11 (без крышки)</t>
        </is>
      </c>
      <c r="E662" s="4" t="inlineStr"/>
      <c r="F662" s="4" t="n">
        <v>1</v>
      </c>
      <c r="G662" s="8" t="n"/>
      <c r="H662" s="4">
        <f>IF(G662="","",G662-F662)</f>
        <v/>
      </c>
      <c r="I662" s="9" t="n"/>
      <c r="J662" s="9">
        <f>IF(G662="","",H662*I662)</f>
        <v/>
      </c>
      <c r="K662" s="8" t="inlineStr"/>
      <c r="L662" s="8" t="inlineStr"/>
      <c r="M662" s="10" t="inlineStr"/>
    </row>
    <row r="663">
      <c r="A663" s="4" t="n">
        <v>659</v>
      </c>
      <c r="B663" s="6" t="inlineStr">
        <is>
          <t>Склад электрики</t>
        </is>
      </c>
      <c r="C663" s="4" t="inlineStr">
        <is>
          <t>ЗИП</t>
        </is>
      </c>
      <c r="D663" s="5" t="inlineStr">
        <is>
          <t>Насос пресной воды 4Ч 8,5/11 (в сборе)</t>
        </is>
      </c>
      <c r="E663" s="4" t="inlineStr"/>
      <c r="F663" s="4" t="n">
        <v>2</v>
      </c>
      <c r="G663" s="8" t="n"/>
      <c r="H663" s="4">
        <f>IF(G663="","",G663-F663)</f>
        <v/>
      </c>
      <c r="I663" s="9" t="n"/>
      <c r="J663" s="9">
        <f>IF(G663="","",H663*I663)</f>
        <v/>
      </c>
      <c r="K663" s="8" t="inlineStr"/>
      <c r="L663" s="8" t="inlineStr"/>
      <c r="M663" s="10" t="inlineStr"/>
    </row>
    <row r="664">
      <c r="A664" s="4" t="n">
        <v>660</v>
      </c>
      <c r="B664" s="6" t="inlineStr">
        <is>
          <t>Склад электрики</t>
        </is>
      </c>
      <c r="C664" s="4" t="inlineStr">
        <is>
          <t>ЗИП</t>
        </is>
      </c>
      <c r="D664" s="5" t="inlineStr">
        <is>
          <t>Опора турбины в сборе</t>
        </is>
      </c>
      <c r="E664" s="4" t="inlineStr"/>
      <c r="F664" s="4" t="n">
        <v>1</v>
      </c>
      <c r="G664" s="8" t="n"/>
      <c r="H664" s="4">
        <f>IF(G664="","",G664-F664)</f>
        <v/>
      </c>
      <c r="I664" s="9" t="n"/>
      <c r="J664" s="9">
        <f>IF(G664="","",H664*I664)</f>
        <v/>
      </c>
      <c r="K664" s="8" t="inlineStr"/>
      <c r="L664" s="8" t="inlineStr"/>
      <c r="M664" s="10" t="inlineStr"/>
    </row>
    <row r="665">
      <c r="A665" s="4" t="n">
        <v>661</v>
      </c>
      <c r="B665" s="6" t="inlineStr">
        <is>
          <t>Склад электрики</t>
        </is>
      </c>
      <c r="C665" s="4" t="inlineStr">
        <is>
          <t>ЗИП</t>
        </is>
      </c>
      <c r="D665" s="5" t="inlineStr">
        <is>
          <t>Ось коромысла 602-061-221</t>
        </is>
      </c>
      <c r="E665" s="4" t="inlineStr"/>
      <c r="F665" s="4" t="n">
        <v>4</v>
      </c>
      <c r="G665" s="8" t="n"/>
      <c r="H665" s="4">
        <f>IF(G665="","",G665-F665)</f>
        <v/>
      </c>
      <c r="I665" s="9" t="n"/>
      <c r="J665" s="9">
        <f>IF(G665="","",H665*I665)</f>
        <v/>
      </c>
      <c r="K665" s="8" t="inlineStr"/>
      <c r="L665" s="8" t="inlineStr"/>
      <c r="M665" s="10" t="inlineStr"/>
    </row>
    <row r="666">
      <c r="A666" s="4" t="n">
        <v>662</v>
      </c>
      <c r="B666" s="6" t="inlineStr">
        <is>
          <t>Склад электрики</t>
        </is>
      </c>
      <c r="C666" s="4" t="inlineStr">
        <is>
          <t>ЗИП</t>
        </is>
      </c>
      <c r="D666" s="5" t="inlineStr">
        <is>
          <t>Палец поршня VD26/20</t>
        </is>
      </c>
      <c r="E666" s="4" t="inlineStr"/>
      <c r="F666" s="4" t="n">
        <v>8</v>
      </c>
      <c r="G666" s="8" t="n"/>
      <c r="H666" s="4">
        <f>IF(G666="","",G666-F666)</f>
        <v/>
      </c>
      <c r="I666" s="9" t="n"/>
      <c r="J666" s="9">
        <f>IF(G666="","",H666*I666)</f>
        <v/>
      </c>
      <c r="K666" s="8" t="inlineStr"/>
      <c r="L666" s="8" t="inlineStr"/>
      <c r="M666" s="10" t="inlineStr"/>
    </row>
    <row r="667">
      <c r="A667" s="4" t="n">
        <v>663</v>
      </c>
      <c r="B667" s="6" t="inlineStr">
        <is>
          <t>Склад электрики</t>
        </is>
      </c>
      <c r="C667" s="4" t="inlineStr">
        <is>
          <t>ЗИП</t>
        </is>
      </c>
      <c r="D667" s="5" t="inlineStr">
        <is>
          <t>Плунжерная пара</t>
        </is>
      </c>
      <c r="E667" s="4" t="inlineStr"/>
      <c r="F667" s="4" t="n">
        <v>4</v>
      </c>
      <c r="G667" s="8" t="n"/>
      <c r="H667" s="4">
        <f>IF(G667="","",G667-F667)</f>
        <v/>
      </c>
      <c r="I667" s="9" t="n"/>
      <c r="J667" s="9">
        <f>IF(G667="","",H667*I667)</f>
        <v/>
      </c>
      <c r="K667" s="8" t="inlineStr"/>
      <c r="L667" s="8" t="inlineStr"/>
      <c r="M667" s="10" t="inlineStr"/>
    </row>
    <row r="668">
      <c r="A668" s="4" t="n">
        <v>664</v>
      </c>
      <c r="B668" s="6" t="inlineStr">
        <is>
          <t>Склад электрики</t>
        </is>
      </c>
      <c r="C668" s="4" t="inlineStr">
        <is>
          <t>ЗИП</t>
        </is>
      </c>
      <c r="D668" s="5" t="inlineStr">
        <is>
          <t>Плунжерная пара VD26/20</t>
        </is>
      </c>
      <c r="E668" s="4" t="inlineStr"/>
      <c r="F668" s="4" t="n">
        <v>1</v>
      </c>
      <c r="G668" s="8" t="n"/>
      <c r="H668" s="4">
        <f>IF(G668="","",G668-F668)</f>
        <v/>
      </c>
      <c r="I668" s="9" t="n"/>
      <c r="J668" s="9">
        <f>IF(G668="","",H668*I668)</f>
        <v/>
      </c>
      <c r="K668" s="8" t="inlineStr"/>
      <c r="L668" s="8" t="inlineStr"/>
      <c r="M668" s="10" t="inlineStr"/>
    </row>
    <row r="669">
      <c r="A669" s="4" t="n">
        <v>665</v>
      </c>
      <c r="B669" s="6" t="inlineStr">
        <is>
          <t>Склад электрики</t>
        </is>
      </c>
      <c r="C669" s="4" t="inlineStr">
        <is>
          <t>ЗИП</t>
        </is>
      </c>
      <c r="D669" s="5" t="inlineStr">
        <is>
          <t>Подшипник на турбину (к-т 2шт)</t>
        </is>
      </c>
      <c r="E669" s="4" t="inlineStr"/>
      <c r="F669" s="4" t="n">
        <v>1</v>
      </c>
      <c r="G669" s="8" t="n"/>
      <c r="H669" s="4">
        <f>IF(G669="","",G669-F669)</f>
        <v/>
      </c>
      <c r="I669" s="9" t="n"/>
      <c r="J669" s="9">
        <f>IF(G669="","",H669*I669)</f>
        <v/>
      </c>
      <c r="K669" s="8" t="inlineStr"/>
      <c r="L669" s="8" t="inlineStr"/>
      <c r="M669" s="10" t="inlineStr"/>
    </row>
    <row r="670">
      <c r="A670" s="4" t="n">
        <v>666</v>
      </c>
      <c r="B670" s="6" t="inlineStr">
        <is>
          <t>Склад электрики</t>
        </is>
      </c>
      <c r="C670" s="4" t="inlineStr">
        <is>
          <t>ЗИП</t>
        </is>
      </c>
      <c r="D670" s="5" t="inlineStr">
        <is>
          <t>Поршень VD26/20</t>
        </is>
      </c>
      <c r="E670" s="4" t="inlineStr"/>
      <c r="F670" s="4" t="n">
        <v>13</v>
      </c>
      <c r="G670" s="8" t="n"/>
      <c r="H670" s="4">
        <f>IF(G670="","",G670-F670)</f>
        <v/>
      </c>
      <c r="I670" s="9" t="n"/>
      <c r="J670" s="9">
        <f>IF(G670="","",H670*I670)</f>
        <v/>
      </c>
      <c r="K670" s="8" t="inlineStr"/>
      <c r="L670" s="8" t="inlineStr"/>
      <c r="M670" s="10" t="inlineStr"/>
    </row>
    <row r="671">
      <c r="A671" s="4" t="n">
        <v>667</v>
      </c>
      <c r="B671" s="6" t="inlineStr">
        <is>
          <t>Склад электрики</t>
        </is>
      </c>
      <c r="C671" s="4" t="inlineStr">
        <is>
          <t>ЗИП</t>
        </is>
      </c>
      <c r="D671" s="5" t="inlineStr">
        <is>
          <t>Пружина клапана VD26/20</t>
        </is>
      </c>
      <c r="E671" s="4" t="inlineStr"/>
      <c r="F671" s="4" t="n">
        <v>3</v>
      </c>
      <c r="G671" s="8" t="n"/>
      <c r="H671" s="4">
        <f>IF(G671="","",G671-F671)</f>
        <v/>
      </c>
      <c r="I671" s="9" t="n"/>
      <c r="J671" s="9">
        <f>IF(G671="","",H671*I671)</f>
        <v/>
      </c>
      <c r="K671" s="8" t="inlineStr"/>
      <c r="L671" s="8" t="inlineStr"/>
      <c r="M671" s="10" t="inlineStr"/>
    </row>
    <row r="672">
      <c r="A672" s="4" t="n">
        <v>668</v>
      </c>
      <c r="B672" s="6" t="inlineStr">
        <is>
          <t>Склад электрики</t>
        </is>
      </c>
      <c r="C672" s="4" t="inlineStr">
        <is>
          <t>ЗИП</t>
        </is>
      </c>
      <c r="D672" s="5" t="inlineStr">
        <is>
          <t>Пружина клапана распределения наружная</t>
        </is>
      </c>
      <c r="E672" s="4" t="inlineStr"/>
      <c r="F672" s="4" t="n">
        <v>6</v>
      </c>
      <c r="G672" s="8" t="n"/>
      <c r="H672" s="4">
        <f>IF(G672="","",G672-F672)</f>
        <v/>
      </c>
      <c r="I672" s="9" t="n"/>
      <c r="J672" s="9">
        <f>IF(G672="","",H672*I672)</f>
        <v/>
      </c>
      <c r="K672" s="8" t="inlineStr"/>
      <c r="L672" s="8" t="inlineStr"/>
      <c r="M672" s="10" t="inlineStr"/>
    </row>
    <row r="673">
      <c r="A673" s="4" t="n">
        <v>669</v>
      </c>
      <c r="B673" s="6" t="inlineStr">
        <is>
          <t>Склад электрики</t>
        </is>
      </c>
      <c r="C673" s="4" t="inlineStr">
        <is>
          <t>ЗИП</t>
        </is>
      </c>
      <c r="D673" s="5" t="inlineStr">
        <is>
          <t>Пружина нагнетательного клапана VD26/20</t>
        </is>
      </c>
      <c r="E673" s="4" t="inlineStr"/>
      <c r="F673" s="4" t="n">
        <v>37</v>
      </c>
      <c r="G673" s="8" t="n"/>
      <c r="H673" s="4">
        <f>IF(G673="","",G673-F673)</f>
        <v/>
      </c>
      <c r="I673" s="9" t="n"/>
      <c r="J673" s="9">
        <f>IF(G673="","",H673*I673)</f>
        <v/>
      </c>
      <c r="K673" s="8" t="inlineStr"/>
      <c r="L673" s="8" t="inlineStr"/>
      <c r="M673" s="10" t="inlineStr"/>
    </row>
    <row r="674">
      <c r="A674" s="4" t="n">
        <v>670</v>
      </c>
      <c r="B674" s="6" t="inlineStr">
        <is>
          <t>Склад электрики</t>
        </is>
      </c>
      <c r="C674" s="4" t="inlineStr">
        <is>
          <t>ЗИП</t>
        </is>
      </c>
      <c r="D674" s="5" t="inlineStr">
        <is>
          <t>Пружина нагнетательного клапана ТНВД</t>
        </is>
      </c>
      <c r="E674" s="4" t="inlineStr"/>
      <c r="F674" s="4" t="n">
        <v>37</v>
      </c>
      <c r="G674" s="8" t="n"/>
      <c r="H674" s="4">
        <f>IF(G674="","",G674-F674)</f>
        <v/>
      </c>
      <c r="I674" s="9" t="n"/>
      <c r="J674" s="9">
        <f>IF(G674="","",H674*I674)</f>
        <v/>
      </c>
      <c r="K674" s="8" t="inlineStr"/>
      <c r="L674" s="8" t="inlineStr"/>
      <c r="M674" s="10" t="inlineStr"/>
    </row>
    <row r="675">
      <c r="A675" s="4" t="n">
        <v>671</v>
      </c>
      <c r="B675" s="6" t="inlineStr">
        <is>
          <t>Склад электрики</t>
        </is>
      </c>
      <c r="C675" s="4" t="inlineStr">
        <is>
          <t>ЗИП</t>
        </is>
      </c>
      <c r="D675" s="5" t="inlineStr">
        <is>
          <t>Пружина плунжера</t>
        </is>
      </c>
      <c r="E675" s="4" t="inlineStr"/>
      <c r="F675" s="4" t="n">
        <v>6</v>
      </c>
      <c r="G675" s="8" t="n"/>
      <c r="H675" s="4">
        <f>IF(G675="","",G675-F675)</f>
        <v/>
      </c>
      <c r="I675" s="9" t="n"/>
      <c r="J675" s="9">
        <f>IF(G675="","",H675*I675)</f>
        <v/>
      </c>
      <c r="K675" s="8" t="inlineStr"/>
      <c r="L675" s="8" t="inlineStr"/>
      <c r="M675" s="10" t="inlineStr"/>
    </row>
    <row r="676">
      <c r="A676" s="4" t="n">
        <v>672</v>
      </c>
      <c r="B676" s="6" t="inlineStr">
        <is>
          <t>Склад электрики</t>
        </is>
      </c>
      <c r="C676" s="4" t="inlineStr">
        <is>
          <t>ЗИП</t>
        </is>
      </c>
      <c r="D676" s="5" t="inlineStr">
        <is>
          <t>Пружина форсунки</t>
        </is>
      </c>
      <c r="E676" s="4" t="inlineStr"/>
      <c r="F676" s="4" t="n">
        <v>67</v>
      </c>
      <c r="G676" s="8" t="n"/>
      <c r="H676" s="4">
        <f>IF(G676="","",G676-F676)</f>
        <v/>
      </c>
      <c r="I676" s="9" t="n"/>
      <c r="J676" s="9">
        <f>IF(G676="","",H676*I676)</f>
        <v/>
      </c>
      <c r="K676" s="8" t="inlineStr"/>
      <c r="L676" s="8" t="inlineStr"/>
      <c r="M676" s="10" t="inlineStr"/>
    </row>
    <row r="677">
      <c r="A677" s="4" t="n">
        <v>673</v>
      </c>
      <c r="B677" s="6" t="inlineStr">
        <is>
          <t>Склад электрики</t>
        </is>
      </c>
      <c r="C677" s="4" t="inlineStr">
        <is>
          <t>ЗИП</t>
        </is>
      </c>
      <c r="D677" s="5" t="inlineStr">
        <is>
          <t>РТИ НЦВ 100/30</t>
        </is>
      </c>
      <c r="E677" s="4" t="inlineStr"/>
      <c r="F677" s="4" t="n">
        <v>4</v>
      </c>
      <c r="G677" s="8" t="n"/>
      <c r="H677" s="4">
        <f>IF(G677="","",G677-F677)</f>
        <v/>
      </c>
      <c r="I677" s="9" t="n"/>
      <c r="J677" s="9">
        <f>IF(G677="","",H677*I677)</f>
        <v/>
      </c>
      <c r="K677" s="8" t="inlineStr"/>
      <c r="L677" s="8" t="inlineStr"/>
      <c r="M677" s="10" t="inlineStr"/>
    </row>
    <row r="678">
      <c r="A678" s="4" t="n">
        <v>674</v>
      </c>
      <c r="B678" s="6" t="inlineStr">
        <is>
          <t>Склад электрики</t>
        </is>
      </c>
      <c r="C678" s="4" t="inlineStr">
        <is>
          <t>ЗИП</t>
        </is>
      </c>
      <c r="D678" s="5" t="inlineStr">
        <is>
          <t>РТИ НЦКГ 4/40</t>
        </is>
      </c>
      <c r="E678" s="4" t="inlineStr"/>
      <c r="F678" s="4" t="n">
        <v>20</v>
      </c>
      <c r="G678" s="8" t="n"/>
      <c r="H678" s="4">
        <f>IF(G678="","",G678-F678)</f>
        <v/>
      </c>
      <c r="I678" s="9" t="n"/>
      <c r="J678" s="9">
        <f>IF(G678="","",H678*I678)</f>
        <v/>
      </c>
      <c r="K678" s="8" t="inlineStr"/>
      <c r="L678" s="8" t="inlineStr"/>
      <c r="M678" s="10" t="inlineStr"/>
    </row>
    <row r="679">
      <c r="A679" s="4" t="n">
        <v>675</v>
      </c>
      <c r="B679" s="6" t="inlineStr">
        <is>
          <t>Склад электрики</t>
        </is>
      </c>
      <c r="C679" s="4" t="inlineStr">
        <is>
          <t>ЗИП</t>
        </is>
      </c>
      <c r="D679" s="5" t="inlineStr">
        <is>
          <t>РТИ НЦКГ 4/40 ?????для ремонта насоса</t>
        </is>
      </c>
      <c r="E679" s="4" t="inlineStr"/>
      <c r="F679" s="4" t="n">
        <v>3</v>
      </c>
      <c r="G679" s="8" t="n"/>
      <c r="H679" s="4">
        <f>IF(G679="","",G679-F679)</f>
        <v/>
      </c>
      <c r="I679" s="9" t="n"/>
      <c r="J679" s="9">
        <f>IF(G679="","",H679*I679)</f>
        <v/>
      </c>
      <c r="K679" s="8" t="inlineStr"/>
      <c r="L679" s="8" t="inlineStr"/>
      <c r="M679" s="10" t="inlineStr"/>
    </row>
    <row r="680">
      <c r="A680" s="4" t="n">
        <v>676</v>
      </c>
      <c r="B680" s="6" t="inlineStr">
        <is>
          <t>Склад электрики</t>
        </is>
      </c>
      <c r="C680" s="4" t="inlineStr">
        <is>
          <t>ЗИП</t>
        </is>
      </c>
      <c r="D680" s="5" t="inlineStr">
        <is>
          <t>РТИ ЦВС 10/40</t>
        </is>
      </c>
      <c r="E680" s="4" t="inlineStr"/>
      <c r="F680" s="4" t="n">
        <v>10</v>
      </c>
      <c r="G680" s="8" t="n"/>
      <c r="H680" s="4">
        <f>IF(G680="","",G680-F680)</f>
        <v/>
      </c>
      <c r="I680" s="9" t="n"/>
      <c r="J680" s="9">
        <f>IF(G680="","",H680*I680)</f>
        <v/>
      </c>
      <c r="K680" s="8" t="inlineStr"/>
      <c r="L680" s="8" t="inlineStr"/>
      <c r="M680" s="10" t="inlineStr"/>
    </row>
    <row r="681">
      <c r="A681" s="4" t="n">
        <v>677</v>
      </c>
      <c r="B681" s="6" t="inlineStr">
        <is>
          <t>Склад электрики</t>
        </is>
      </c>
      <c r="C681" s="4" t="inlineStr">
        <is>
          <t>ЗИП</t>
        </is>
      </c>
      <c r="D681" s="5" t="inlineStr">
        <is>
          <t>Распылитель 10*0,6*140</t>
        </is>
      </c>
      <c r="E681" s="4" t="inlineStr"/>
      <c r="F681" s="4" t="n">
        <v>7</v>
      </c>
      <c r="G681" s="8" t="n"/>
      <c r="H681" s="4">
        <f>IF(G681="","",G681-F681)</f>
        <v/>
      </c>
      <c r="I681" s="9" t="n"/>
      <c r="J681" s="9">
        <f>IF(G681="","",H681*I681)</f>
        <v/>
      </c>
      <c r="K681" s="8" t="inlineStr"/>
      <c r="L681" s="8" t="inlineStr"/>
      <c r="M681" s="10" t="inlineStr"/>
    </row>
    <row r="682">
      <c r="A682" s="4" t="n">
        <v>678</v>
      </c>
      <c r="B682" s="6" t="inlineStr">
        <is>
          <t>Склад электрики</t>
        </is>
      </c>
      <c r="C682" s="4" t="inlineStr">
        <is>
          <t>ЗИП</t>
        </is>
      </c>
      <c r="D682" s="5" t="inlineStr">
        <is>
          <t>Ремкомплект СЦ-1,5</t>
        </is>
      </c>
      <c r="E682" s="4" t="inlineStr"/>
      <c r="F682" s="4" t="n">
        <v>5</v>
      </c>
      <c r="G682" s="8" t="n"/>
      <c r="H682" s="4">
        <f>IF(G682="","",G682-F682)</f>
        <v/>
      </c>
      <c r="I682" s="9" t="n"/>
      <c r="J682" s="9">
        <f>IF(G682="","",H682*I682)</f>
        <v/>
      </c>
      <c r="K682" s="8" t="inlineStr"/>
      <c r="L682" s="8" t="inlineStr"/>
      <c r="M682" s="10" t="inlineStr"/>
    </row>
    <row r="683">
      <c r="A683" s="4" t="n">
        <v>679</v>
      </c>
      <c r="B683" s="6" t="inlineStr">
        <is>
          <t>Склад электрики</t>
        </is>
      </c>
      <c r="C683" s="4" t="inlineStr">
        <is>
          <t>ЗИП</t>
        </is>
      </c>
      <c r="D683" s="5" t="inlineStr">
        <is>
          <t>Ремкомплект СЦ-1,5 ( не полный комплект)</t>
        </is>
      </c>
      <c r="E683" s="4" t="inlineStr"/>
      <c r="F683" s="4" t="n">
        <v>1</v>
      </c>
      <c r="G683" s="8" t="n"/>
      <c r="H683" s="4">
        <f>IF(G683="","",G683-F683)</f>
        <v/>
      </c>
      <c r="I683" s="9" t="n"/>
      <c r="J683" s="9">
        <f>IF(G683="","",H683*I683)</f>
        <v/>
      </c>
      <c r="K683" s="8" t="inlineStr"/>
      <c r="L683" s="8" t="inlineStr"/>
      <c r="M683" s="10" t="inlineStr"/>
    </row>
    <row r="684">
      <c r="A684" s="4" t="n">
        <v>680</v>
      </c>
      <c r="B684" s="6" t="inlineStr">
        <is>
          <t>Склад электрики</t>
        </is>
      </c>
      <c r="C684" s="4" t="inlineStr">
        <is>
          <t>ЗИП</t>
        </is>
      </c>
      <c r="D684" s="5" t="inlineStr">
        <is>
          <t>Ремкомплект СЦ-3</t>
        </is>
      </c>
      <c r="E684" s="4" t="inlineStr"/>
      <c r="F684" s="4" t="n">
        <v>10</v>
      </c>
      <c r="G684" s="8" t="n"/>
      <c r="H684" s="4">
        <f>IF(G684="","",G684-F684)</f>
        <v/>
      </c>
      <c r="I684" s="9" t="n"/>
      <c r="J684" s="9">
        <f>IF(G684="","",H684*I684)</f>
        <v/>
      </c>
      <c r="K684" s="8" t="inlineStr"/>
      <c r="L684" s="8" t="inlineStr"/>
      <c r="M684" s="10" t="inlineStr"/>
    </row>
    <row r="685">
      <c r="A685" s="4" t="n">
        <v>681</v>
      </c>
      <c r="B685" s="6" t="inlineStr">
        <is>
          <t>Склад электрики</t>
        </is>
      </c>
      <c r="C685" s="4" t="inlineStr">
        <is>
          <t>ЗИП</t>
        </is>
      </c>
      <c r="D685" s="5" t="inlineStr">
        <is>
          <t>Ролик толкателя</t>
        </is>
      </c>
      <c r="E685" s="4" t="inlineStr"/>
      <c r="F685" s="4" t="n">
        <v>4</v>
      </c>
      <c r="G685" s="8" t="n"/>
      <c r="H685" s="4">
        <f>IF(G685="","",G685-F685)</f>
        <v/>
      </c>
      <c r="I685" s="9" t="n"/>
      <c r="J685" s="9">
        <f>IF(G685="","",H685*I685)</f>
        <v/>
      </c>
      <c r="K685" s="8" t="inlineStr"/>
      <c r="L685" s="8" t="inlineStr"/>
      <c r="M685" s="10" t="inlineStr"/>
    </row>
    <row r="686">
      <c r="A686" s="4" t="n">
        <v>682</v>
      </c>
      <c r="B686" s="6" t="inlineStr">
        <is>
          <t>Склад электрики</t>
        </is>
      </c>
      <c r="C686" s="4" t="inlineStr">
        <is>
          <t>ЗИП</t>
        </is>
      </c>
      <c r="D686" s="5" t="inlineStr">
        <is>
          <t>Ротокап</t>
        </is>
      </c>
      <c r="E686" s="4" t="inlineStr"/>
      <c r="F686" s="4" t="n">
        <v>14</v>
      </c>
      <c r="G686" s="8" t="n"/>
      <c r="H686" s="4">
        <f>IF(G686="","",G686-F686)</f>
        <v/>
      </c>
      <c r="I686" s="9" t="n"/>
      <c r="J686" s="9">
        <f>IF(G686="","",H686*I686)</f>
        <v/>
      </c>
      <c r="K686" s="8" t="inlineStr"/>
      <c r="L686" s="8" t="inlineStr"/>
      <c r="M686" s="10" t="inlineStr"/>
    </row>
    <row r="687">
      <c r="A687" s="4" t="n">
        <v>683</v>
      </c>
      <c r="B687" s="6" t="inlineStr">
        <is>
          <t>Склад электрики</t>
        </is>
      </c>
      <c r="C687" s="4" t="inlineStr">
        <is>
          <t>ЗИП</t>
        </is>
      </c>
      <c r="D687" s="5" t="inlineStr">
        <is>
          <t>Седло VD26/20</t>
        </is>
      </c>
      <c r="E687" s="4" t="inlineStr"/>
      <c r="F687" s="4" t="n">
        <v>7</v>
      </c>
      <c r="G687" s="8" t="n"/>
      <c r="H687" s="4">
        <f>IF(G687="","",G687-F687)</f>
        <v/>
      </c>
      <c r="I687" s="9" t="n"/>
      <c r="J687" s="9">
        <f>IF(G687="","",H687*I687)</f>
        <v/>
      </c>
      <c r="K687" s="8" t="inlineStr"/>
      <c r="L687" s="8" t="inlineStr"/>
      <c r="M687" s="10" t="inlineStr"/>
    </row>
    <row r="688">
      <c r="A688" s="4" t="n">
        <v>684</v>
      </c>
      <c r="B688" s="6" t="inlineStr">
        <is>
          <t>Склад электрики</t>
        </is>
      </c>
      <c r="C688" s="4" t="inlineStr">
        <is>
          <t>ЗИП</t>
        </is>
      </c>
      <c r="D688" s="5" t="inlineStr">
        <is>
          <t>Седло впускного клапана</t>
        </is>
      </c>
      <c r="E688" s="4" t="inlineStr"/>
      <c r="F688" s="4" t="n">
        <v>1</v>
      </c>
      <c r="G688" s="8" t="n"/>
      <c r="H688" s="4">
        <f>IF(G688="","",G688-F688)</f>
        <v/>
      </c>
      <c r="I688" s="9" t="n"/>
      <c r="J688" s="9">
        <f>IF(G688="","",H688*I688)</f>
        <v/>
      </c>
      <c r="K688" s="8" t="inlineStr"/>
      <c r="L688" s="8" t="inlineStr"/>
      <c r="M688" s="10" t="inlineStr"/>
    </row>
    <row r="689">
      <c r="A689" s="4" t="n">
        <v>685</v>
      </c>
      <c r="B689" s="6" t="inlineStr">
        <is>
          <t>Склад электрики</t>
        </is>
      </c>
      <c r="C689" s="4" t="inlineStr">
        <is>
          <t>ЗИП</t>
        </is>
      </c>
      <c r="D689" s="5" t="inlineStr">
        <is>
          <t>Сухари</t>
        </is>
      </c>
      <c r="E689" s="4" t="inlineStr"/>
      <c r="F689" s="4" t="n">
        <v>44</v>
      </c>
      <c r="G689" s="8" t="n"/>
      <c r="H689" s="4">
        <f>IF(G689="","",G689-F689)</f>
        <v/>
      </c>
      <c r="I689" s="9" t="n"/>
      <c r="J689" s="9">
        <f>IF(G689="","",H689*I689)</f>
        <v/>
      </c>
      <c r="K689" s="8" t="inlineStr"/>
      <c r="L689" s="8" t="inlineStr"/>
      <c r="M689" s="10" t="inlineStr"/>
    </row>
    <row r="690">
      <c r="A690" s="4" t="n">
        <v>686</v>
      </c>
      <c r="B690" s="6" t="inlineStr">
        <is>
          <t>Склад электрики</t>
        </is>
      </c>
      <c r="C690" s="4" t="inlineStr">
        <is>
          <t>ЗИП</t>
        </is>
      </c>
      <c r="D690" s="5" t="inlineStr">
        <is>
          <t>Сухарь ваероукладчик на траловую лебедку</t>
        </is>
      </c>
      <c r="E690" s="4" t="inlineStr"/>
      <c r="F690" s="4" t="n">
        <v>1</v>
      </c>
      <c r="G690" s="8" t="n"/>
      <c r="H690" s="4">
        <f>IF(G690="","",G690-F690)</f>
        <v/>
      </c>
      <c r="I690" s="9" t="n"/>
      <c r="J690" s="9">
        <f>IF(G690="","",H690*I690)</f>
        <v/>
      </c>
      <c r="K690" s="8" t="inlineStr"/>
      <c r="L690" s="8" t="inlineStr"/>
      <c r="M690" s="10" t="inlineStr"/>
    </row>
    <row r="691">
      <c r="A691" s="4" t="n">
        <v>687</v>
      </c>
      <c r="B691" s="6" t="inlineStr">
        <is>
          <t>Склад электрики</t>
        </is>
      </c>
      <c r="C691" s="4" t="inlineStr">
        <is>
          <t>ЗИП</t>
        </is>
      </c>
      <c r="D691" s="5" t="inlineStr">
        <is>
          <t>Тарелка пружины клапана</t>
        </is>
      </c>
      <c r="E691" s="4" t="inlineStr"/>
      <c r="F691" s="4" t="n">
        <v>1</v>
      </c>
      <c r="G691" s="8" t="n"/>
      <c r="H691" s="4">
        <f>IF(G691="","",G691-F691)</f>
        <v/>
      </c>
      <c r="I691" s="9" t="n"/>
      <c r="J691" s="9">
        <f>IF(G691="","",H691*I691)</f>
        <v/>
      </c>
      <c r="K691" s="8" t="inlineStr"/>
      <c r="L691" s="8" t="inlineStr"/>
      <c r="M691" s="10" t="inlineStr"/>
    </row>
    <row r="692">
      <c r="A692" s="4" t="n">
        <v>688</v>
      </c>
      <c r="B692" s="6" t="inlineStr">
        <is>
          <t>Склад электрики</t>
        </is>
      </c>
      <c r="C692" s="4" t="inlineStr">
        <is>
          <t>ЗИП</t>
        </is>
      </c>
      <c r="D692" s="5" t="inlineStr">
        <is>
          <t>Толкатель (пята) 602-061-108</t>
        </is>
      </c>
      <c r="E692" s="4" t="inlineStr"/>
      <c r="F692" s="4" t="n">
        <v>47</v>
      </c>
      <c r="G692" s="8" t="n"/>
      <c r="H692" s="4">
        <f>IF(G692="","",G692-F692)</f>
        <v/>
      </c>
      <c r="I692" s="9" t="n"/>
      <c r="J692" s="9">
        <f>IF(G692="","",H692*I692)</f>
        <v/>
      </c>
      <c r="K692" s="8" t="inlineStr"/>
      <c r="L692" s="8" t="inlineStr"/>
      <c r="M692" s="10" t="inlineStr"/>
    </row>
    <row r="693">
      <c r="A693" s="4" t="n">
        <v>689</v>
      </c>
      <c r="B693" s="6" t="inlineStr">
        <is>
          <t>Склад электрики</t>
        </is>
      </c>
      <c r="C693" s="4" t="inlineStr">
        <is>
          <t>ЗИП</t>
        </is>
      </c>
      <c r="D693" s="5" t="inlineStr">
        <is>
          <t>Тросик VD26/20</t>
        </is>
      </c>
      <c r="E693" s="4" t="inlineStr"/>
      <c r="F693" s="4" t="n">
        <v>1</v>
      </c>
      <c r="G693" s="8" t="n"/>
      <c r="H693" s="4">
        <f>IF(G693="","",G693-F693)</f>
        <v/>
      </c>
      <c r="I693" s="9" t="n"/>
      <c r="J693" s="9">
        <f>IF(G693="","",H693*I693)</f>
        <v/>
      </c>
      <c r="K693" s="8" t="inlineStr"/>
      <c r="L693" s="8" t="inlineStr"/>
      <c r="M693" s="10" t="inlineStr"/>
    </row>
    <row r="694">
      <c r="A694" s="4" t="n">
        <v>690</v>
      </c>
      <c r="B694" s="6" t="inlineStr">
        <is>
          <t>Склад электрики</t>
        </is>
      </c>
      <c r="C694" s="4" t="inlineStr">
        <is>
          <t>ЗИП</t>
        </is>
      </c>
      <c r="D694" s="5" t="inlineStr">
        <is>
          <t>Трубка топливная ВД</t>
        </is>
      </c>
      <c r="E694" s="4" t="inlineStr"/>
      <c r="F694" s="4" t="n">
        <v>3</v>
      </c>
      <c r="G694" s="8" t="n"/>
      <c r="H694" s="4">
        <f>IF(G694="","",G694-F694)</f>
        <v/>
      </c>
      <c r="I694" s="9" t="n"/>
      <c r="J694" s="9">
        <f>IF(G694="","",H694*I694)</f>
        <v/>
      </c>
      <c r="K694" s="8" t="inlineStr"/>
      <c r="L694" s="8" t="inlineStr"/>
      <c r="M694" s="10" t="inlineStr"/>
    </row>
    <row r="695">
      <c r="A695" s="4" t="n">
        <v>691</v>
      </c>
      <c r="B695" s="6" t="inlineStr">
        <is>
          <t>Склад электрики</t>
        </is>
      </c>
      <c r="C695" s="4" t="inlineStr">
        <is>
          <t>ЗИП</t>
        </is>
      </c>
      <c r="D695" s="5" t="inlineStr">
        <is>
          <t>Ударник длинный</t>
        </is>
      </c>
      <c r="E695" s="4" t="inlineStr"/>
      <c r="F695" s="4" t="n">
        <v>11</v>
      </c>
      <c r="G695" s="8" t="n"/>
      <c r="H695" s="4">
        <f>IF(G695="","",G695-F695)</f>
        <v/>
      </c>
      <c r="I695" s="9" t="n"/>
      <c r="J695" s="9">
        <f>IF(G695="","",H695*I695)</f>
        <v/>
      </c>
      <c r="K695" s="8" t="inlineStr"/>
      <c r="L695" s="8" t="inlineStr"/>
      <c r="M695" s="10" t="inlineStr"/>
    </row>
    <row r="696">
      <c r="A696" s="4" t="n">
        <v>692</v>
      </c>
      <c r="B696" s="6" t="inlineStr">
        <is>
          <t>Склад электрики</t>
        </is>
      </c>
      <c r="C696" s="4" t="inlineStr">
        <is>
          <t>ЗИП</t>
        </is>
      </c>
      <c r="D696" s="5" t="inlineStr">
        <is>
          <t>Ударник короткий</t>
        </is>
      </c>
      <c r="E696" s="4" t="inlineStr"/>
      <c r="F696" s="4" t="n">
        <v>3</v>
      </c>
      <c r="G696" s="8" t="n"/>
      <c r="H696" s="4">
        <f>IF(G696="","",G696-F696)</f>
        <v/>
      </c>
      <c r="I696" s="9" t="n"/>
      <c r="J696" s="9">
        <f>IF(G696="","",H696*I696)</f>
        <v/>
      </c>
      <c r="K696" s="8" t="inlineStr"/>
      <c r="L696" s="8" t="inlineStr"/>
      <c r="M696" s="10" t="inlineStr"/>
    </row>
    <row r="697">
      <c r="A697" s="4" t="n">
        <v>693</v>
      </c>
      <c r="B697" s="6" t="inlineStr">
        <is>
          <t>Склад электрики</t>
        </is>
      </c>
      <c r="C697" s="4" t="inlineStr">
        <is>
          <t>ЗИП</t>
        </is>
      </c>
      <c r="D697" s="5" t="inlineStr">
        <is>
          <t>Фильтр дидероновый VD26/20</t>
        </is>
      </c>
      <c r="E697" s="4" t="inlineStr"/>
      <c r="F697" s="4" t="n">
        <v>1</v>
      </c>
      <c r="G697" s="8" t="n"/>
      <c r="H697" s="4">
        <f>IF(G697="","",G697-F697)</f>
        <v/>
      </c>
      <c r="I697" s="9" t="n"/>
      <c r="J697" s="9">
        <f>IF(G697="","",H697*I697)</f>
        <v/>
      </c>
      <c r="K697" s="8" t="inlineStr"/>
      <c r="L697" s="8" t="inlineStr"/>
      <c r="M697" s="10" t="inlineStr"/>
    </row>
    <row r="698">
      <c r="A698" s="4" t="n">
        <v>694</v>
      </c>
      <c r="B698" s="6" t="inlineStr">
        <is>
          <t>Склад электрики</t>
        </is>
      </c>
      <c r="C698" s="4" t="inlineStr">
        <is>
          <t>ЗИП</t>
        </is>
      </c>
      <c r="D698" s="5" t="inlineStr">
        <is>
          <t>Фланец привода VD26/20</t>
        </is>
      </c>
      <c r="E698" s="4" t="inlineStr"/>
      <c r="F698" s="4" t="n">
        <v>2</v>
      </c>
      <c r="G698" s="8" t="n"/>
      <c r="H698" s="4">
        <f>IF(G698="","",G698-F698)</f>
        <v/>
      </c>
      <c r="I698" s="9" t="n"/>
      <c r="J698" s="9">
        <f>IF(G698="","",H698*I698)</f>
        <v/>
      </c>
      <c r="K698" s="8" t="inlineStr"/>
      <c r="L698" s="8" t="inlineStr"/>
      <c r="M698" s="10" t="inlineStr"/>
    </row>
    <row r="699">
      <c r="A699" s="4" t="n">
        <v>695</v>
      </c>
      <c r="B699" s="6" t="inlineStr">
        <is>
          <t>Склад электрики</t>
        </is>
      </c>
      <c r="C699" s="4" t="inlineStr">
        <is>
          <t>ЗИП</t>
        </is>
      </c>
      <c r="D699" s="5" t="inlineStr">
        <is>
          <t>Фреон (бутылочка)</t>
        </is>
      </c>
      <c r="E699" s="4" t="inlineStr"/>
      <c r="F699" s="4" t="n">
        <v>1</v>
      </c>
      <c r="G699" s="8" t="n"/>
      <c r="H699" s="4">
        <f>IF(G699="","",G699-F699)</f>
        <v/>
      </c>
      <c r="I699" s="9" t="n"/>
      <c r="J699" s="9">
        <f>IF(G699="","",H699*I699)</f>
        <v/>
      </c>
      <c r="K699" s="8" t="inlineStr"/>
      <c r="L699" s="8" t="inlineStr"/>
      <c r="M699" s="10" t="inlineStr"/>
    </row>
    <row r="700">
      <c r="A700" s="4" t="n">
        <v>696</v>
      </c>
      <c r="B700" s="6" t="inlineStr">
        <is>
          <t>Склад электрики</t>
        </is>
      </c>
      <c r="C700" s="4" t="inlineStr">
        <is>
          <t>ЗИП</t>
        </is>
      </c>
      <c r="D700" s="5" t="inlineStr">
        <is>
          <t>Шарнир длинный 602-061-222</t>
        </is>
      </c>
      <c r="E700" s="4" t="inlineStr"/>
      <c r="F700" s="4" t="n">
        <v>6</v>
      </c>
      <c r="G700" s="8" t="n"/>
      <c r="H700" s="4">
        <f>IF(G700="","",G700-F700)</f>
        <v/>
      </c>
      <c r="I700" s="9" t="n"/>
      <c r="J700" s="9">
        <f>IF(G700="","",H700*I700)</f>
        <v/>
      </c>
      <c r="K700" s="8" t="inlineStr"/>
      <c r="L700" s="8" t="inlineStr"/>
      <c r="M700" s="10" t="inlineStr"/>
    </row>
    <row r="701">
      <c r="A701" s="4" t="n">
        <v>697</v>
      </c>
      <c r="B701" s="6" t="inlineStr">
        <is>
          <t>Склад электрики</t>
        </is>
      </c>
      <c r="C701" s="4" t="inlineStr">
        <is>
          <t>ЗИП</t>
        </is>
      </c>
      <c r="D701" s="5" t="inlineStr">
        <is>
          <t>Шарнир короткий 602-059-103</t>
        </is>
      </c>
      <c r="E701" s="4" t="inlineStr"/>
      <c r="F701" s="4" t="n">
        <v>11</v>
      </c>
      <c r="G701" s="8" t="n"/>
      <c r="H701" s="4">
        <f>IF(G701="","",G701-F701)</f>
        <v/>
      </c>
      <c r="I701" s="9" t="n"/>
      <c r="J701" s="9">
        <f>IF(G701="","",H701*I701)</f>
        <v/>
      </c>
      <c r="K701" s="8" t="inlineStr"/>
      <c r="L701" s="8" t="inlineStr"/>
      <c r="M701" s="10" t="inlineStr"/>
    </row>
    <row r="702">
      <c r="A702" s="4" t="n">
        <v>698</v>
      </c>
      <c r="B702" s="6" t="inlineStr">
        <is>
          <t>Склад электрики</t>
        </is>
      </c>
      <c r="C702" s="4" t="inlineStr">
        <is>
          <t>ЗИП</t>
        </is>
      </c>
      <c r="D702" s="5" t="inlineStr">
        <is>
          <t>Шатун VD26/20</t>
        </is>
      </c>
      <c r="E702" s="4" t="inlineStr"/>
      <c r="F702" s="4" t="n">
        <v>6</v>
      </c>
      <c r="G702" s="8" t="n"/>
      <c r="H702" s="4">
        <f>IF(G702="","",G702-F702)</f>
        <v/>
      </c>
      <c r="I702" s="9" t="n"/>
      <c r="J702" s="9">
        <f>IF(G702="","",H702*I702)</f>
        <v/>
      </c>
      <c r="K702" s="8" t="inlineStr"/>
      <c r="L702" s="8" t="inlineStr"/>
      <c r="M702" s="10" t="inlineStr"/>
    </row>
    <row r="703">
      <c r="A703" s="4" t="n">
        <v>699</v>
      </c>
      <c r="B703" s="6" t="inlineStr">
        <is>
          <t>Склад электрики</t>
        </is>
      </c>
      <c r="C703" s="4" t="inlineStr">
        <is>
          <t>ЗИП</t>
        </is>
      </c>
      <c r="D703" s="5" t="inlineStr">
        <is>
          <t>Шестерня демпферная</t>
        </is>
      </c>
      <c r="E703" s="4" t="inlineStr"/>
      <c r="F703" s="4" t="n">
        <v>2</v>
      </c>
      <c r="G703" s="8" t="n"/>
      <c r="H703" s="4">
        <f>IF(G703="","",G703-F703)</f>
        <v/>
      </c>
      <c r="I703" s="9" t="n"/>
      <c r="J703" s="9">
        <f>IF(G703="","",H703*I703)</f>
        <v/>
      </c>
      <c r="K703" s="8" t="inlineStr"/>
      <c r="L703" s="8" t="inlineStr"/>
      <c r="M703" s="10" t="inlineStr"/>
    </row>
    <row r="704">
      <c r="A704" s="4" t="n">
        <v>700</v>
      </c>
      <c r="B704" s="6" t="inlineStr">
        <is>
          <t>Склад электрики</t>
        </is>
      </c>
      <c r="C704" s="4" t="inlineStr">
        <is>
          <t>ЗИП</t>
        </is>
      </c>
      <c r="D704" s="5" t="inlineStr">
        <is>
          <t>Шестерня импортная S2010-0810-0101</t>
        </is>
      </c>
      <c r="E704" s="4" t="inlineStr"/>
      <c r="F704" s="4" t="n">
        <v>3</v>
      </c>
      <c r="G704" s="8" t="n"/>
      <c r="H704" s="4">
        <f>IF(G704="","",G704-F704)</f>
        <v/>
      </c>
      <c r="I704" s="9" t="n"/>
      <c r="J704" s="9">
        <f>IF(G704="","",H704*I704)</f>
        <v/>
      </c>
      <c r="K704" s="8" t="inlineStr"/>
      <c r="L704" s="8" t="inlineStr"/>
      <c r="M704" s="10" t="inlineStr"/>
    </row>
    <row r="705">
      <c r="A705" s="4" t="n">
        <v>701</v>
      </c>
      <c r="B705" s="6" t="inlineStr">
        <is>
          <t>Склад электрики</t>
        </is>
      </c>
      <c r="C705" s="4" t="inlineStr">
        <is>
          <t>ЗИП</t>
        </is>
      </c>
      <c r="D705" s="5" t="inlineStr">
        <is>
          <t>Штанга</t>
        </is>
      </c>
      <c r="E705" s="4" t="inlineStr"/>
      <c r="F705" s="4" t="n">
        <v>2</v>
      </c>
      <c r="G705" s="8" t="n"/>
      <c r="H705" s="4">
        <f>IF(G705="","",G705-F705)</f>
        <v/>
      </c>
      <c r="I705" s="9" t="n"/>
      <c r="J705" s="9">
        <f>IF(G705="","",H705*I705)</f>
        <v/>
      </c>
      <c r="K705" s="8" t="inlineStr"/>
      <c r="L705" s="8" t="inlineStr"/>
      <c r="M705" s="10" t="inlineStr"/>
    </row>
    <row r="706">
      <c r="A706" s="4" t="n">
        <v>702</v>
      </c>
      <c r="B706" s="6" t="inlineStr">
        <is>
          <t>Склад электрики</t>
        </is>
      </c>
      <c r="C706" s="4" t="inlineStr">
        <is>
          <t>ЗИП</t>
        </is>
      </c>
      <c r="D706" s="5" t="inlineStr">
        <is>
          <t>Штанга VD26/20</t>
        </is>
      </c>
      <c r="E706" s="4" t="inlineStr"/>
      <c r="F706" s="4" t="n">
        <v>3</v>
      </c>
      <c r="G706" s="8" t="n"/>
      <c r="H706" s="4">
        <f>IF(G706="","",G706-F706)</f>
        <v/>
      </c>
      <c r="I706" s="9" t="n"/>
      <c r="J706" s="9">
        <f>IF(G706="","",H706*I706)</f>
        <v/>
      </c>
      <c r="K706" s="8" t="inlineStr"/>
      <c r="L706" s="8" t="inlineStr"/>
      <c r="M706" s="10" t="inlineStr"/>
    </row>
    <row r="707">
      <c r="A707" s="4" t="n">
        <v>703</v>
      </c>
      <c r="B707" s="6" t="inlineStr">
        <is>
          <t>Фойе</t>
        </is>
      </c>
      <c r="C707" s="4" t="inlineStr"/>
      <c r="D707" s="5" t="inlineStr">
        <is>
          <t>Выключатель возбуждения на генератор (автомат)</t>
        </is>
      </c>
      <c r="E707" s="4" t="inlineStr"/>
      <c r="F707" s="4" t="n">
        <v>4</v>
      </c>
      <c r="G707" s="8" t="n"/>
      <c r="H707" s="4">
        <f>IF(G707="","",G707-F707)</f>
        <v/>
      </c>
      <c r="I707" s="9" t="n">
        <v>1000</v>
      </c>
      <c r="J707" s="9">
        <f>IF(G707="","",H707*I707)</f>
        <v/>
      </c>
      <c r="K707" s="8" t="inlineStr"/>
      <c r="L707" s="8" t="inlineStr"/>
      <c r="M707" s="10" t="inlineStr"/>
    </row>
    <row r="708">
      <c r="A708" s="4" t="n">
        <v>704</v>
      </c>
      <c r="B708" s="6" t="inlineStr">
        <is>
          <t>Фойе</t>
        </is>
      </c>
      <c r="C708" s="4" t="inlineStr"/>
      <c r="D708" s="5" t="inlineStr">
        <is>
          <t>Плита камбузная ПКЭ-50 (разобранная) мастерская б/у</t>
        </is>
      </c>
      <c r="E708" s="4" t="inlineStr"/>
      <c r="F708" s="4" t="n">
        <v>1</v>
      </c>
      <c r="G708" s="8" t="n"/>
      <c r="H708" s="4">
        <f>IF(G708="","",G708-F708)</f>
        <v/>
      </c>
      <c r="I708" s="9" t="n">
        <v>250000</v>
      </c>
      <c r="J708" s="9">
        <f>IF(G708="","",H708*I708)</f>
        <v/>
      </c>
      <c r="K708" s="8" t="inlineStr"/>
      <c r="L708" s="8" t="inlineStr"/>
      <c r="M708" s="10" t="inlineStr"/>
    </row>
    <row r="709">
      <c r="A709" s="4" t="n">
        <v>705</v>
      </c>
      <c r="B709" s="6" t="inlineStr">
        <is>
          <t>Фойе</t>
        </is>
      </c>
      <c r="C709" s="4" t="inlineStr"/>
      <c r="D709" s="5" t="inlineStr">
        <is>
          <t>Плита камбузная ПКЭ-50 +щит+ограничитель (мастерская) б/у</t>
        </is>
      </c>
      <c r="E709" s="4" t="inlineStr"/>
      <c r="F709" s="4" t="n">
        <v>1</v>
      </c>
      <c r="G709" s="8" t="n"/>
      <c r="H709" s="4">
        <f>IF(G709="","",G709-F709)</f>
        <v/>
      </c>
      <c r="I709" s="9" t="n">
        <v>250000</v>
      </c>
      <c r="J709" s="9">
        <f>IF(G709="","",H709*I709)</f>
        <v/>
      </c>
      <c r="K709" s="8" t="inlineStr"/>
      <c r="L709" s="8" t="inlineStr"/>
      <c r="M709" s="10" t="inlineStr"/>
    </row>
    <row r="710">
      <c r="A710" s="4" t="n">
        <v>706</v>
      </c>
      <c r="B710" s="6" t="inlineStr">
        <is>
          <t>Фойе</t>
        </is>
      </c>
      <c r="C710" s="4" t="inlineStr"/>
      <c r="D710" s="5" t="inlineStr">
        <is>
          <t>Плита камбузная ПКЭ-50 б/у</t>
        </is>
      </c>
      <c r="E710" s="4" t="inlineStr"/>
      <c r="F710" s="4" t="n">
        <v>1</v>
      </c>
      <c r="G710" s="8" t="n"/>
      <c r="H710" s="4">
        <f>IF(G710="","",G710-F710)</f>
        <v/>
      </c>
      <c r="I710" s="9" t="n">
        <v>250000</v>
      </c>
      <c r="J710" s="9">
        <f>IF(G710="","",H710*I710)</f>
        <v/>
      </c>
      <c r="K710" s="8" t="inlineStr"/>
      <c r="L710" s="8" t="inlineStr"/>
      <c r="M710" s="10" t="inlineStr"/>
    </row>
    <row r="711">
      <c r="A711" s="4" t="n">
        <v>707</v>
      </c>
      <c r="B711" s="6" t="inlineStr">
        <is>
          <t>Фойе</t>
        </is>
      </c>
      <c r="C711" s="4" t="inlineStr"/>
      <c r="D711" s="5" t="inlineStr">
        <is>
          <t>Решетка СС 373</t>
        </is>
      </c>
      <c r="E711" s="4" t="inlineStr"/>
      <c r="F711" s="4" t="n">
        <v>4</v>
      </c>
      <c r="G711" s="8" t="n"/>
      <c r="H711" s="4">
        <f>IF(G711="","",G711-F711)</f>
        <v/>
      </c>
      <c r="I711" s="9" t="n">
        <v>2000</v>
      </c>
      <c r="J711" s="9">
        <f>IF(G711="","",H711*I711)</f>
        <v/>
      </c>
      <c r="K711" s="8" t="inlineStr"/>
      <c r="L711" s="8" t="inlineStr"/>
      <c r="M711" s="10" t="inlineStr"/>
    </row>
    <row r="712">
      <c r="A712" s="4" t="n">
        <v>708</v>
      </c>
      <c r="B712" s="6" t="inlineStr">
        <is>
          <t>Фойе</t>
        </is>
      </c>
      <c r="C712" s="4" t="inlineStr"/>
      <c r="D712" s="5" t="inlineStr">
        <is>
          <t>Решетка СС373</t>
        </is>
      </c>
      <c r="E712" s="4" t="inlineStr"/>
      <c r="F712" s="4" t="n">
        <v>4</v>
      </c>
      <c r="G712" s="8" t="n"/>
      <c r="H712" s="4">
        <f>IF(G712="","",G712-F712)</f>
        <v/>
      </c>
      <c r="I712" s="9" t="n">
        <v>2000</v>
      </c>
      <c r="J712" s="9">
        <f>IF(G712="","",H712*I712)</f>
        <v/>
      </c>
      <c r="K712" s="8" t="inlineStr"/>
      <c r="L712" s="8" t="inlineStr"/>
      <c r="M712" s="10" t="inlineStr"/>
    </row>
    <row r="713">
      <c r="A713" s="4" t="n">
        <v>709</v>
      </c>
      <c r="B713" s="6" t="inlineStr">
        <is>
          <t>Фойе</t>
        </is>
      </c>
      <c r="C713" s="4" t="inlineStr"/>
      <c r="D713" s="5" t="inlineStr">
        <is>
          <t>Светильник СС-410 б/у</t>
        </is>
      </c>
      <c r="E713" s="4" t="inlineStr"/>
      <c r="F713" s="4" t="n">
        <v>10</v>
      </c>
      <c r="G713" s="8" t="n"/>
      <c r="H713" s="4">
        <f>IF(G713="","",G713-F713)</f>
        <v/>
      </c>
      <c r="I713" s="9" t="n">
        <v>18000</v>
      </c>
      <c r="J713" s="9">
        <f>IF(G713="","",H713*I713)</f>
        <v/>
      </c>
      <c r="K713" s="8" t="inlineStr"/>
      <c r="L713" s="8" t="inlineStr"/>
      <c r="M713" s="10" t="inlineStr"/>
    </row>
    <row r="714">
      <c r="A714" s="4" t="n">
        <v>710</v>
      </c>
      <c r="B714" s="6" t="inlineStr">
        <is>
          <t>Фойе</t>
        </is>
      </c>
      <c r="C714" s="4" t="inlineStr"/>
      <c r="D714" s="5" t="inlineStr">
        <is>
          <t>Светильник СС-839 (дно)</t>
        </is>
      </c>
      <c r="E714" s="4" t="inlineStr"/>
      <c r="F714" s="4" t="n">
        <v>54</v>
      </c>
      <c r="G714" s="8" t="n"/>
      <c r="H714" s="4">
        <f>IF(G714="","",G714-F714)</f>
        <v/>
      </c>
      <c r="I714" s="9" t="n">
        <v>500</v>
      </c>
      <c r="J714" s="9">
        <f>IF(G714="","",H714*I714)</f>
        <v/>
      </c>
      <c r="K714" s="8" t="inlineStr"/>
      <c r="L714" s="8" t="inlineStr"/>
      <c r="M714" s="10" t="inlineStr"/>
    </row>
    <row r="715">
      <c r="A715" s="4" t="n">
        <v>711</v>
      </c>
      <c r="B715" s="6" t="inlineStr">
        <is>
          <t>Фойе</t>
        </is>
      </c>
      <c r="C715" s="4" t="inlineStr"/>
      <c r="D715" s="5" t="inlineStr">
        <is>
          <t>Светильник СС328 (ок. стены)</t>
        </is>
      </c>
      <c r="E715" s="4" t="inlineStr"/>
      <c r="F715" s="4" t="n">
        <v>76</v>
      </c>
      <c r="G715" s="8" t="n"/>
      <c r="H715" s="4">
        <f>IF(G715="","",G715-F715)</f>
        <v/>
      </c>
      <c r="I715" s="9" t="n">
        <v>2000</v>
      </c>
      <c r="J715" s="9">
        <f>IF(G715="","",H715*I715)</f>
        <v/>
      </c>
      <c r="K715" s="8" t="inlineStr"/>
      <c r="L715" s="8" t="inlineStr"/>
      <c r="M715" s="10" t="inlineStr"/>
    </row>
    <row r="716">
      <c r="A716" s="4" t="n">
        <v>712</v>
      </c>
      <c r="B716" s="6" t="inlineStr">
        <is>
          <t>Фойе</t>
        </is>
      </c>
      <c r="C716" s="4" t="inlineStr"/>
      <c r="D716" s="5" t="inlineStr">
        <is>
          <t>Светильник СС328 127V без амортизаторов (китай) 2-й приход</t>
        </is>
      </c>
      <c r="E716" s="4" t="inlineStr"/>
      <c r="F716" s="4" t="n">
        <v>715</v>
      </c>
      <c r="G716" s="8" t="n"/>
      <c r="H716" s="4">
        <f>IF(G716="","",G716-F716)</f>
        <v/>
      </c>
      <c r="I716" s="9" t="n">
        <v>1533</v>
      </c>
      <c r="J716" s="9">
        <f>IF(G716="","",H716*I716)</f>
        <v/>
      </c>
      <c r="K716" s="8" t="inlineStr"/>
      <c r="L716" s="8" t="inlineStr"/>
      <c r="M716" s="10" t="inlineStr"/>
    </row>
    <row r="717">
      <c r="A717" s="4" t="n">
        <v>713</v>
      </c>
      <c r="B717" s="6" t="inlineStr">
        <is>
          <t>Фойе</t>
        </is>
      </c>
      <c r="C717" s="4" t="inlineStr"/>
      <c r="D717" s="5" t="inlineStr">
        <is>
          <t>Светильник СС328 220V без амортизаторов (китай) 2-й приход</t>
        </is>
      </c>
      <c r="E717" s="4" t="inlineStr"/>
      <c r="F717" s="4" t="n">
        <v>1857</v>
      </c>
      <c r="G717" s="8" t="n"/>
      <c r="H717" s="4">
        <f>IF(G717="","",G717-F717)</f>
        <v/>
      </c>
      <c r="I717" s="9" t="n">
        <v>1533</v>
      </c>
      <c r="J717" s="9">
        <f>IF(G717="","",H717*I717)</f>
        <v/>
      </c>
      <c r="K717" s="8" t="inlineStr"/>
      <c r="L717" s="8" t="inlineStr"/>
      <c r="M717" s="10" t="inlineStr"/>
    </row>
    <row r="718">
      <c r="A718" s="4" t="n">
        <v>714</v>
      </c>
      <c r="B718" s="6" t="inlineStr">
        <is>
          <t>Фойе</t>
        </is>
      </c>
      <c r="C718" s="4" t="inlineStr"/>
      <c r="D718" s="5" t="inlineStr">
        <is>
          <t>Светильник СС328 без амортизаторов (китай) 1-й приход</t>
        </is>
      </c>
      <c r="E718" s="4" t="inlineStr"/>
      <c r="F718" s="4" t="n">
        <v>50</v>
      </c>
      <c r="G718" s="8" t="n"/>
      <c r="H718" s="4">
        <f>IF(G718="","",G718-F718)</f>
        <v/>
      </c>
      <c r="I718" s="9" t="n">
        <v>1533</v>
      </c>
      <c r="J718" s="9">
        <f>IF(G718="","",H718*I718)</f>
        <v/>
      </c>
      <c r="K718" s="8" t="inlineStr"/>
      <c r="L718" s="8" t="inlineStr"/>
      <c r="M718" s="10" t="inlineStr"/>
    </row>
    <row r="719">
      <c r="A719" s="4" t="n">
        <v>715</v>
      </c>
      <c r="B719" s="6" t="inlineStr">
        <is>
          <t>Фойе</t>
        </is>
      </c>
      <c r="C719" s="4" t="inlineStr"/>
      <c r="D719" s="5" t="inlineStr">
        <is>
          <t>Светильник СС328 с амортизаторами (китай) 1-й приход</t>
        </is>
      </c>
      <c r="E719" s="4" t="inlineStr"/>
      <c r="F719" s="4" t="n">
        <v>967</v>
      </c>
      <c r="G719" s="8" t="n"/>
      <c r="H719" s="4">
        <f>IF(G719="","",G719-F719)</f>
        <v/>
      </c>
      <c r="I719" s="9" t="n">
        <v>1600</v>
      </c>
      <c r="J719" s="9">
        <f>IF(G719="","",H719*I719)</f>
        <v/>
      </c>
      <c r="K719" s="8" t="inlineStr"/>
      <c r="L719" s="8" t="inlineStr"/>
      <c r="M719" s="10" t="inlineStr"/>
    </row>
    <row r="720">
      <c r="A720" s="4" t="n">
        <v>716</v>
      </c>
      <c r="B720" s="6" t="inlineStr">
        <is>
          <t>Фойе</t>
        </is>
      </c>
      <c r="C720" s="4" t="inlineStr"/>
      <c r="D720" s="5" t="inlineStr">
        <is>
          <t>Светильник СС373 в сборе</t>
        </is>
      </c>
      <c r="E720" s="4" t="inlineStr"/>
      <c r="F720" s="4" t="n">
        <v>21</v>
      </c>
      <c r="G720" s="8" t="n"/>
      <c r="H720" s="4">
        <f>IF(G720="","",G720-F720)</f>
        <v/>
      </c>
      <c r="I720" s="9" t="n">
        <v>5000</v>
      </c>
      <c r="J720" s="9">
        <f>IF(G720="","",H720*I720)</f>
        <v/>
      </c>
      <c r="K720" s="8" t="inlineStr"/>
      <c r="L720" s="8" t="inlineStr"/>
      <c r="M720" s="10" t="inlineStr"/>
    </row>
    <row r="721">
      <c r="A721" s="4" t="n">
        <v>717</v>
      </c>
      <c r="B721" s="6" t="inlineStr">
        <is>
          <t>Фойе</t>
        </is>
      </c>
      <c r="C721" s="4" t="inlineStr"/>
      <c r="D721" s="5" t="inlineStr">
        <is>
          <t>Сепаратор СЦ -3 с двигателем б/у</t>
        </is>
      </c>
      <c r="E721" s="4" t="inlineStr"/>
      <c r="F721" s="4" t="n">
        <v>1</v>
      </c>
      <c r="G721" s="8" t="n"/>
      <c r="H721" s="4">
        <f>IF(G721="","",G721-F721)</f>
        <v/>
      </c>
      <c r="I721" s="9" t="n">
        <v>650000</v>
      </c>
      <c r="J721" s="9">
        <f>IF(G721="","",H721*I721)</f>
        <v/>
      </c>
      <c r="K721" s="8" t="inlineStr"/>
      <c r="L721" s="8" t="inlineStr"/>
      <c r="M721" s="10" t="inlineStr"/>
    </row>
    <row r="722">
      <c r="A722" s="4" t="n">
        <v>718</v>
      </c>
      <c r="B722" s="6" t="inlineStr">
        <is>
          <t>Фойе</t>
        </is>
      </c>
      <c r="C722" s="4" t="inlineStr"/>
      <c r="D722" s="5" t="inlineStr">
        <is>
          <t>Сепаратор СЦ-1,5 в разборе б/у</t>
        </is>
      </c>
      <c r="E722" s="4" t="inlineStr"/>
      <c r="F722" s="4" t="n">
        <v>2</v>
      </c>
      <c r="G722" s="8" t="n"/>
      <c r="H722" s="4">
        <f>IF(G722="","",G722-F722)</f>
        <v/>
      </c>
      <c r="I722" s="9" t="n">
        <v>300000</v>
      </c>
      <c r="J722" s="9">
        <f>IF(G722="","",H722*I722)</f>
        <v/>
      </c>
      <c r="K722" s="8" t="inlineStr"/>
      <c r="L722" s="8" t="inlineStr"/>
      <c r="M722" s="10" t="inlineStr"/>
    </row>
    <row r="723">
      <c r="A723" s="4" t="n">
        <v>719</v>
      </c>
      <c r="B723" s="6" t="inlineStr">
        <is>
          <t>Фойе</t>
        </is>
      </c>
      <c r="C723" s="4" t="inlineStr"/>
      <c r="D723" s="5" t="inlineStr">
        <is>
          <t>Сепаратор СЦ-1,5 с двигателем б/у</t>
        </is>
      </c>
      <c r="E723" s="4" t="inlineStr"/>
      <c r="F723" s="4" t="n">
        <v>1</v>
      </c>
      <c r="G723" s="8" t="n"/>
      <c r="H723" s="4">
        <f>IF(G723="","",G723-F723)</f>
        <v/>
      </c>
      <c r="I723" s="9" t="n">
        <v>380000</v>
      </c>
      <c r="J723" s="9">
        <f>IF(G723="","",H723*I723)</f>
        <v/>
      </c>
      <c r="K723" s="8" t="inlineStr"/>
      <c r="L723" s="8" t="inlineStr"/>
      <c r="M723" s="10" t="inlineStr"/>
    </row>
    <row r="724">
      <c r="A724" s="4" t="n">
        <v>720</v>
      </c>
      <c r="B724" s="6" t="inlineStr">
        <is>
          <t>Фойе</t>
        </is>
      </c>
      <c r="C724" s="4" t="inlineStr"/>
      <c r="D724" s="5" t="inlineStr">
        <is>
          <t>Сепаратор СЦ-3 в разборе (без станины) б/у</t>
        </is>
      </c>
      <c r="E724" s="4" t="inlineStr"/>
      <c r="F724" s="4" t="n">
        <v>1</v>
      </c>
      <c r="G724" s="8" t="n"/>
      <c r="H724" s="4">
        <f>IF(G724="","",G724-F724)</f>
        <v/>
      </c>
      <c r="I724" s="9" t="n">
        <v>600000</v>
      </c>
      <c r="J724" s="9">
        <f>IF(G724="","",H724*I724)</f>
        <v/>
      </c>
      <c r="K724" s="8" t="inlineStr"/>
      <c r="L724" s="8" t="inlineStr"/>
      <c r="M724" s="10" t="inlineStr"/>
    </row>
    <row r="725">
      <c r="A725" s="4" t="n">
        <v>721</v>
      </c>
      <c r="B725" s="6" t="inlineStr">
        <is>
          <t>Фойе</t>
        </is>
      </c>
      <c r="C725" s="4" t="inlineStr"/>
      <c r="D725" s="5" t="inlineStr">
        <is>
          <t>Стекло к светильникам СС-838</t>
        </is>
      </c>
      <c r="E725" s="4" t="inlineStr"/>
      <c r="F725" s="4" t="n">
        <v>2</v>
      </c>
      <c r="G725" s="8" t="n"/>
      <c r="H725" s="4">
        <f>IF(G725="","",G725-F725)</f>
        <v/>
      </c>
      <c r="I725" s="9" t="n">
        <v>500</v>
      </c>
      <c r="J725" s="9">
        <f>IF(G725="","",H725*I725)</f>
        <v/>
      </c>
      <c r="K725" s="8" t="inlineStr"/>
      <c r="L725" s="8" t="inlineStr"/>
      <c r="M725" s="10" t="inlineStr"/>
    </row>
    <row r="726">
      <c r="A726" s="4" t="n">
        <v>722</v>
      </c>
      <c r="B726" s="6" t="inlineStr">
        <is>
          <t>Фойе</t>
        </is>
      </c>
      <c r="C726" s="4" t="inlineStr"/>
      <c r="D726" s="5" t="inlineStr">
        <is>
          <t>Стекло к светильникам СС-839</t>
        </is>
      </c>
      <c r="E726" s="4" t="inlineStr"/>
      <c r="F726" s="4" t="n">
        <v>20</v>
      </c>
      <c r="G726" s="8" t="n"/>
      <c r="H726" s="4">
        <f>IF(G726="","",G726-F726)</f>
        <v/>
      </c>
      <c r="I726" s="9" t="n">
        <v>500</v>
      </c>
      <c r="J726" s="9">
        <f>IF(G726="","",H726*I726)</f>
        <v/>
      </c>
      <c r="K726" s="8" t="inlineStr"/>
      <c r="L726" s="8" t="inlineStr"/>
      <c r="M726" s="10" t="inlineStr"/>
    </row>
    <row r="727">
      <c r="A727" s="4" t="n">
        <v>723</v>
      </c>
      <c r="B727" s="6" t="inlineStr">
        <is>
          <t>Фойе</t>
        </is>
      </c>
      <c r="C727" s="4" t="inlineStr"/>
      <c r="D727" s="5" t="inlineStr">
        <is>
          <t>Стекло к светильникам СС-840 брак</t>
        </is>
      </c>
      <c r="E727" s="4" t="inlineStr"/>
      <c r="F727" s="4" t="n">
        <v>2</v>
      </c>
      <c r="G727" s="8" t="n"/>
      <c r="H727" s="4">
        <f>IF(G727="","",G727-F727)</f>
        <v/>
      </c>
      <c r="I727" s="9" t="n">
        <v>500</v>
      </c>
      <c r="J727" s="9">
        <f>IF(G727="","",H727*I727)</f>
        <v/>
      </c>
      <c r="K727" s="8" t="inlineStr"/>
      <c r="L727" s="8" t="inlineStr"/>
      <c r="M727" s="10" t="inlineStr"/>
    </row>
    <row r="728">
      <c r="A728" s="4" t="n">
        <v>724</v>
      </c>
      <c r="B728" s="6" t="inlineStr">
        <is>
          <t>Фойе</t>
        </is>
      </c>
      <c r="C728" s="4" t="inlineStr">
        <is>
          <t>Клапан проходной штуцерный Ду32</t>
        </is>
      </c>
      <c r="D728" s="5" t="inlineStr">
        <is>
          <t>Дверь легкая 1600*600</t>
        </is>
      </c>
      <c r="E728" s="4" t="inlineStr"/>
      <c r="F728" s="4" t="n">
        <v>10</v>
      </c>
      <c r="G728" s="8" t="n"/>
      <c r="H728" s="4">
        <f>IF(G728="","",G728-F728)</f>
        <v/>
      </c>
      <c r="I728" s="9" t="n">
        <v>50000</v>
      </c>
      <c r="J728" s="9">
        <f>IF(G728="","",H728*I728)</f>
        <v/>
      </c>
      <c r="K728" s="8" t="inlineStr"/>
      <c r="L728" s="8" t="inlineStr"/>
      <c r="M728" s="10" t="inlineStr"/>
    </row>
    <row r="729">
      <c r="A729" s="4" t="n">
        <v>725</v>
      </c>
      <c r="B729" s="6" t="inlineStr">
        <is>
          <t>Фойе</t>
        </is>
      </c>
      <c r="C729" s="4" t="inlineStr">
        <is>
          <t>Клапан проходной штуцерный Ду32</t>
        </is>
      </c>
      <c r="D729" s="5" t="inlineStr">
        <is>
          <t>Клинкет Ду 100, сталь</t>
        </is>
      </c>
      <c r="E729" s="4" t="inlineStr"/>
      <c r="F729" s="4" t="n">
        <v>2</v>
      </c>
      <c r="G729" s="8" t="n"/>
      <c r="H729" s="4">
        <f>IF(G729="","",G729-F729)</f>
        <v/>
      </c>
      <c r="I729" s="9" t="n">
        <v>30000</v>
      </c>
      <c r="J729" s="9">
        <f>IF(G729="","",H729*I729)</f>
        <v/>
      </c>
      <c r="K729" s="8" t="inlineStr"/>
      <c r="L729" s="8" t="inlineStr"/>
      <c r="M729" s="10" t="inlineStr"/>
    </row>
    <row r="730">
      <c r="A730" s="4" t="n">
        <v>726</v>
      </c>
      <c r="B730" s="6" t="inlineStr">
        <is>
          <t>Фойе</t>
        </is>
      </c>
      <c r="C730" s="4" t="inlineStr">
        <is>
          <t>Клапан проходной штуцерный Ду32</t>
        </is>
      </c>
      <c r="D730" s="5" t="inlineStr">
        <is>
          <t>Клинкет Ду 200</t>
        </is>
      </c>
      <c r="E730" s="4" t="inlineStr"/>
      <c r="F730" s="4" t="n">
        <v>11</v>
      </c>
      <c r="G730" s="8" t="n"/>
      <c r="H730" s="4">
        <f>IF(G730="","",G730-F730)</f>
        <v/>
      </c>
      <c r="I730" s="9" t="n">
        <v>150000</v>
      </c>
      <c r="J730" s="9">
        <f>IF(G730="","",H730*I730)</f>
        <v/>
      </c>
      <c r="K730" s="8" t="inlineStr"/>
      <c r="L730" s="8" t="inlineStr"/>
      <c r="M730" s="10" t="inlineStr"/>
    </row>
    <row r="731">
      <c r="A731" s="4" t="n">
        <v>727</v>
      </c>
      <c r="B731" s="6" t="inlineStr">
        <is>
          <t>Фойе</t>
        </is>
      </c>
      <c r="C731" s="4" t="inlineStr">
        <is>
          <t>Клапан проходной штуцерный Ду32</t>
        </is>
      </c>
      <c r="D731" s="5" t="inlineStr">
        <is>
          <t>Клинкет Ду 250</t>
        </is>
      </c>
      <c r="E731" s="4" t="inlineStr"/>
      <c r="F731" s="4" t="n">
        <v>2</v>
      </c>
      <c r="G731" s="8" t="n"/>
      <c r="H731" s="4">
        <f>IF(G731="","",G731-F731)</f>
        <v/>
      </c>
      <c r="I731" s="9" t="n">
        <v>200000</v>
      </c>
      <c r="J731" s="9">
        <f>IF(G731="","",H731*I731)</f>
        <v/>
      </c>
      <c r="K731" s="8" t="inlineStr"/>
      <c r="L731" s="8" t="inlineStr"/>
      <c r="M731" s="10" t="inlineStr"/>
    </row>
    <row r="732">
      <c r="A732" s="4" t="n">
        <v>728</v>
      </c>
      <c r="B732" s="6" t="inlineStr">
        <is>
          <t>Фойе</t>
        </is>
      </c>
      <c r="C732" s="4" t="inlineStr">
        <is>
          <t>Клапан проходной штуцерный Ду32</t>
        </is>
      </c>
      <c r="D732" s="5" t="inlineStr">
        <is>
          <t>Клинкет Ду 250 не комплект</t>
        </is>
      </c>
      <c r="E732" s="4" t="inlineStr"/>
      <c r="F732" s="4" t="n">
        <v>2</v>
      </c>
      <c r="G732" s="8" t="n"/>
      <c r="H732" s="4">
        <f>IF(G732="","",G732-F732)</f>
        <v/>
      </c>
      <c r="I732" s="9" t="n">
        <v>200000</v>
      </c>
      <c r="J732" s="9">
        <f>IF(G732="","",H732*I732)</f>
        <v/>
      </c>
      <c r="K732" s="8" t="inlineStr"/>
      <c r="L732" s="8" t="inlineStr"/>
      <c r="M732" s="10" t="inlineStr"/>
    </row>
    <row r="733">
      <c r="A733" s="4" t="n">
        <v>729</v>
      </c>
      <c r="B733" s="6" t="inlineStr">
        <is>
          <t>Фойе</t>
        </is>
      </c>
      <c r="C733" s="4" t="inlineStr">
        <is>
          <t>Клапан проходной штуцерный Ду32</t>
        </is>
      </c>
      <c r="D733" s="5" t="inlineStr">
        <is>
          <t>Клинкет Ду 300</t>
        </is>
      </c>
      <c r="E733" s="4" t="inlineStr"/>
      <c r="F733" s="4" t="n">
        <v>16</v>
      </c>
      <c r="G733" s="8" t="n"/>
      <c r="H733" s="4">
        <f>IF(G733="","",G733-F733)</f>
        <v/>
      </c>
      <c r="I733" s="9" t="n">
        <v>250000</v>
      </c>
      <c r="J733" s="9">
        <f>IF(G733="","",H733*I733)</f>
        <v/>
      </c>
      <c r="K733" s="8" t="inlineStr"/>
      <c r="L733" s="8" t="inlineStr"/>
      <c r="M733" s="10" t="inlineStr"/>
    </row>
    <row r="734">
      <c r="A734" s="4" t="n">
        <v>730</v>
      </c>
      <c r="B734" s="6" t="inlineStr">
        <is>
          <t>Фойе</t>
        </is>
      </c>
      <c r="C734" s="4" t="inlineStr">
        <is>
          <t>Клапан проходной штуцерный Ду32</t>
        </is>
      </c>
      <c r="D734" s="5" t="inlineStr">
        <is>
          <t>Клинкет Ду 350</t>
        </is>
      </c>
      <c r="E734" s="4" t="inlineStr"/>
      <c r="F734" s="4" t="n">
        <v>1</v>
      </c>
      <c r="G734" s="8" t="n"/>
      <c r="H734" s="4">
        <f>IF(G734="","",G734-F734)</f>
        <v/>
      </c>
      <c r="I734" s="9" t="n">
        <v>300000</v>
      </c>
      <c r="J734" s="9">
        <f>IF(G734="","",H734*I734)</f>
        <v/>
      </c>
      <c r="K734" s="8" t="inlineStr"/>
      <c r="L734" s="8" t="inlineStr"/>
      <c r="M734" s="10" t="inlineStr"/>
    </row>
    <row r="735">
      <c r="A735" s="4" t="n">
        <v>731</v>
      </c>
      <c r="B735" s="6" t="inlineStr">
        <is>
          <t>Фойе</t>
        </is>
      </c>
      <c r="C735" s="4" t="inlineStr">
        <is>
          <t>Клапан проходной штуцерный Ду32</t>
        </is>
      </c>
      <c r="D735" s="5" t="inlineStr">
        <is>
          <t>Фильтр заборной воды ДУ 150</t>
        </is>
      </c>
      <c r="E735" s="4" t="inlineStr"/>
      <c r="F735" s="4" t="n">
        <v>5</v>
      </c>
      <c r="G735" s="8" t="n"/>
      <c r="H735" s="4">
        <f>IF(G735="","",G735-F735)</f>
        <v/>
      </c>
      <c r="I735" s="9" t="n">
        <v>150000</v>
      </c>
      <c r="J735" s="9">
        <f>IF(G735="","",H735*I735)</f>
        <v/>
      </c>
      <c r="K735" s="8" t="inlineStr"/>
      <c r="L735" s="8" t="inlineStr"/>
      <c r="M735" s="10" t="inlineStr"/>
    </row>
    <row r="736">
      <c r="A736" s="4" t="n">
        <v>732</v>
      </c>
      <c r="B736" s="6" t="inlineStr">
        <is>
          <t>Фойе</t>
        </is>
      </c>
      <c r="C736" s="4" t="inlineStr">
        <is>
          <t>Клапан проходной штуцерный Ду32</t>
        </is>
      </c>
      <c r="D736" s="5" t="inlineStr">
        <is>
          <t>Фильтр забортной воды Ду 100</t>
        </is>
      </c>
      <c r="E736" s="4" t="inlineStr"/>
      <c r="F736" s="4" t="n">
        <v>1</v>
      </c>
      <c r="G736" s="8" t="n"/>
      <c r="H736" s="4">
        <f>IF(G736="","",G736-F736)</f>
        <v/>
      </c>
      <c r="I736" s="9" t="n">
        <v>120000</v>
      </c>
      <c r="J736" s="9">
        <f>IF(G736="","",H736*I736)</f>
        <v/>
      </c>
      <c r="K736" s="8" t="inlineStr"/>
      <c r="L736" s="8" t="inlineStr"/>
      <c r="M736" s="10" t="inlineStr"/>
    </row>
    <row r="737">
      <c r="A737" s="4" t="n">
        <v>733</v>
      </c>
      <c r="B737" s="6" t="inlineStr">
        <is>
          <t>Фойе</t>
        </is>
      </c>
      <c r="C737" s="4" t="inlineStr">
        <is>
          <t>Клапан проходной штуцерный Ду32</t>
        </is>
      </c>
      <c r="D737" s="5" t="inlineStr">
        <is>
          <t>Фильтр забортной воды Ду 300</t>
        </is>
      </c>
      <c r="E737" s="4" t="inlineStr"/>
      <c r="F737" s="4" t="n">
        <v>1</v>
      </c>
      <c r="G737" s="8" t="n"/>
      <c r="H737" s="4">
        <f>IF(G737="","",G737-F737)</f>
        <v/>
      </c>
      <c r="I737" s="9" t="n">
        <v>400000</v>
      </c>
      <c r="J737" s="9">
        <f>IF(G737="","",H737*I737)</f>
        <v/>
      </c>
      <c r="K737" s="8" t="inlineStr"/>
      <c r="L737" s="8" t="inlineStr"/>
      <c r="M737" s="10" t="inlineStr"/>
    </row>
    <row r="738">
      <c r="A738" s="4" t="n">
        <v>734</v>
      </c>
      <c r="B738" s="6" t="inlineStr">
        <is>
          <t>Фойе</t>
        </is>
      </c>
      <c r="C738" s="4" t="inlineStr">
        <is>
          <t>Клапан проходной штуцерный Ду32</t>
        </is>
      </c>
      <c r="D738" s="5" t="inlineStr">
        <is>
          <t>Фильтр забортной воды Ду 50</t>
        </is>
      </c>
      <c r="E738" s="4" t="inlineStr"/>
      <c r="F738" s="4" t="n">
        <v>1</v>
      </c>
      <c r="G738" s="8" t="n"/>
      <c r="H738" s="4">
        <f>IF(G738="","",G738-F738)</f>
        <v/>
      </c>
      <c r="I738" s="9" t="n">
        <v>60000</v>
      </c>
      <c r="J738" s="9">
        <f>IF(G738="","",H738*I738)</f>
        <v/>
      </c>
      <c r="K738" s="8" t="inlineStr"/>
      <c r="L738" s="8" t="inlineStr"/>
      <c r="M738" s="10" t="inlineStr"/>
    </row>
    <row r="739">
      <c r="A739" s="4" t="n">
        <v>735</v>
      </c>
      <c r="B739" s="6" t="inlineStr">
        <is>
          <t>Фойе</t>
        </is>
      </c>
      <c r="C739" s="4" t="inlineStr">
        <is>
          <t>Клапан проходной штуцерный Ду32</t>
        </is>
      </c>
      <c r="D739" s="5" t="inlineStr">
        <is>
          <t>Фильтр забортной воды Ду200 Большой</t>
        </is>
      </c>
      <c r="E739" s="4" t="inlineStr"/>
      <c r="F739" s="4" t="n">
        <v>8</v>
      </c>
      <c r="G739" s="8" t="n"/>
      <c r="H739" s="4">
        <f>IF(G739="","",G739-F739)</f>
        <v/>
      </c>
      <c r="I739" s="9" t="n">
        <v>250000</v>
      </c>
      <c r="J739" s="9">
        <f>IF(G739="","",H739*I739)</f>
        <v/>
      </c>
      <c r="K739" s="8" t="inlineStr"/>
      <c r="L739" s="8" t="inlineStr"/>
      <c r="M739" s="10" t="inlineStr"/>
    </row>
    <row r="740">
      <c r="A740" s="4" t="n">
        <v>736</v>
      </c>
      <c r="B740" s="6" t="inlineStr">
        <is>
          <t>Фойе</t>
        </is>
      </c>
      <c r="C740" s="4" t="inlineStr">
        <is>
          <t>Клапан фланцевый проходной</t>
        </is>
      </c>
      <c r="D740" s="5" t="inlineStr">
        <is>
          <t>Клапан проходной фланцевый сталь</t>
        </is>
      </c>
      <c r="E740" s="4" t="inlineStr"/>
      <c r="F740" s="4" t="n">
        <v>2</v>
      </c>
      <c r="G740" s="8" t="n"/>
      <c r="H740" s="4">
        <f>IF(G740="","",G740-F740)</f>
        <v/>
      </c>
      <c r="I740" s="9" t="n">
        <v>18000</v>
      </c>
      <c r="J740" s="9">
        <f>IF(G740="","",H740*I740)</f>
        <v/>
      </c>
      <c r="K740" s="8" t="inlineStr"/>
      <c r="L740" s="8" t="inlineStr"/>
      <c r="M740" s="10" t="inlineStr"/>
    </row>
    <row r="741">
      <c r="A741" s="4" t="n">
        <v>737</v>
      </c>
      <c r="B741" s="6" t="inlineStr">
        <is>
          <t>Фойе</t>
        </is>
      </c>
      <c r="C741" s="4" t="inlineStr">
        <is>
          <t>Насосы</t>
        </is>
      </c>
      <c r="D741" s="5" t="inlineStr">
        <is>
          <t>НЦВ 100/20 двиг. 2ДМШН 160МА2 11кВт 2880об/м</t>
        </is>
      </c>
      <c r="E741" s="4" t="inlineStr"/>
      <c r="F741" s="4" t="n">
        <v>2</v>
      </c>
      <c r="G741" s="8" t="n"/>
      <c r="H741" s="4">
        <f>IF(G741="","",G741-F741)</f>
        <v/>
      </c>
      <c r="I741" s="9" t="n">
        <v>550000</v>
      </c>
      <c r="J741" s="9">
        <f>IF(G741="","",H741*I741)</f>
        <v/>
      </c>
      <c r="K741" s="8" t="inlineStr"/>
      <c r="L741" s="8" t="inlineStr"/>
      <c r="M741" s="10" t="inlineStr"/>
    </row>
    <row r="742">
      <c r="A742" s="4" t="n">
        <v>738</v>
      </c>
      <c r="B742" s="6" t="inlineStr">
        <is>
          <t>Фойе</t>
        </is>
      </c>
      <c r="C742" s="4" t="inlineStr">
        <is>
          <t>Насосы</t>
        </is>
      </c>
      <c r="D742" s="5" t="inlineStr">
        <is>
          <t>НЦВ 25/80 или НЦВС 40/65 двиг.АМ62-2 14кВт 2850об/м</t>
        </is>
      </c>
      <c r="E742" s="4" t="inlineStr"/>
      <c r="F742" s="4" t="n">
        <v>1</v>
      </c>
      <c r="G742" s="8" t="n"/>
      <c r="H742" s="4">
        <f>IF(G742="","",G742-F742)</f>
        <v/>
      </c>
      <c r="I742" s="9" t="n">
        <v>500000</v>
      </c>
      <c r="J742" s="9">
        <f>IF(G742="","",H742*I742)</f>
        <v/>
      </c>
      <c r="K742" s="8" t="inlineStr"/>
      <c r="L742" s="8" t="inlineStr"/>
      <c r="M742" s="10" t="inlineStr"/>
    </row>
    <row r="743">
      <c r="A743" s="4" t="n">
        <v>739</v>
      </c>
      <c r="B743" s="6" t="inlineStr">
        <is>
          <t>Фойе</t>
        </is>
      </c>
      <c r="C743" s="4" t="inlineStr">
        <is>
          <t>Насосы</t>
        </is>
      </c>
      <c r="D743" s="5" t="inlineStr">
        <is>
          <t>НЦВ 40/80 двиг.АМ70-2 19кВт 2900об/м</t>
        </is>
      </c>
      <c r="E743" s="4" t="inlineStr"/>
      <c r="F743" s="4" t="n">
        <v>1</v>
      </c>
      <c r="G743" s="8" t="n"/>
      <c r="H743" s="4">
        <f>IF(G743="","",G743-F743)</f>
        <v/>
      </c>
      <c r="I743" s="9" t="n">
        <v>510000</v>
      </c>
      <c r="J743" s="9">
        <f>IF(G743="","",H743*I743)</f>
        <v/>
      </c>
      <c r="K743" s="8" t="inlineStr"/>
      <c r="L743" s="8" t="inlineStr"/>
      <c r="M743" s="10" t="inlineStr"/>
    </row>
    <row r="744">
      <c r="A744" s="4" t="n">
        <v>740</v>
      </c>
      <c r="B744" s="6" t="inlineStr">
        <is>
          <t>Фойе</t>
        </is>
      </c>
      <c r="C744" s="4" t="inlineStr">
        <is>
          <t>Насосы</t>
        </is>
      </c>
      <c r="D744" s="5" t="inlineStr">
        <is>
          <t>НЦВ 63/20 двиг. ДМ32В2 7,5кВт 2900об/м</t>
        </is>
      </c>
      <c r="E744" s="4" t="inlineStr"/>
      <c r="F744" s="4" t="n">
        <v>1</v>
      </c>
      <c r="G744" s="8" t="n"/>
      <c r="H744" s="4">
        <f>IF(G744="","",G744-F744)</f>
        <v/>
      </c>
      <c r="I744" s="9" t="n">
        <v>500000</v>
      </c>
      <c r="J744" s="9">
        <f>IF(G744="","",H744*I744)</f>
        <v/>
      </c>
      <c r="K744" s="8" t="inlineStr"/>
      <c r="L744" s="8" t="inlineStr"/>
      <c r="M744" s="10" t="inlineStr"/>
    </row>
    <row r="745">
      <c r="A745" s="4" t="n">
        <v>741</v>
      </c>
      <c r="B745" s="6" t="inlineStr">
        <is>
          <t>Фойе</t>
        </is>
      </c>
      <c r="C745" s="4" t="inlineStr">
        <is>
          <t>Насосы</t>
        </is>
      </c>
      <c r="D745" s="5" t="inlineStr">
        <is>
          <t>НЦВ 63/20 или НЦВ 40/30 двиг. АМ52-2 8кВт 2850об/м</t>
        </is>
      </c>
      <c r="E745" s="4" t="inlineStr"/>
      <c r="F745" s="4" t="n">
        <v>1</v>
      </c>
      <c r="G745" s="8" t="n"/>
      <c r="H745" s="4">
        <f>IF(G745="","",G745-F745)</f>
        <v/>
      </c>
      <c r="I745" s="9" t="n">
        <v>500000</v>
      </c>
      <c r="J745" s="9">
        <f>IF(G745="","",H745*I745)</f>
        <v/>
      </c>
      <c r="K745" s="8" t="inlineStr"/>
      <c r="L745" s="8" t="inlineStr"/>
      <c r="M745" s="10" t="inlineStr"/>
    </row>
    <row r="746">
      <c r="A746" s="4" t="n">
        <v>742</v>
      </c>
      <c r="B746" s="6" t="inlineStr">
        <is>
          <t>Фойе</t>
        </is>
      </c>
      <c r="C746" s="4" t="inlineStr">
        <is>
          <t>Насосы</t>
        </is>
      </c>
      <c r="D746" s="5" t="inlineStr">
        <is>
          <t>НЦВС 40/20</t>
        </is>
      </c>
      <c r="E746" s="4" t="inlineStr"/>
      <c r="F746" s="4" t="n">
        <v>3</v>
      </c>
      <c r="G746" s="8" t="n"/>
      <c r="H746" s="4">
        <f>IF(G746="","",G746-F746)</f>
        <v/>
      </c>
      <c r="I746" s="9" t="n">
        <v>400000</v>
      </c>
      <c r="J746" s="9">
        <f>IF(G746="","",H746*I746)</f>
        <v/>
      </c>
      <c r="K746" s="8" t="inlineStr"/>
      <c r="L746" s="8" t="inlineStr"/>
      <c r="M746" s="10" t="inlineStr"/>
    </row>
    <row r="747">
      <c r="A747" s="4" t="n">
        <v>743</v>
      </c>
      <c r="B747" s="6" t="inlineStr">
        <is>
          <t>Фойе</t>
        </is>
      </c>
      <c r="C747" s="4" t="inlineStr">
        <is>
          <t>Насосы</t>
        </is>
      </c>
      <c r="D747" s="5" t="inlineStr">
        <is>
          <t>Насос НЦВ 40/20</t>
        </is>
      </c>
      <c r="E747" s="4" t="inlineStr"/>
      <c r="F747" s="4" t="n">
        <v>4</v>
      </c>
      <c r="G747" s="8" t="n"/>
      <c r="H747" s="4">
        <f>IF(G747="","",G747-F747)</f>
        <v/>
      </c>
      <c r="I747" s="9" t="n">
        <v>400000</v>
      </c>
      <c r="J747" s="9">
        <f>IF(G747="","",H747*I747)</f>
        <v/>
      </c>
      <c r="K747" s="8" t="inlineStr"/>
      <c r="L747" s="8" t="inlineStr"/>
      <c r="M747" s="10" t="inlineStr"/>
    </row>
    <row r="748">
      <c r="A748" s="4" t="n">
        <v>744</v>
      </c>
      <c r="B748" s="6" t="inlineStr">
        <is>
          <t>Фойе</t>
        </is>
      </c>
      <c r="C748" s="4" t="inlineStr">
        <is>
          <t>Насосы</t>
        </is>
      </c>
      <c r="D748" s="5" t="inlineStr">
        <is>
          <t>Насос НЦВ 63/20 с двигателем 14кВт</t>
        </is>
      </c>
      <c r="E748" s="4" t="inlineStr"/>
      <c r="F748" s="4" t="n">
        <v>1</v>
      </c>
      <c r="G748" s="8" t="n"/>
      <c r="H748" s="4">
        <f>IF(G748="","",G748-F748)</f>
        <v/>
      </c>
      <c r="I748" s="9" t="n">
        <v>500000</v>
      </c>
      <c r="J748" s="9">
        <f>IF(G748="","",H748*I748)</f>
        <v/>
      </c>
      <c r="K748" s="8" t="inlineStr"/>
      <c r="L748" s="8" t="inlineStr"/>
      <c r="M748" s="10" t="inlineStr"/>
    </row>
    <row r="749">
      <c r="A749" s="4" t="n">
        <v>745</v>
      </c>
      <c r="B749" s="6" t="inlineStr">
        <is>
          <t>Фойе</t>
        </is>
      </c>
      <c r="C749" s="4" t="inlineStr">
        <is>
          <t>Насосы</t>
        </is>
      </c>
      <c r="D749" s="5" t="inlineStr">
        <is>
          <t>Насос НЦВС 63/20 с трубками</t>
        </is>
      </c>
      <c r="E749" s="4" t="inlineStr"/>
      <c r="F749" s="4" t="n">
        <v>1</v>
      </c>
      <c r="G749" s="8" t="n"/>
      <c r="H749" s="4">
        <f>IF(G749="","",G749-F749)</f>
        <v/>
      </c>
      <c r="I749" s="9" t="n">
        <v>500000</v>
      </c>
      <c r="J749" s="9">
        <f>IF(G749="","",H749*I749)</f>
        <v/>
      </c>
      <c r="K749" s="8" t="inlineStr"/>
      <c r="L749" s="8" t="inlineStr"/>
      <c r="M749" s="10" t="inlineStr"/>
    </row>
    <row r="751">
      <c r="C751" s="11" t="inlineStr">
        <is>
          <t>Позиций в ведомости</t>
        </is>
      </c>
      <c r="D751" s="12">
        <f>COUNTA(D5:D749)</f>
        <v/>
      </c>
    </row>
    <row r="752">
      <c r="C752" s="11" t="inlineStr">
        <is>
          <t>Пересчитано</t>
        </is>
      </c>
      <c r="D752" s="12">
        <f>COUNT(G5:G749)</f>
        <v/>
      </c>
    </row>
    <row r="753">
      <c r="C753" s="11" t="inlineStr">
        <is>
          <t>Осталось пересчитать</t>
        </is>
      </c>
      <c r="D753" s="12">
        <f>D751-D752</f>
        <v/>
      </c>
    </row>
    <row r="754">
      <c r="C754" s="11" t="inlineStr">
        <is>
          <t>Позиций с расхождением</t>
        </is>
      </c>
      <c r="D754" s="13">
        <f>COUNTIF(H5:H749,"&lt;&gt;0")-COUNTBLANK(H5:H749)</f>
        <v/>
      </c>
    </row>
    <row r="755">
      <c r="C755" s="11" t="inlineStr">
        <is>
          <t>Сумма расхождений, руб</t>
        </is>
      </c>
      <c r="D755" s="14">
        <f>SUM(J5:J749)</f>
        <v/>
      </c>
    </row>
  </sheetData>
  <autoFilter ref="A4:M7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2026-09-27T22:34:36Z</dcterms:created>
  <dcterms:modified xsi:type="dcterms:W3CDTF">2026-09-27T22:34:37Z</dcterms:modified>
</cp:coreProperties>
</file>
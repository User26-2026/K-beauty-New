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весу" sheetId="1" state="visible" r:id="rId1"/>
    <sheet name="Расчет по позициям" sheetId="2" state="visible" r:id="rId2"/>
  </sheets>
  <definedNames>
    <definedName name="_xlnm._FilterDatabase" localSheetId="1" hidden="1">'Расчет по позициям'!$A$4:$J$292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4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164" fontId="5" fillId="3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164" fontId="6" fillId="0" borderId="1" pivotButton="0" quotePrefix="0" xfId="0"/>
    <xf numFmtId="0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Сколько весит арматура</t>
        </is>
      </c>
    </row>
    <row r="2">
      <c r="A2" s="2" t="inlineStr">
        <is>
          <t>Весов в учете нет. Цифры получены по справочным массам судовой арматуры, погрешность около трети в обе стороны. Чтобы знать точно, надо взвесить 5-10 позиций разных диаметров.</t>
        </is>
      </c>
    </row>
    <row r="4">
      <c r="A4" s="3" t="inlineStr">
        <is>
          <t>Позиций арматуры</t>
        </is>
      </c>
      <c r="B4" s="3" t="n">
        <v>288</v>
      </c>
      <c r="C4" s="2" t="inlineStr"/>
    </row>
    <row r="5">
      <c r="A5" s="3" t="inlineStr">
        <is>
          <t>Штук всего</t>
        </is>
      </c>
      <c r="B5" s="3" t="n">
        <v>3034</v>
      </c>
      <c r="C5" s="2" t="inlineStr"/>
    </row>
    <row r="6">
      <c r="A6" s="3" t="inlineStr">
        <is>
          <t>Вес, тонн (оценка)</t>
        </is>
      </c>
      <c r="B6" s="3" t="n">
        <v>32.4</v>
      </c>
      <c r="C6" s="2" t="inlineStr">
        <is>
          <t>разброс примерно 23-42 тонн</t>
        </is>
      </c>
    </row>
    <row r="7">
      <c r="A7" s="1" t="inlineStr">
        <is>
          <t>По типам арматуры</t>
        </is>
      </c>
    </row>
    <row r="8" ht="24" customHeight="1">
      <c r="A8" s="4" t="inlineStr">
        <is>
          <t>Тип</t>
        </is>
      </c>
      <c r="B8" s="4" t="inlineStr">
        <is>
          <t>Позиций</t>
        </is>
      </c>
      <c r="C8" s="4" t="inlineStr">
        <is>
          <t>Штук</t>
        </is>
      </c>
      <c r="D8" s="4" t="inlineStr">
        <is>
          <t>Вес, кг</t>
        </is>
      </c>
      <c r="E8" s="4" t="inlineStr">
        <is>
          <t>Вес, тонн</t>
        </is>
      </c>
    </row>
    <row r="9">
      <c r="A9" s="5" t="inlineStr">
        <is>
          <t>клинкет/задвижка</t>
        </is>
      </c>
      <c r="B9" s="5" t="n">
        <v>25</v>
      </c>
      <c r="C9" s="5" t="n">
        <v>222</v>
      </c>
      <c r="D9" s="6" t="n">
        <v>17791</v>
      </c>
      <c r="E9" s="7" t="n">
        <v>17.79</v>
      </c>
    </row>
    <row r="10">
      <c r="A10" s="5" t="inlineStr">
        <is>
          <t>клапан фланцевый</t>
        </is>
      </c>
      <c r="B10" s="5" t="n">
        <v>64</v>
      </c>
      <c r="C10" s="5" t="n">
        <v>397</v>
      </c>
      <c r="D10" s="6" t="n">
        <v>7268</v>
      </c>
      <c r="E10" s="7" t="n">
        <v>7.27</v>
      </c>
    </row>
    <row r="11">
      <c r="A11" s="5" t="inlineStr">
        <is>
          <t>коробка клапанная</t>
        </is>
      </c>
      <c r="B11" s="5" t="n">
        <v>15</v>
      </c>
      <c r="C11" s="5" t="n">
        <v>65</v>
      </c>
      <c r="D11" s="6" t="n">
        <v>2695</v>
      </c>
      <c r="E11" s="7" t="n">
        <v>2.69</v>
      </c>
    </row>
    <row r="12">
      <c r="A12" s="5" t="inlineStr">
        <is>
          <t>клапан штуцерный</t>
        </is>
      </c>
      <c r="B12" s="5" t="n">
        <v>135</v>
      </c>
      <c r="C12" s="5" t="n">
        <v>2029</v>
      </c>
      <c r="D12" s="6" t="n">
        <v>2681</v>
      </c>
      <c r="E12" s="7" t="n">
        <v>2.68</v>
      </c>
    </row>
    <row r="13">
      <c r="A13" s="5" t="inlineStr">
        <is>
          <t>прочая арматура</t>
        </is>
      </c>
      <c r="B13" s="5" t="n">
        <v>36</v>
      </c>
      <c r="C13" s="5" t="n">
        <v>300</v>
      </c>
      <c r="D13" s="6" t="n">
        <v>1500</v>
      </c>
      <c r="E13" s="7" t="n">
        <v>1.5</v>
      </c>
    </row>
    <row r="14">
      <c r="A14" s="5" t="inlineStr">
        <is>
          <t>захлопка</t>
        </is>
      </c>
      <c r="B14" s="5" t="n">
        <v>7</v>
      </c>
      <c r="C14" s="5" t="n">
        <v>11</v>
      </c>
      <c r="D14" s="6" t="n">
        <v>270</v>
      </c>
      <c r="E14" s="7" t="n">
        <v>0.27</v>
      </c>
    </row>
    <row r="15">
      <c r="A15" s="5" t="inlineStr">
        <is>
          <t>кингстон</t>
        </is>
      </c>
      <c r="B15" s="5" t="n">
        <v>4</v>
      </c>
      <c r="C15" s="5" t="n">
        <v>6</v>
      </c>
      <c r="D15" s="6" t="n">
        <v>200</v>
      </c>
      <c r="E15" s="7" t="n">
        <v>0.2</v>
      </c>
    </row>
    <row r="16">
      <c r="A16" s="5" t="inlineStr">
        <is>
          <t>кран</t>
        </is>
      </c>
      <c r="B16" s="5" t="n">
        <v>2</v>
      </c>
      <c r="C16" s="5" t="n">
        <v>4</v>
      </c>
      <c r="D16" s="6" t="n">
        <v>10</v>
      </c>
      <c r="E16" s="7" t="n">
        <v>0.01</v>
      </c>
    </row>
    <row r="18">
      <c r="A18" s="1" t="inlineStr">
        <is>
          <t>По диаметрам</t>
        </is>
      </c>
    </row>
    <row r="19" ht="24" customHeight="1">
      <c r="A19" s="4" t="inlineStr">
        <is>
          <t>Диаметр</t>
        </is>
      </c>
      <c r="B19" s="4" t="inlineStr">
        <is>
          <t>Позиций</t>
        </is>
      </c>
      <c r="C19" s="4" t="inlineStr">
        <is>
          <t>Штук</t>
        </is>
      </c>
      <c r="D19" s="4" t="inlineStr">
        <is>
          <t>Вес, кг</t>
        </is>
      </c>
      <c r="E19" s="4" t="inlineStr">
        <is>
          <t>Вес, тонн</t>
        </is>
      </c>
    </row>
    <row r="20">
      <c r="A20" s="5" t="inlineStr">
        <is>
          <t>не указан</t>
        </is>
      </c>
      <c r="B20" s="5" t="n">
        <v>38</v>
      </c>
      <c r="C20" s="5" t="n">
        <v>313</v>
      </c>
      <c r="D20" s="6" t="n">
        <v>2062</v>
      </c>
      <c r="E20" s="7" t="n">
        <v>2.06</v>
      </c>
    </row>
    <row r="21">
      <c r="A21" s="5" t="inlineStr">
        <is>
          <t>Ду3</t>
        </is>
      </c>
      <c r="B21" s="5" t="n">
        <v>1</v>
      </c>
      <c r="C21" s="5" t="n">
        <v>2</v>
      </c>
      <c r="D21" s="6" t="n">
        <v>1</v>
      </c>
      <c r="E21" s="7" t="n">
        <v>0</v>
      </c>
    </row>
    <row r="22">
      <c r="A22" s="5" t="inlineStr">
        <is>
          <t>Ду6</t>
        </is>
      </c>
      <c r="B22" s="5" t="n">
        <v>7</v>
      </c>
      <c r="C22" s="5" t="n">
        <v>104</v>
      </c>
      <c r="D22" s="6" t="n">
        <v>42</v>
      </c>
      <c r="E22" s="7" t="n">
        <v>0.04</v>
      </c>
    </row>
    <row r="23">
      <c r="A23" s="5" t="inlineStr">
        <is>
          <t>Ду10</t>
        </is>
      </c>
      <c r="B23" s="5" t="n">
        <v>32</v>
      </c>
      <c r="C23" s="5" t="n">
        <v>970</v>
      </c>
      <c r="D23" s="6" t="n">
        <v>608</v>
      </c>
      <c r="E23" s="7" t="n">
        <v>0.61</v>
      </c>
    </row>
    <row r="24">
      <c r="A24" s="5" t="inlineStr">
        <is>
          <t>Ду15</t>
        </is>
      </c>
      <c r="B24" s="5" t="n">
        <v>25</v>
      </c>
      <c r="C24" s="5" t="n">
        <v>123</v>
      </c>
      <c r="D24" s="6" t="n">
        <v>123</v>
      </c>
      <c r="E24" s="7" t="n">
        <v>0.12</v>
      </c>
    </row>
    <row r="25">
      <c r="A25" s="5" t="inlineStr">
        <is>
          <t>Ду20</t>
        </is>
      </c>
      <c r="B25" s="5" t="n">
        <v>45</v>
      </c>
      <c r="C25" s="5" t="n">
        <v>511</v>
      </c>
      <c r="D25" s="6" t="n">
        <v>856</v>
      </c>
      <c r="E25" s="7" t="n">
        <v>0.86</v>
      </c>
    </row>
    <row r="26">
      <c r="A26" s="5" t="inlineStr">
        <is>
          <t>Ду25</t>
        </is>
      </c>
      <c r="B26" s="5" t="n">
        <v>12</v>
      </c>
      <c r="C26" s="5" t="n">
        <v>179</v>
      </c>
      <c r="D26" s="6" t="n">
        <v>488</v>
      </c>
      <c r="E26" s="7" t="n">
        <v>0.49</v>
      </c>
    </row>
    <row r="27">
      <c r="A27" s="5" t="inlineStr">
        <is>
          <t>Ду32</t>
        </is>
      </c>
      <c r="B27" s="5" t="n">
        <v>23</v>
      </c>
      <c r="C27" s="5" t="n">
        <v>156</v>
      </c>
      <c r="D27" s="6" t="n">
        <v>628</v>
      </c>
      <c r="E27" s="7" t="n">
        <v>0.63</v>
      </c>
    </row>
    <row r="28">
      <c r="A28" s="5" t="inlineStr">
        <is>
          <t>Ду40</t>
        </is>
      </c>
      <c r="B28" s="5" t="n">
        <v>6</v>
      </c>
      <c r="C28" s="5" t="n">
        <v>27</v>
      </c>
      <c r="D28" s="6" t="n">
        <v>270</v>
      </c>
      <c r="E28" s="7" t="n">
        <v>0.27</v>
      </c>
    </row>
    <row r="29">
      <c r="A29" s="5" t="inlineStr">
        <is>
          <t>Ду50</t>
        </is>
      </c>
      <c r="B29" s="5" t="n">
        <v>29</v>
      </c>
      <c r="C29" s="5" t="n">
        <v>243</v>
      </c>
      <c r="D29" s="6" t="n">
        <v>3429</v>
      </c>
      <c r="E29" s="7" t="n">
        <v>3.43</v>
      </c>
    </row>
    <row r="30">
      <c r="A30" s="5" t="inlineStr">
        <is>
          <t>Ду60</t>
        </is>
      </c>
      <c r="B30" s="5" t="n">
        <v>2</v>
      </c>
      <c r="C30" s="5" t="n">
        <v>2</v>
      </c>
      <c r="D30" s="6" t="n">
        <v>32</v>
      </c>
      <c r="E30" s="7" t="n">
        <v>0.03</v>
      </c>
    </row>
    <row r="31">
      <c r="A31" s="5" t="inlineStr">
        <is>
          <t>Ду65</t>
        </is>
      </c>
      <c r="B31" s="5" t="n">
        <v>13</v>
      </c>
      <c r="C31" s="5" t="n">
        <v>94</v>
      </c>
      <c r="D31" s="6" t="n">
        <v>1633</v>
      </c>
      <c r="E31" s="7" t="n">
        <v>1.63</v>
      </c>
    </row>
    <row r="32">
      <c r="A32" s="5" t="inlineStr">
        <is>
          <t>Ду70</t>
        </is>
      </c>
      <c r="B32" s="5" t="n">
        <v>4</v>
      </c>
      <c r="C32" s="5" t="n">
        <v>17</v>
      </c>
      <c r="D32" s="6" t="n">
        <v>384</v>
      </c>
      <c r="E32" s="7" t="n">
        <v>0.38</v>
      </c>
    </row>
    <row r="33">
      <c r="A33" s="5" t="inlineStr">
        <is>
          <t>Ду80</t>
        </is>
      </c>
      <c r="B33" s="5" t="n">
        <v>19</v>
      </c>
      <c r="C33" s="5" t="n">
        <v>136</v>
      </c>
      <c r="D33" s="6" t="n">
        <v>4689</v>
      </c>
      <c r="E33" s="7" t="n">
        <v>4.69</v>
      </c>
    </row>
    <row r="34">
      <c r="A34" s="5" t="inlineStr">
        <is>
          <t>Ду100</t>
        </is>
      </c>
      <c r="B34" s="5" t="n">
        <v>15</v>
      </c>
      <c r="C34" s="5" t="n">
        <v>85</v>
      </c>
      <c r="D34" s="6" t="n">
        <v>3725</v>
      </c>
      <c r="E34" s="7" t="n">
        <v>3.73</v>
      </c>
    </row>
    <row r="35">
      <c r="A35" s="5" t="inlineStr">
        <is>
          <t>Ду125</t>
        </is>
      </c>
      <c r="B35" s="5" t="n">
        <v>5</v>
      </c>
      <c r="C35" s="5" t="n">
        <v>13</v>
      </c>
      <c r="D35" s="6" t="n">
        <v>665</v>
      </c>
      <c r="E35" s="7" t="n">
        <v>0.67</v>
      </c>
    </row>
    <row r="36">
      <c r="A36" s="5" t="inlineStr">
        <is>
          <t>Ду150</t>
        </is>
      </c>
      <c r="B36" s="5" t="n">
        <v>3</v>
      </c>
      <c r="C36" s="5" t="n">
        <v>4</v>
      </c>
      <c r="D36" s="6" t="n">
        <v>300</v>
      </c>
      <c r="E36" s="7" t="n">
        <v>0.3</v>
      </c>
    </row>
    <row r="37">
      <c r="A37" s="5" t="inlineStr">
        <is>
          <t>Ду200</t>
        </is>
      </c>
      <c r="B37" s="5" t="n">
        <v>3</v>
      </c>
      <c r="C37" s="5" t="n">
        <v>15</v>
      </c>
      <c r="D37" s="6" t="n">
        <v>2060</v>
      </c>
      <c r="E37" s="7" t="n">
        <v>2.06</v>
      </c>
    </row>
    <row r="38">
      <c r="A38" s="5" t="inlineStr">
        <is>
          <t>Ду250</t>
        </is>
      </c>
      <c r="B38" s="5" t="n">
        <v>3</v>
      </c>
      <c r="C38" s="5" t="n">
        <v>21</v>
      </c>
      <c r="D38" s="6" t="n">
        <v>4620</v>
      </c>
      <c r="E38" s="7" t="n">
        <v>4.62</v>
      </c>
    </row>
    <row r="39">
      <c r="A39" s="5" t="inlineStr">
        <is>
          <t>Ду300</t>
        </is>
      </c>
      <c r="B39" s="5" t="n">
        <v>2</v>
      </c>
      <c r="C39" s="5" t="n">
        <v>18</v>
      </c>
      <c r="D39" s="6" t="n">
        <v>5400</v>
      </c>
      <c r="E39" s="7" t="n">
        <v>5.4</v>
      </c>
    </row>
    <row r="40">
      <c r="A40" s="5" t="inlineStr">
        <is>
          <t>Ду350</t>
        </is>
      </c>
      <c r="B40" s="5" t="n">
        <v>1</v>
      </c>
      <c r="C40" s="5" t="n">
        <v>1</v>
      </c>
      <c r="D40" s="6" t="n">
        <v>400</v>
      </c>
      <c r="E40" s="7" t="n">
        <v>0.4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52" customWidth="1" min="4" max="4"/>
    <col width="8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</cols>
  <sheetData>
    <row r="1">
      <c r="A1" s="1" t="inlineStr">
        <is>
          <t>Вес арматуры: расчет по позициям</t>
        </is>
      </c>
    </row>
    <row r="2">
      <c r="A2" s="2" t="inlineStr">
        <is>
          <t>Справочный вес проставлен по типу и диаметру. Желтые колонки заполняем после взвешивания, тогда вес пересчитается сам.</t>
        </is>
      </c>
    </row>
    <row r="4" ht="32" customHeight="1">
      <c r="A4" s="4" t="inlineStr">
        <is>
          <t>№</t>
        </is>
      </c>
      <c r="B4" s="4" t="inlineStr">
        <is>
          <t>Тип</t>
        </is>
      </c>
      <c r="C4" s="4" t="inlineStr">
        <is>
          <t>Диаметр</t>
        </is>
      </c>
      <c r="D4" s="4" t="inlineStr">
        <is>
          <t>Наименование</t>
        </is>
      </c>
      <c r="E4" s="4" t="inlineStr">
        <is>
          <t>Штук</t>
        </is>
      </c>
      <c r="F4" s="4" t="inlineStr">
        <is>
          <t>Справочный вес ед., кг</t>
        </is>
      </c>
      <c r="G4" s="4" t="inlineStr">
        <is>
          <t>Вес позиции, кг</t>
        </is>
      </c>
      <c r="H4" s="4" t="inlineStr">
        <is>
          <t>Фактический вес ед., кг</t>
        </is>
      </c>
      <c r="I4" s="4" t="inlineStr">
        <is>
          <t>Вес по факту, кг</t>
        </is>
      </c>
      <c r="J4" s="4" t="inlineStr">
        <is>
          <t>Локация</t>
        </is>
      </c>
    </row>
    <row r="5">
      <c r="A5" s="8" t="n">
        <v>1</v>
      </c>
      <c r="B5" s="8" t="inlineStr">
        <is>
          <t>захлопка</t>
        </is>
      </c>
      <c r="C5" s="8" t="inlineStr">
        <is>
          <t>Ду50</t>
        </is>
      </c>
      <c r="D5" s="9" t="inlineStr">
        <is>
          <t>Захлопка Ду50Ру6 - БРАК</t>
        </is>
      </c>
      <c r="E5" s="8" t="n">
        <v>3</v>
      </c>
      <c r="F5" s="10" t="n">
        <v>12</v>
      </c>
      <c r="G5" s="10">
        <f>E5*F5</f>
        <v/>
      </c>
      <c r="H5" s="11" t="n"/>
      <c r="I5" s="10">
        <f>IF(H5="","",E5*H5)</f>
        <v/>
      </c>
      <c r="J5" s="8" t="inlineStr">
        <is>
          <t>Склад 1А/1Б</t>
        </is>
      </c>
    </row>
    <row r="6">
      <c r="A6" s="8" t="n">
        <v>2</v>
      </c>
      <c r="B6" s="8" t="inlineStr">
        <is>
          <t>захлопка</t>
        </is>
      </c>
      <c r="C6" s="8" t="inlineStr">
        <is>
          <t>Ду50</t>
        </is>
      </c>
      <c r="D6" s="9" t="inlineStr">
        <is>
          <t>Захлопка фланцевая вертикальная Ду50Ру63</t>
        </is>
      </c>
      <c r="E6" s="8" t="n">
        <v>1</v>
      </c>
      <c r="F6" s="10" t="n">
        <v>12</v>
      </c>
      <c r="G6" s="10">
        <f>E6*F6</f>
        <v/>
      </c>
      <c r="H6" s="11" t="n"/>
      <c r="I6" s="10">
        <f>IF(H6="","",E6*H6)</f>
        <v/>
      </c>
      <c r="J6" s="8" t="inlineStr">
        <is>
          <t>Склад 2</t>
        </is>
      </c>
    </row>
    <row r="7">
      <c r="A7" s="8" t="n">
        <v>3</v>
      </c>
      <c r="B7" s="8" t="inlineStr">
        <is>
          <t>захлопка</t>
        </is>
      </c>
      <c r="C7" s="8" t="inlineStr">
        <is>
          <t>Ду50</t>
        </is>
      </c>
      <c r="D7" s="9" t="inlineStr">
        <is>
          <t>Захлопка фланцевая горизонтальная Ду50</t>
        </is>
      </c>
      <c r="E7" s="8" t="n">
        <v>1</v>
      </c>
      <c r="F7" s="10" t="n">
        <v>12</v>
      </c>
      <c r="G7" s="10">
        <f>E7*F7</f>
        <v/>
      </c>
      <c r="H7" s="11" t="n"/>
      <c r="I7" s="10">
        <f>IF(H7="","",E7*H7)</f>
        <v/>
      </c>
      <c r="J7" s="8" t="inlineStr">
        <is>
          <t>Склад 2</t>
        </is>
      </c>
    </row>
    <row r="8">
      <c r="A8" s="8" t="n">
        <v>4</v>
      </c>
      <c r="B8" s="8" t="inlineStr">
        <is>
          <t>захлопка</t>
        </is>
      </c>
      <c r="C8" s="8" t="inlineStr">
        <is>
          <t>Ду100</t>
        </is>
      </c>
      <c r="D8" s="9" t="inlineStr">
        <is>
          <t>Захлопка фланцевая вертикальная Ду100</t>
        </is>
      </c>
      <c r="E8" s="8" t="n">
        <v>1</v>
      </c>
      <c r="F8" s="10" t="n">
        <v>35</v>
      </c>
      <c r="G8" s="10">
        <f>E8*F8</f>
        <v/>
      </c>
      <c r="H8" s="11" t="n"/>
      <c r="I8" s="10">
        <f>IF(H8="","",E8*H8)</f>
        <v/>
      </c>
      <c r="J8" s="8" t="inlineStr">
        <is>
          <t>Склад 2</t>
        </is>
      </c>
    </row>
    <row r="9">
      <c r="A9" s="8" t="n">
        <v>5</v>
      </c>
      <c r="B9" s="8" t="inlineStr">
        <is>
          <t>захлопка</t>
        </is>
      </c>
      <c r="C9" s="8" t="inlineStr">
        <is>
          <t>Ду100</t>
        </is>
      </c>
      <c r="D9" s="9" t="inlineStr">
        <is>
          <t>Захлопка фланцевая горизон. Ду100 Ру10</t>
        </is>
      </c>
      <c r="E9" s="8" t="n">
        <v>3</v>
      </c>
      <c r="F9" s="10" t="n">
        <v>35</v>
      </c>
      <c r="G9" s="10">
        <f>E9*F9</f>
        <v/>
      </c>
      <c r="H9" s="11" t="n"/>
      <c r="I9" s="10">
        <f>IF(H9="","",E9*H9)</f>
        <v/>
      </c>
      <c r="J9" s="8" t="inlineStr">
        <is>
          <t>Склад 2</t>
        </is>
      </c>
    </row>
    <row r="10">
      <c r="A10" s="8" t="n">
        <v>6</v>
      </c>
      <c r="B10" s="8" t="inlineStr">
        <is>
          <t>захлопка</t>
        </is>
      </c>
      <c r="C10" s="8" t="inlineStr">
        <is>
          <t>Ду100</t>
        </is>
      </c>
      <c r="D10" s="9" t="inlineStr">
        <is>
          <t>Захлопка фланцевая проходная Ду100Ру6,3</t>
        </is>
      </c>
      <c r="E10" s="8" t="n">
        <v>1</v>
      </c>
      <c r="F10" s="10" t="n">
        <v>35</v>
      </c>
      <c r="G10" s="10">
        <f>E10*F10</f>
        <v/>
      </c>
      <c r="H10" s="11" t="n"/>
      <c r="I10" s="10">
        <f>IF(H10="","",E10*H10)</f>
        <v/>
      </c>
      <c r="J10" s="8" t="inlineStr">
        <is>
          <t>Склад 2</t>
        </is>
      </c>
    </row>
    <row r="11">
      <c r="A11" s="8" t="n">
        <v>7</v>
      </c>
      <c r="B11" s="8" t="inlineStr">
        <is>
          <t>захлопка</t>
        </is>
      </c>
      <c r="C11" s="8" t="inlineStr">
        <is>
          <t>Ду100</t>
        </is>
      </c>
      <c r="D11" s="9" t="inlineStr">
        <is>
          <t>Захлопка фланцевая угловая Ду100Ру10</t>
        </is>
      </c>
      <c r="E11" s="8" t="n">
        <v>1</v>
      </c>
      <c r="F11" s="10" t="n">
        <v>35</v>
      </c>
      <c r="G11" s="10">
        <f>E11*F11</f>
        <v/>
      </c>
      <c r="H11" s="11" t="n"/>
      <c r="I11" s="10">
        <f>IF(H11="","",E11*H11)</f>
        <v/>
      </c>
      <c r="J11" s="8" t="inlineStr">
        <is>
          <t>Склад 2</t>
        </is>
      </c>
    </row>
    <row r="12">
      <c r="A12" s="8" t="n">
        <v>8</v>
      </c>
      <c r="B12" s="8" t="inlineStr">
        <is>
          <t>кингстон</t>
        </is>
      </c>
      <c r="C12" s="8" t="inlineStr">
        <is>
          <t>Ду50</t>
        </is>
      </c>
      <c r="D12" s="9" t="inlineStr">
        <is>
          <t>Кингстон донный фланцевый Ду50 Ру2,5</t>
        </is>
      </c>
      <c r="E12" s="8" t="n">
        <v>1</v>
      </c>
      <c r="F12" s="10" t="n">
        <v>20</v>
      </c>
      <c r="G12" s="10">
        <f>E12*F12</f>
        <v/>
      </c>
      <c r="H12" s="11" t="n"/>
      <c r="I12" s="10">
        <f>IF(H12="","",E12*H12)</f>
        <v/>
      </c>
      <c r="J12" s="8" t="inlineStr">
        <is>
          <t>Склад 3</t>
        </is>
      </c>
    </row>
    <row r="13">
      <c r="A13" s="8" t="n">
        <v>9</v>
      </c>
      <c r="B13" s="8" t="inlineStr">
        <is>
          <t>кингстон</t>
        </is>
      </c>
      <c r="C13" s="8" t="inlineStr">
        <is>
          <t>Ду50</t>
        </is>
      </c>
      <c r="D13" s="9" t="inlineStr">
        <is>
          <t>Кингстон донный фланцевый Ду50 Ру2,5</t>
        </is>
      </c>
      <c r="E13" s="8" t="n">
        <v>1</v>
      </c>
      <c r="F13" s="10" t="n">
        <v>20</v>
      </c>
      <c r="G13" s="10">
        <f>E13*F13</f>
        <v/>
      </c>
      <c r="H13" s="11" t="n"/>
      <c r="I13" s="10">
        <f>IF(H13="","",E13*H13)</f>
        <v/>
      </c>
      <c r="J13" s="8" t="inlineStr">
        <is>
          <t>Склад 3</t>
        </is>
      </c>
    </row>
    <row r="14">
      <c r="A14" s="8" t="n">
        <v>10</v>
      </c>
      <c r="B14" s="8" t="inlineStr">
        <is>
          <t>кингстон</t>
        </is>
      </c>
      <c r="C14" s="8" t="inlineStr">
        <is>
          <t>Ду80</t>
        </is>
      </c>
      <c r="D14" s="9" t="inlineStr">
        <is>
          <t>Кингстон донный фланцевый Ду80 Ру2,5</t>
        </is>
      </c>
      <c r="E14" s="8" t="n">
        <v>2</v>
      </c>
      <c r="F14" s="10" t="n">
        <v>35</v>
      </c>
      <c r="G14" s="10">
        <f>E14*F14</f>
        <v/>
      </c>
      <c r="H14" s="11" t="n"/>
      <c r="I14" s="10">
        <f>IF(H14="","",E14*H14)</f>
        <v/>
      </c>
      <c r="J14" s="8" t="inlineStr">
        <is>
          <t>Склад 3</t>
        </is>
      </c>
    </row>
    <row r="15">
      <c r="A15" s="8" t="n">
        <v>11</v>
      </c>
      <c r="B15" s="8" t="inlineStr">
        <is>
          <t>кингстон</t>
        </is>
      </c>
      <c r="C15" s="8" t="inlineStr">
        <is>
          <t>Ду100</t>
        </is>
      </c>
      <c r="D15" s="9" t="inlineStr">
        <is>
          <t>Сетка на фильтр Ду100 (медь) на кингстон РС-300</t>
        </is>
      </c>
      <c r="E15" s="8" t="n">
        <v>2</v>
      </c>
      <c r="F15" s="10" t="n">
        <v>45</v>
      </c>
      <c r="G15" s="10">
        <f>E15*F15</f>
        <v/>
      </c>
      <c r="H15" s="11" t="n"/>
      <c r="I15" s="10">
        <f>IF(H15="","",E15*H15)</f>
        <v/>
      </c>
      <c r="J15" s="8" t="inlineStr">
        <is>
          <t>Склад 2</t>
        </is>
      </c>
    </row>
    <row r="16">
      <c r="A16" s="8" t="n">
        <v>12</v>
      </c>
      <c r="B16" s="8" t="inlineStr">
        <is>
          <t>клапан фланцевый</t>
        </is>
      </c>
      <c r="C16" s="8" t="inlineStr">
        <is>
          <t>не указан</t>
        </is>
      </c>
      <c r="D16" s="9" t="inlineStr">
        <is>
          <t>Клапан проходной фланцевый сталь</t>
        </is>
      </c>
      <c r="E16" s="8" t="n">
        <v>2</v>
      </c>
      <c r="F16" s="10" t="n">
        <v>20</v>
      </c>
      <c r="G16" s="10">
        <f>E16*F16</f>
        <v/>
      </c>
      <c r="H16" s="11" t="n"/>
      <c r="I16" s="10">
        <f>IF(H16="","",E16*H16)</f>
        <v/>
      </c>
      <c r="J16" s="8" t="inlineStr">
        <is>
          <t>Фойе</t>
        </is>
      </c>
    </row>
    <row r="17">
      <c r="A17" s="8" t="n">
        <v>13</v>
      </c>
      <c r="B17" s="8" t="inlineStr">
        <is>
          <t>клапан фланцевый</t>
        </is>
      </c>
      <c r="C17" s="8" t="inlineStr">
        <is>
          <t>Ду20</t>
        </is>
      </c>
      <c r="D17" s="9" t="inlineStr">
        <is>
          <t>Клапан фланцевый проходной ДУ20 Ру25</t>
        </is>
      </c>
      <c r="E17" s="8" t="n">
        <v>8</v>
      </c>
      <c r="F17" s="10" t="n">
        <v>4</v>
      </c>
      <c r="G17" s="10">
        <f>E17*F17</f>
        <v/>
      </c>
      <c r="H17" s="11" t="n"/>
      <c r="I17" s="10">
        <f>IF(H17="","",E17*H17)</f>
        <v/>
      </c>
      <c r="J17" s="8" t="inlineStr">
        <is>
          <t>Склад 3</t>
        </is>
      </c>
    </row>
    <row r="18">
      <c r="A18" s="8" t="n">
        <v>14</v>
      </c>
      <c r="B18" s="8" t="inlineStr">
        <is>
          <t>клапан фланцевый</t>
        </is>
      </c>
      <c r="C18" s="8" t="inlineStr">
        <is>
          <t>Ду25</t>
        </is>
      </c>
      <c r="D18" s="9" t="inlineStr">
        <is>
          <t>Клапан фланцевый проходной ДУ25 ???</t>
        </is>
      </c>
      <c r="E18" s="8" t="n">
        <v>1</v>
      </c>
      <c r="F18" s="10" t="n">
        <v>5</v>
      </c>
      <c r="G18" s="10">
        <f>E18*F18</f>
        <v/>
      </c>
      <c r="H18" s="11" t="n"/>
      <c r="I18" s="10">
        <f>IF(H18="","",E18*H18)</f>
        <v/>
      </c>
      <c r="J18" s="8" t="inlineStr">
        <is>
          <t>Склад 3</t>
        </is>
      </c>
    </row>
    <row r="19">
      <c r="A19" s="8" t="n">
        <v>15</v>
      </c>
      <c r="B19" s="8" t="inlineStr">
        <is>
          <t>клапан фланцевый</t>
        </is>
      </c>
      <c r="C19" s="8" t="inlineStr">
        <is>
          <t>Ду25</t>
        </is>
      </c>
      <c r="D19" s="9" t="inlineStr">
        <is>
          <t>Клапан фланцевый угловой Ду25</t>
        </is>
      </c>
      <c r="E19" s="8" t="n">
        <v>15</v>
      </c>
      <c r="F19" s="10" t="n">
        <v>5</v>
      </c>
      <c r="G19" s="10">
        <f>E19*F19</f>
        <v/>
      </c>
      <c r="H19" s="11" t="n"/>
      <c r="I19" s="10">
        <f>IF(H19="","",E19*H19)</f>
        <v/>
      </c>
      <c r="J19" s="8" t="inlineStr">
        <is>
          <t>Склад 3</t>
        </is>
      </c>
    </row>
    <row r="20">
      <c r="A20" s="8" t="n">
        <v>16</v>
      </c>
      <c r="B20" s="8" t="inlineStr">
        <is>
          <t>клапан фланцевый</t>
        </is>
      </c>
      <c r="C20" s="8" t="inlineStr">
        <is>
          <t>Ду32</t>
        </is>
      </c>
      <c r="D20" s="9" t="inlineStr">
        <is>
          <t>Клапан Пожарный фланцевый угловой Ду32</t>
        </is>
      </c>
      <c r="E20" s="8" t="n">
        <v>1</v>
      </c>
      <c r="F20" s="10" t="n">
        <v>7</v>
      </c>
      <c r="G20" s="10">
        <f>E20*F20</f>
        <v/>
      </c>
      <c r="H20" s="11" t="n"/>
      <c r="I20" s="10">
        <f>IF(H20="","",E20*H20)</f>
        <v/>
      </c>
      <c r="J20" s="8" t="inlineStr">
        <is>
          <t>Менеджерская</t>
        </is>
      </c>
    </row>
    <row r="21">
      <c r="A21" s="8" t="n">
        <v>17</v>
      </c>
      <c r="B21" s="8" t="inlineStr">
        <is>
          <t>клапан фланцевый</t>
        </is>
      </c>
      <c r="C21" s="8" t="inlineStr">
        <is>
          <t>Ду32</t>
        </is>
      </c>
      <c r="D21" s="9" t="inlineStr">
        <is>
          <t>Клапан предохранит. фланцевый угловой Ду32Ру4 (524-03.090)</t>
        </is>
      </c>
      <c r="E21" s="8" t="n">
        <v>1</v>
      </c>
      <c r="F21" s="10" t="n">
        <v>7</v>
      </c>
      <c r="G21" s="10">
        <f>E21*F21</f>
        <v/>
      </c>
      <c r="H21" s="11" t="n"/>
      <c r="I21" s="10">
        <f>IF(H21="","",E21*H21)</f>
        <v/>
      </c>
      <c r="J21" s="8" t="inlineStr">
        <is>
          <t>Склад 1А/1Б</t>
        </is>
      </c>
    </row>
    <row r="22">
      <c r="A22" s="8" t="n">
        <v>18</v>
      </c>
      <c r="B22" s="8" t="inlineStr">
        <is>
          <t>клапан фланцевый</t>
        </is>
      </c>
      <c r="C22" s="8" t="inlineStr">
        <is>
          <t>Ду32</t>
        </is>
      </c>
      <c r="D22" s="9" t="inlineStr">
        <is>
          <t>Клапан проходной фланцевый Ду32 - БРАК</t>
        </is>
      </c>
      <c r="E22" s="8" t="n">
        <v>6</v>
      </c>
      <c r="F22" s="10" t="n">
        <v>7</v>
      </c>
      <c r="G22" s="10">
        <f>E22*F22</f>
        <v/>
      </c>
      <c r="H22" s="11" t="n"/>
      <c r="I22" s="10">
        <f>IF(H22="","",E22*H22)</f>
        <v/>
      </c>
      <c r="J22" s="8" t="inlineStr">
        <is>
          <t>Склад 1А/1Б</t>
        </is>
      </c>
    </row>
    <row r="23">
      <c r="A23" s="8" t="n">
        <v>19</v>
      </c>
      <c r="B23" s="8" t="inlineStr">
        <is>
          <t>клапан фланцевый</t>
        </is>
      </c>
      <c r="C23" s="8" t="inlineStr">
        <is>
          <t>Ду32</t>
        </is>
      </c>
      <c r="D23" s="9" t="inlineStr">
        <is>
          <t>Клапан фланц. концевой пожарный угловой Ду32 Ру10</t>
        </is>
      </c>
      <c r="E23" s="8" t="n">
        <v>1</v>
      </c>
      <c r="F23" s="10" t="n">
        <v>7</v>
      </c>
      <c r="G23" s="10">
        <f>E23*F23</f>
        <v/>
      </c>
      <c r="H23" s="11" t="n"/>
      <c r="I23" s="10">
        <f>IF(H23="","",E23*H23)</f>
        <v/>
      </c>
      <c r="J23" s="8" t="inlineStr">
        <is>
          <t>Склад 2</t>
        </is>
      </c>
    </row>
    <row r="24">
      <c r="A24" s="8" t="n">
        <v>20</v>
      </c>
      <c r="B24" s="8" t="inlineStr">
        <is>
          <t>клапан фланцевый</t>
        </is>
      </c>
      <c r="C24" s="8" t="inlineStr">
        <is>
          <t>Ду32</t>
        </is>
      </c>
      <c r="D24" s="9" t="inlineStr">
        <is>
          <t>Клапан фланц. концевой пожарный угловой Ду32 Ру16</t>
        </is>
      </c>
      <c r="E24" s="8" t="n">
        <v>2</v>
      </c>
      <c r="F24" s="10" t="n">
        <v>7</v>
      </c>
      <c r="G24" s="10">
        <f>E24*F24</f>
        <v/>
      </c>
      <c r="H24" s="11" t="n"/>
      <c r="I24" s="10">
        <f>IF(H24="","",E24*H24)</f>
        <v/>
      </c>
      <c r="J24" s="8" t="inlineStr">
        <is>
          <t>Склад 2</t>
        </is>
      </c>
    </row>
    <row r="25">
      <c r="A25" s="8" t="n">
        <v>21</v>
      </c>
      <c r="B25" s="8" t="inlineStr">
        <is>
          <t>клапан фланцевый</t>
        </is>
      </c>
      <c r="C25" s="8" t="inlineStr">
        <is>
          <t>Ду32</t>
        </is>
      </c>
      <c r="D25" s="9" t="inlineStr">
        <is>
          <t>Клапан фланцевый проходной ДУ32 Ру25</t>
        </is>
      </c>
      <c r="E25" s="8" t="n">
        <v>2</v>
      </c>
      <c r="F25" s="10" t="n">
        <v>7</v>
      </c>
      <c r="G25" s="10">
        <f>E25*F25</f>
        <v/>
      </c>
      <c r="H25" s="11" t="n"/>
      <c r="I25" s="10">
        <f>IF(H25="","",E25*H25)</f>
        <v/>
      </c>
      <c r="J25" s="8" t="inlineStr">
        <is>
          <t>Склад 3</t>
        </is>
      </c>
    </row>
    <row r="26">
      <c r="A26" s="8" t="n">
        <v>22</v>
      </c>
      <c r="B26" s="8" t="inlineStr">
        <is>
          <t>клапан фланцевый</t>
        </is>
      </c>
      <c r="C26" s="8" t="inlineStr">
        <is>
          <t>Ду32</t>
        </is>
      </c>
      <c r="D26" s="9" t="inlineStr">
        <is>
          <t>Клапан фланцевый проходной ДУ32 Ру25</t>
        </is>
      </c>
      <c r="E26" s="8" t="n">
        <v>6</v>
      </c>
      <c r="F26" s="10" t="n">
        <v>7</v>
      </c>
      <c r="G26" s="10">
        <f>E26*F26</f>
        <v/>
      </c>
      <c r="H26" s="11" t="n"/>
      <c r="I26" s="10">
        <f>IF(H26="","",E26*H26)</f>
        <v/>
      </c>
      <c r="J26" s="8" t="inlineStr">
        <is>
          <t>Склад 3</t>
        </is>
      </c>
    </row>
    <row r="27">
      <c r="A27" s="8" t="n">
        <v>23</v>
      </c>
      <c r="B27" s="8" t="inlineStr">
        <is>
          <t>клапан фланцевый</t>
        </is>
      </c>
      <c r="C27" s="8" t="inlineStr">
        <is>
          <t>Ду32</t>
        </is>
      </c>
      <c r="D27" s="9" t="inlineStr">
        <is>
          <t>Клапан фланцевый проходной ДУ32 Ру25 (сталь)</t>
        </is>
      </c>
      <c r="E27" s="8" t="n">
        <v>1</v>
      </c>
      <c r="F27" s="10" t="n">
        <v>7</v>
      </c>
      <c r="G27" s="10">
        <f>E27*F27</f>
        <v/>
      </c>
      <c r="H27" s="11" t="n"/>
      <c r="I27" s="10">
        <f>IF(H27="","",E27*H27)</f>
        <v/>
      </c>
      <c r="J27" s="8" t="inlineStr">
        <is>
          <t>Склад 3</t>
        </is>
      </c>
    </row>
    <row r="28">
      <c r="A28" s="8" t="n">
        <v>24</v>
      </c>
      <c r="B28" s="8" t="inlineStr">
        <is>
          <t>клапан фланцевый</t>
        </is>
      </c>
      <c r="C28" s="8" t="inlineStr">
        <is>
          <t>Ду40</t>
        </is>
      </c>
      <c r="D28" s="9" t="inlineStr">
        <is>
          <t>Клапан быстрозапор. фланц. проход. с тросиков. приводом Ду40Ру6,3</t>
        </is>
      </c>
      <c r="E28" s="8" t="n">
        <v>7</v>
      </c>
      <c r="F28" s="10" t="n">
        <v>10</v>
      </c>
      <c r="G28" s="10">
        <f>E28*F28</f>
        <v/>
      </c>
      <c r="H28" s="11" t="n"/>
      <c r="I28" s="10">
        <f>IF(H28="","",E28*H28)</f>
        <v/>
      </c>
      <c r="J28" s="8" t="inlineStr">
        <is>
          <t>Склад 3</t>
        </is>
      </c>
    </row>
    <row r="29">
      <c r="A29" s="8" t="n">
        <v>25</v>
      </c>
      <c r="B29" s="8" t="inlineStr">
        <is>
          <t>клапан фланцевый</t>
        </is>
      </c>
      <c r="C29" s="8" t="inlineStr">
        <is>
          <t>Ду40</t>
        </is>
      </c>
      <c r="D29" s="9" t="inlineStr">
        <is>
          <t>Клапан проходной фланцевый Ду40 - БРАК</t>
        </is>
      </c>
      <c r="E29" s="8" t="n">
        <v>13</v>
      </c>
      <c r="F29" s="10" t="n">
        <v>10</v>
      </c>
      <c r="G29" s="10">
        <f>E29*F29</f>
        <v/>
      </c>
      <c r="H29" s="11" t="n"/>
      <c r="I29" s="10">
        <f>IF(H29="","",E29*H29)</f>
        <v/>
      </c>
      <c r="J29" s="8" t="inlineStr">
        <is>
          <t>Склад 1А/1Б</t>
        </is>
      </c>
    </row>
    <row r="30">
      <c r="A30" s="8" t="n">
        <v>26</v>
      </c>
      <c r="B30" s="8" t="inlineStr">
        <is>
          <t>клапан фланцевый</t>
        </is>
      </c>
      <c r="C30" s="8" t="inlineStr">
        <is>
          <t>Ду40</t>
        </is>
      </c>
      <c r="D30" s="9" t="inlineStr">
        <is>
          <t>Клапан угловой фланцевый Ду 40 - БРАК</t>
        </is>
      </c>
      <c r="E30" s="8" t="n">
        <v>3</v>
      </c>
      <c r="F30" s="10" t="n">
        <v>10</v>
      </c>
      <c r="G30" s="10">
        <f>E30*F30</f>
        <v/>
      </c>
      <c r="H30" s="11" t="n"/>
      <c r="I30" s="10">
        <f>IF(H30="","",E30*H30)</f>
        <v/>
      </c>
      <c r="J30" s="8" t="inlineStr">
        <is>
          <t>Склад 1А/1Б</t>
        </is>
      </c>
    </row>
    <row r="31">
      <c r="A31" s="8" t="n">
        <v>27</v>
      </c>
      <c r="B31" s="8" t="inlineStr">
        <is>
          <t>клапан фланцевый</t>
        </is>
      </c>
      <c r="C31" s="8" t="inlineStr">
        <is>
          <t>Ду40</t>
        </is>
      </c>
      <c r="D31" s="9" t="inlineStr">
        <is>
          <t>Клапан фланцевый угловой Ду40 Ру10</t>
        </is>
      </c>
      <c r="E31" s="8" t="n">
        <v>1</v>
      </c>
      <c r="F31" s="10" t="n">
        <v>10</v>
      </c>
      <c r="G31" s="10">
        <f>E31*F31</f>
        <v/>
      </c>
      <c r="H31" s="11" t="n"/>
      <c r="I31" s="10">
        <f>IF(H31="","",E31*H31)</f>
        <v/>
      </c>
      <c r="J31" s="8" t="inlineStr">
        <is>
          <t>Склад 3</t>
        </is>
      </c>
    </row>
    <row r="32">
      <c r="A32" s="8" t="n">
        <v>28</v>
      </c>
      <c r="B32" s="8" t="inlineStr">
        <is>
          <t>клапан фланцевый</t>
        </is>
      </c>
      <c r="C32" s="8" t="inlineStr">
        <is>
          <t>Ду40</t>
        </is>
      </c>
      <c r="D32" s="9" t="inlineStr">
        <is>
          <t>Клапан фланцевый угловой Ду40 Ру25</t>
        </is>
      </c>
      <c r="E32" s="8" t="n">
        <v>1</v>
      </c>
      <c r="F32" s="10" t="n">
        <v>10</v>
      </c>
      <c r="G32" s="10">
        <f>E32*F32</f>
        <v/>
      </c>
      <c r="H32" s="11" t="n"/>
      <c r="I32" s="10">
        <f>IF(H32="","",E32*H32)</f>
        <v/>
      </c>
      <c r="J32" s="8" t="inlineStr">
        <is>
          <t>Склад 3</t>
        </is>
      </c>
    </row>
    <row r="33">
      <c r="A33" s="8" t="n">
        <v>29</v>
      </c>
      <c r="B33" s="8" t="inlineStr">
        <is>
          <t>клапан фланцевый</t>
        </is>
      </c>
      <c r="C33" s="8" t="inlineStr">
        <is>
          <t>Ду40</t>
        </is>
      </c>
      <c r="D33" s="9" t="inlineStr">
        <is>
          <t>Клапан фланцевый угловой Ду40 Ру25 сталь ок.входа</t>
        </is>
      </c>
      <c r="E33" s="8" t="n">
        <v>2</v>
      </c>
      <c r="F33" s="10" t="n">
        <v>10</v>
      </c>
      <c r="G33" s="10">
        <f>E33*F33</f>
        <v/>
      </c>
      <c r="H33" s="11" t="n"/>
      <c r="I33" s="10">
        <f>IF(H33="","",E33*H33)</f>
        <v/>
      </c>
      <c r="J33" s="8" t="inlineStr">
        <is>
          <t>Склад 2</t>
        </is>
      </c>
    </row>
    <row r="34">
      <c r="A34" s="8" t="n">
        <v>30</v>
      </c>
      <c r="B34" s="8" t="inlineStr">
        <is>
          <t>клапан фланцевый</t>
        </is>
      </c>
      <c r="C34" s="8" t="inlineStr">
        <is>
          <t>Ду50</t>
        </is>
      </c>
      <c r="D34" s="9" t="inlineStr">
        <is>
          <t>Клапан Пожарный фланцевый проходной Ду50 Ру16</t>
        </is>
      </c>
      <c r="E34" s="8" t="n">
        <v>2</v>
      </c>
      <c r="F34" s="10" t="n">
        <v>14</v>
      </c>
      <c r="G34" s="10">
        <f>E34*F34</f>
        <v/>
      </c>
      <c r="H34" s="11" t="n"/>
      <c r="I34" s="10">
        <f>IF(H34="","",E34*H34)</f>
        <v/>
      </c>
      <c r="J34" s="8" t="inlineStr">
        <is>
          <t>Менеджерская</t>
        </is>
      </c>
    </row>
    <row r="35">
      <c r="A35" s="8" t="n">
        <v>31</v>
      </c>
      <c r="B35" s="8" t="inlineStr">
        <is>
          <t>клапан фланцевый</t>
        </is>
      </c>
      <c r="C35" s="8" t="inlineStr">
        <is>
          <t>Ду50</t>
        </is>
      </c>
      <c r="D35" s="9" t="inlineStr">
        <is>
          <t>Клапан Пожарный фланцевый угловой Ду50 Ру16</t>
        </is>
      </c>
      <c r="E35" s="8" t="n">
        <v>3</v>
      </c>
      <c r="F35" s="10" t="n">
        <v>14</v>
      </c>
      <c r="G35" s="10">
        <f>E35*F35</f>
        <v/>
      </c>
      <c r="H35" s="11" t="n"/>
      <c r="I35" s="10">
        <f>IF(H35="","",E35*H35)</f>
        <v/>
      </c>
      <c r="J35" s="8" t="inlineStr">
        <is>
          <t>Менеджерская</t>
        </is>
      </c>
    </row>
    <row r="36">
      <c r="A36" s="8" t="n">
        <v>32</v>
      </c>
      <c r="B36" s="8" t="inlineStr">
        <is>
          <t>клапан фланцевый</t>
        </is>
      </c>
      <c r="C36" s="8" t="inlineStr">
        <is>
          <t>Ду50</t>
        </is>
      </c>
      <c r="D36" s="9" t="inlineStr">
        <is>
          <t>Клапан Пожарный фланцевый угловой Ду50 Ру16</t>
        </is>
      </c>
      <c r="E36" s="8" t="n">
        <v>1</v>
      </c>
      <c r="F36" s="10" t="n">
        <v>14</v>
      </c>
      <c r="G36" s="10">
        <f>E36*F36</f>
        <v/>
      </c>
      <c r="H36" s="11" t="n"/>
      <c r="I36" s="10">
        <f>IF(H36="","",E36*H36)</f>
        <v/>
      </c>
      <c r="J36" s="8" t="inlineStr">
        <is>
          <t>Менеджерская</t>
        </is>
      </c>
    </row>
    <row r="37">
      <c r="A37" s="8" t="n">
        <v>33</v>
      </c>
      <c r="B37" s="8" t="inlineStr">
        <is>
          <t>клапан фланцевый</t>
        </is>
      </c>
      <c r="C37" s="8" t="inlineStr">
        <is>
          <t>Ду50</t>
        </is>
      </c>
      <c r="D37" s="9" t="inlineStr">
        <is>
          <t>Клапан Пожарный фланцевый угловой Ду50 Ру16</t>
        </is>
      </c>
      <c r="E37" s="8" t="n">
        <v>2</v>
      </c>
      <c r="F37" s="10" t="n">
        <v>14</v>
      </c>
      <c r="G37" s="10">
        <f>E37*F37</f>
        <v/>
      </c>
      <c r="H37" s="11" t="n"/>
      <c r="I37" s="10">
        <f>IF(H37="","",E37*H37)</f>
        <v/>
      </c>
      <c r="J37" s="8" t="inlineStr">
        <is>
          <t>Менеджерская</t>
        </is>
      </c>
    </row>
    <row r="38">
      <c r="A38" s="8" t="n">
        <v>34</v>
      </c>
      <c r="B38" s="8" t="inlineStr">
        <is>
          <t>клапан фланцевый</t>
        </is>
      </c>
      <c r="C38" s="8" t="inlineStr">
        <is>
          <t>Ду50</t>
        </is>
      </c>
      <c r="D38" s="9" t="inlineStr">
        <is>
          <t>Клапан невозвратно-приемный фланцевый Ду 50 Ру1 (522-35.4043-01)</t>
        </is>
      </c>
      <c r="E38" s="8" t="n">
        <v>6</v>
      </c>
      <c r="F38" s="10" t="n">
        <v>14</v>
      </c>
      <c r="G38" s="10">
        <f>E38*F38</f>
        <v/>
      </c>
      <c r="H38" s="11" t="n"/>
      <c r="I38" s="10">
        <f>IF(H38="","",E38*H38)</f>
        <v/>
      </c>
      <c r="J38" s="8" t="inlineStr">
        <is>
          <t>Склад 1А/1Б</t>
        </is>
      </c>
    </row>
    <row r="39">
      <c r="A39" s="8" t="n">
        <v>35</v>
      </c>
      <c r="B39" s="8" t="inlineStr">
        <is>
          <t>клапан фланцевый</t>
        </is>
      </c>
      <c r="C39" s="8" t="inlineStr">
        <is>
          <t>Ду50</t>
        </is>
      </c>
      <c r="D39" s="9" t="inlineStr">
        <is>
          <t>Клапан проходной фланцевый Ду50 - БРАК</t>
        </is>
      </c>
      <c r="E39" s="8" t="n">
        <v>8</v>
      </c>
      <c r="F39" s="10" t="n">
        <v>14</v>
      </c>
      <c r="G39" s="10">
        <f>E39*F39</f>
        <v/>
      </c>
      <c r="H39" s="11" t="n"/>
      <c r="I39" s="10">
        <f>IF(H39="","",E39*H39)</f>
        <v/>
      </c>
      <c r="J39" s="8" t="inlineStr">
        <is>
          <t>Склад 1А/1Б</t>
        </is>
      </c>
    </row>
    <row r="40">
      <c r="A40" s="8" t="n">
        <v>36</v>
      </c>
      <c r="B40" s="8" t="inlineStr">
        <is>
          <t>клапан фланцевый</t>
        </is>
      </c>
      <c r="C40" s="8" t="inlineStr">
        <is>
          <t>Ду50</t>
        </is>
      </c>
      <c r="D40" s="9" t="inlineStr">
        <is>
          <t>Клапан фланц. концевой пожарный угловой Ду50 Ру25</t>
        </is>
      </c>
      <c r="E40" s="8" t="n">
        <v>1</v>
      </c>
      <c r="F40" s="10" t="n">
        <v>14</v>
      </c>
      <c r="G40" s="10">
        <f>E40*F40</f>
        <v/>
      </c>
      <c r="H40" s="11" t="n"/>
      <c r="I40" s="10">
        <f>IF(H40="","",E40*H40)</f>
        <v/>
      </c>
      <c r="J40" s="8" t="inlineStr">
        <is>
          <t>Склад 2</t>
        </is>
      </c>
    </row>
    <row r="41">
      <c r="A41" s="8" t="n">
        <v>37</v>
      </c>
      <c r="B41" s="8" t="inlineStr">
        <is>
          <t>клапан фланцевый</t>
        </is>
      </c>
      <c r="C41" s="8" t="inlineStr">
        <is>
          <t>Ду50</t>
        </is>
      </c>
      <c r="D41" s="9" t="inlineStr">
        <is>
          <t>Клапан фланц. концевой пожарный угловой Ду50 Ру25</t>
        </is>
      </c>
      <c r="E41" s="8" t="n">
        <v>1</v>
      </c>
      <c r="F41" s="10" t="n">
        <v>14</v>
      </c>
      <c r="G41" s="10">
        <f>E41*F41</f>
        <v/>
      </c>
      <c r="H41" s="11" t="n"/>
      <c r="I41" s="10">
        <f>IF(H41="","",E41*H41)</f>
        <v/>
      </c>
      <c r="J41" s="8" t="inlineStr">
        <is>
          <t>Склад 2</t>
        </is>
      </c>
    </row>
    <row r="42">
      <c r="A42" s="8" t="n">
        <v>38</v>
      </c>
      <c r="B42" s="8" t="inlineStr">
        <is>
          <t>клапан фланцевый</t>
        </is>
      </c>
      <c r="C42" s="8" t="inlineStr">
        <is>
          <t>Ду50</t>
        </is>
      </c>
      <c r="D42" s="9" t="inlineStr">
        <is>
          <t>Клапан фланцевый проходной Ду50</t>
        </is>
      </c>
      <c r="E42" s="8" t="n">
        <v>66</v>
      </c>
      <c r="F42" s="10" t="n">
        <v>14</v>
      </c>
      <c r="G42" s="10">
        <f>E42*F42</f>
        <v/>
      </c>
      <c r="H42" s="11" t="n"/>
      <c r="I42" s="10">
        <f>IF(H42="","",E42*H42)</f>
        <v/>
      </c>
      <c r="J42" s="8" t="inlineStr">
        <is>
          <t>Склад 3</t>
        </is>
      </c>
    </row>
    <row r="43">
      <c r="A43" s="8" t="n">
        <v>39</v>
      </c>
      <c r="B43" s="8" t="inlineStr">
        <is>
          <t>клапан фланцевый</t>
        </is>
      </c>
      <c r="C43" s="8" t="inlineStr">
        <is>
          <t>Ду50</t>
        </is>
      </c>
      <c r="D43" s="9" t="inlineStr">
        <is>
          <t>Клапан фланцевый проходной Ду50 Ру 10 + ДУ 50 Ру 25</t>
        </is>
      </c>
      <c r="E43" s="8" t="n">
        <v>98</v>
      </c>
      <c r="F43" s="10" t="n">
        <v>14</v>
      </c>
      <c r="G43" s="10">
        <f>E43*F43</f>
        <v/>
      </c>
      <c r="H43" s="11" t="n"/>
      <c r="I43" s="10">
        <f>IF(H43="","",E43*H43)</f>
        <v/>
      </c>
      <c r="J43" s="8" t="inlineStr">
        <is>
          <t>Склад 1А/1Б</t>
        </is>
      </c>
    </row>
    <row r="44">
      <c r="A44" s="8" t="n">
        <v>40</v>
      </c>
      <c r="B44" s="8" t="inlineStr">
        <is>
          <t>клапан фланцевый</t>
        </is>
      </c>
      <c r="C44" s="8" t="inlineStr">
        <is>
          <t>Ду50</t>
        </is>
      </c>
      <c r="D44" s="9" t="inlineStr">
        <is>
          <t>Клапан фланцевый проходной Ду50 Ру 40 сталь (522-01-322)</t>
        </is>
      </c>
      <c r="E44" s="8" t="n">
        <v>2</v>
      </c>
      <c r="F44" s="10" t="n">
        <v>14</v>
      </c>
      <c r="G44" s="10">
        <f>E44*F44</f>
        <v/>
      </c>
      <c r="H44" s="11" t="n"/>
      <c r="I44" s="10">
        <f>IF(H44="","",E44*H44)</f>
        <v/>
      </c>
      <c r="J44" s="8" t="inlineStr">
        <is>
          <t>Склад 1А/1Б</t>
        </is>
      </c>
    </row>
    <row r="45">
      <c r="A45" s="8" t="n">
        <v>41</v>
      </c>
      <c r="B45" s="8" t="inlineStr">
        <is>
          <t>клапан фланцевый</t>
        </is>
      </c>
      <c r="C45" s="8" t="inlineStr">
        <is>
          <t>Ду50</t>
        </is>
      </c>
      <c r="D45" s="9" t="inlineStr">
        <is>
          <t>Клапан фланцевый проходной Ду50 Ру25</t>
        </is>
      </c>
      <c r="E45" s="8" t="n">
        <v>5</v>
      </c>
      <c r="F45" s="10" t="n">
        <v>14</v>
      </c>
      <c r="G45" s="10">
        <f>E45*F45</f>
        <v/>
      </c>
      <c r="H45" s="11" t="n"/>
      <c r="I45" s="10">
        <f>IF(H45="","",E45*H45)</f>
        <v/>
      </c>
      <c r="J45" s="8" t="inlineStr">
        <is>
          <t>Склад 3</t>
        </is>
      </c>
    </row>
    <row r="46">
      <c r="A46" s="8" t="n">
        <v>42</v>
      </c>
      <c r="B46" s="8" t="inlineStr">
        <is>
          <t>клапан фланцевый</t>
        </is>
      </c>
      <c r="C46" s="8" t="inlineStr">
        <is>
          <t>Ду50</t>
        </is>
      </c>
      <c r="D46" s="9" t="inlineStr">
        <is>
          <t>Клапан фланцевый проходной невозвратный Ду 50 РУ 25 (522-01.164)</t>
        </is>
      </c>
      <c r="E46" s="8" t="n">
        <v>1</v>
      </c>
      <c r="F46" s="10" t="n">
        <v>14</v>
      </c>
      <c r="G46" s="10">
        <f>E46*F46</f>
        <v/>
      </c>
      <c r="H46" s="11" t="n"/>
      <c r="I46" s="10">
        <f>IF(H46="","",E46*H46)</f>
        <v/>
      </c>
      <c r="J46" s="8" t="inlineStr">
        <is>
          <t>Склад 1А/1Б</t>
        </is>
      </c>
    </row>
    <row r="47">
      <c r="A47" s="8" t="n">
        <v>43</v>
      </c>
      <c r="B47" s="8" t="inlineStr">
        <is>
          <t>клапан фланцевый</t>
        </is>
      </c>
      <c r="C47" s="8" t="inlineStr">
        <is>
          <t>Ду50</t>
        </is>
      </c>
      <c r="D47" s="9" t="inlineStr">
        <is>
          <t>Клапан фланцевый проходной титановые Ду50Ру10</t>
        </is>
      </c>
      <c r="E47" s="8" t="n">
        <v>5</v>
      </c>
      <c r="F47" s="10" t="n">
        <v>14</v>
      </c>
      <c r="G47" s="10">
        <f>E47*F47</f>
        <v/>
      </c>
      <c r="H47" s="11" t="n"/>
      <c r="I47" s="10">
        <f>IF(H47="","",E47*H47)</f>
        <v/>
      </c>
      <c r="J47" s="8" t="inlineStr">
        <is>
          <t>Склад 2</t>
        </is>
      </c>
    </row>
    <row r="48">
      <c r="A48" s="8" t="n">
        <v>44</v>
      </c>
      <c r="B48" s="8" t="inlineStr">
        <is>
          <t>клапан фланцевый</t>
        </is>
      </c>
      <c r="C48" s="8" t="inlineStr">
        <is>
          <t>Ду50</t>
        </is>
      </c>
      <c r="D48" s="9" t="inlineStr">
        <is>
          <t>Клапан фланцевый угловой Ду50 Ру25</t>
        </is>
      </c>
      <c r="E48" s="8" t="n">
        <v>7</v>
      </c>
      <c r="F48" s="10" t="n">
        <v>14</v>
      </c>
      <c r="G48" s="10">
        <f>E48*F48</f>
        <v/>
      </c>
      <c r="H48" s="11" t="n"/>
      <c r="I48" s="10">
        <f>IF(H48="","",E48*H48)</f>
        <v/>
      </c>
      <c r="J48" s="8" t="inlineStr">
        <is>
          <t>Склад 3</t>
        </is>
      </c>
    </row>
    <row r="49">
      <c r="A49" s="8" t="n">
        <v>45</v>
      </c>
      <c r="B49" s="8" t="inlineStr">
        <is>
          <t>клапан фланцевый</t>
        </is>
      </c>
      <c r="C49" s="8" t="inlineStr">
        <is>
          <t>Ду65</t>
        </is>
      </c>
      <c r="D49" s="9" t="inlineStr">
        <is>
          <t>Клапан быстрозапор. фланц. проход. с тросиков. приводом Ду65Ру6,3</t>
        </is>
      </c>
      <c r="E49" s="8" t="n">
        <v>5</v>
      </c>
      <c r="F49" s="10" t="n">
        <v>20</v>
      </c>
      <c r="G49" s="10">
        <f>E49*F49</f>
        <v/>
      </c>
      <c r="H49" s="11" t="n"/>
      <c r="I49" s="10">
        <f>IF(H49="","",E49*H49)</f>
        <v/>
      </c>
      <c r="J49" s="8" t="inlineStr">
        <is>
          <t>Склад 3</t>
        </is>
      </c>
    </row>
    <row r="50">
      <c r="A50" s="8" t="n">
        <v>46</v>
      </c>
      <c r="B50" s="8" t="inlineStr">
        <is>
          <t>клапан фланцевый</t>
        </is>
      </c>
      <c r="C50" s="8" t="inlineStr">
        <is>
          <t>Ду65</t>
        </is>
      </c>
      <c r="D50" s="9" t="inlineStr">
        <is>
          <t>Клапан быстрозапор. фланц.проход.с тросиков.приводом Ду65 Ру6,3</t>
        </is>
      </c>
      <c r="E50" s="8" t="n">
        <v>1</v>
      </c>
      <c r="F50" s="10" t="n">
        <v>20</v>
      </c>
      <c r="G50" s="10">
        <f>E50*F50</f>
        <v/>
      </c>
      <c r="H50" s="11" t="n"/>
      <c r="I50" s="10">
        <f>IF(H50="","",E50*H50)</f>
        <v/>
      </c>
      <c r="J50" s="8" t="inlineStr">
        <is>
          <t>Склад 2</t>
        </is>
      </c>
    </row>
    <row r="51">
      <c r="A51" s="8" t="n">
        <v>47</v>
      </c>
      <c r="B51" s="8" t="inlineStr">
        <is>
          <t>клапан фланцевый</t>
        </is>
      </c>
      <c r="C51" s="8" t="inlineStr">
        <is>
          <t>Ду65</t>
        </is>
      </c>
      <c r="D51" s="9" t="inlineStr">
        <is>
          <t>Клапан невозвратно-приемный фланцевый Ду 65 Ру1 (522-03.023)</t>
        </is>
      </c>
      <c r="E51" s="8" t="n">
        <v>2</v>
      </c>
      <c r="F51" s="10" t="n">
        <v>20</v>
      </c>
      <c r="G51" s="10">
        <f>E51*F51</f>
        <v/>
      </c>
      <c r="H51" s="11" t="n"/>
      <c r="I51" s="10">
        <f>IF(H51="","",E51*H51)</f>
        <v/>
      </c>
      <c r="J51" s="8" t="inlineStr">
        <is>
          <t>Склад 1А/1Б</t>
        </is>
      </c>
    </row>
    <row r="52">
      <c r="A52" s="8" t="n">
        <v>48</v>
      </c>
      <c r="B52" s="8" t="inlineStr">
        <is>
          <t>клапан фланцевый</t>
        </is>
      </c>
      <c r="C52" s="8" t="inlineStr">
        <is>
          <t>Ду65</t>
        </is>
      </c>
      <c r="D52" s="9" t="inlineStr">
        <is>
          <t>Клапан невозвратно-приемный фланцевый Ду 65 Ру1 (522-35.4044-01)</t>
        </is>
      </c>
      <c r="E52" s="8" t="n">
        <v>1</v>
      </c>
      <c r="F52" s="10" t="n">
        <v>20</v>
      </c>
      <c r="G52" s="10">
        <f>E52*F52</f>
        <v/>
      </c>
      <c r="H52" s="11" t="n"/>
      <c r="I52" s="10">
        <f>IF(H52="","",E52*H52)</f>
        <v/>
      </c>
      <c r="J52" s="8" t="inlineStr">
        <is>
          <t>Склад 1А/1Б</t>
        </is>
      </c>
    </row>
    <row r="53">
      <c r="A53" s="8" t="n">
        <v>49</v>
      </c>
      <c r="B53" s="8" t="inlineStr">
        <is>
          <t>клапан фланцевый</t>
        </is>
      </c>
      <c r="C53" s="8" t="inlineStr">
        <is>
          <t>Ду65</t>
        </is>
      </c>
      <c r="D53" s="9" t="inlineStr">
        <is>
          <t>Клапан проходной фланцевый Ду65 КОРПУС - БРАК</t>
        </is>
      </c>
      <c r="E53" s="8" t="n">
        <v>1</v>
      </c>
      <c r="F53" s="10" t="n">
        <v>20</v>
      </c>
      <c r="G53" s="10">
        <f>E53*F53</f>
        <v/>
      </c>
      <c r="H53" s="11" t="n"/>
      <c r="I53" s="10">
        <f>IF(H53="","",E53*H53)</f>
        <v/>
      </c>
      <c r="J53" s="8" t="inlineStr">
        <is>
          <t>Склад 1А/1Б</t>
        </is>
      </c>
    </row>
    <row r="54">
      <c r="A54" s="8" t="n">
        <v>50</v>
      </c>
      <c r="B54" s="8" t="inlineStr">
        <is>
          <t>клапан фланцевый</t>
        </is>
      </c>
      <c r="C54" s="8" t="inlineStr">
        <is>
          <t>Ду65</t>
        </is>
      </c>
      <c r="D54" s="9" t="inlineStr">
        <is>
          <t>Клапан фланцевый проходной Ду65</t>
        </is>
      </c>
      <c r="E54" s="8" t="n">
        <v>25</v>
      </c>
      <c r="F54" s="10" t="n">
        <v>20</v>
      </c>
      <c r="G54" s="10">
        <f>E54*F54</f>
        <v/>
      </c>
      <c r="H54" s="11" t="n"/>
      <c r="I54" s="10">
        <f>IF(H54="","",E54*H54)</f>
        <v/>
      </c>
      <c r="J54" s="8" t="inlineStr">
        <is>
          <t>Склад 3</t>
        </is>
      </c>
    </row>
    <row r="55">
      <c r="A55" s="8" t="n">
        <v>51</v>
      </c>
      <c r="B55" s="8" t="inlineStr">
        <is>
          <t>клапан фланцевый</t>
        </is>
      </c>
      <c r="C55" s="8" t="inlineStr">
        <is>
          <t>Ду65</t>
        </is>
      </c>
      <c r="D55" s="9" t="inlineStr">
        <is>
          <t>Клапан фланцевый проходной Ду65 Ру10</t>
        </is>
      </c>
      <c r="E55" s="8" t="n">
        <v>1</v>
      </c>
      <c r="F55" s="10" t="n">
        <v>20</v>
      </c>
      <c r="G55" s="10">
        <f>E55*F55</f>
        <v/>
      </c>
      <c r="H55" s="11" t="n"/>
      <c r="I55" s="10">
        <f>IF(H55="","",E55*H55)</f>
        <v/>
      </c>
      <c r="J55" s="8" t="inlineStr">
        <is>
          <t>Склад 3</t>
        </is>
      </c>
    </row>
    <row r="56">
      <c r="A56" s="8" t="n">
        <v>52</v>
      </c>
      <c r="B56" s="8" t="inlineStr">
        <is>
          <t>клапан фланцевый</t>
        </is>
      </c>
      <c r="C56" s="8" t="inlineStr">
        <is>
          <t>Ду65</t>
        </is>
      </c>
      <c r="D56" s="9" t="inlineStr">
        <is>
          <t>Клапан фланцевый угловой Ду65 Ру10</t>
        </is>
      </c>
      <c r="E56" s="8" t="n">
        <v>6</v>
      </c>
      <c r="F56" s="10" t="n">
        <v>20</v>
      </c>
      <c r="G56" s="10">
        <f>E56*F56</f>
        <v/>
      </c>
      <c r="H56" s="11" t="n"/>
      <c r="I56" s="10">
        <f>IF(H56="","",E56*H56)</f>
        <v/>
      </c>
      <c r="J56" s="8" t="inlineStr">
        <is>
          <t>Склад 3</t>
        </is>
      </c>
    </row>
    <row r="57">
      <c r="A57" s="8" t="n">
        <v>53</v>
      </c>
      <c r="B57" s="8" t="inlineStr">
        <is>
          <t>клапан фланцевый</t>
        </is>
      </c>
      <c r="C57" s="8" t="inlineStr">
        <is>
          <t>Ду65</t>
        </is>
      </c>
      <c r="D57" s="9" t="inlineStr">
        <is>
          <t>Клапан фланцевый угловой Ду65 Ру10</t>
        </is>
      </c>
      <c r="E57" s="8" t="n">
        <v>3</v>
      </c>
      <c r="F57" s="10" t="n">
        <v>20</v>
      </c>
      <c r="G57" s="10">
        <f>E57*F57</f>
        <v/>
      </c>
      <c r="H57" s="11" t="n"/>
      <c r="I57" s="10">
        <f>IF(H57="","",E57*H57)</f>
        <v/>
      </c>
      <c r="J57" s="8" t="inlineStr">
        <is>
          <t>Склад 3</t>
        </is>
      </c>
    </row>
    <row r="58">
      <c r="A58" s="8" t="n">
        <v>54</v>
      </c>
      <c r="B58" s="8" t="inlineStr">
        <is>
          <t>клапан фланцевый</t>
        </is>
      </c>
      <c r="C58" s="8" t="inlineStr">
        <is>
          <t>Ду65</t>
        </is>
      </c>
      <c r="D58" s="9" t="inlineStr">
        <is>
          <t>Клапан фланцевый угловой Ду65 Ру10</t>
        </is>
      </c>
      <c r="E58" s="8" t="n">
        <v>12</v>
      </c>
      <c r="F58" s="10" t="n">
        <v>20</v>
      </c>
      <c r="G58" s="10">
        <f>E58*F58</f>
        <v/>
      </c>
      <c r="H58" s="11" t="n"/>
      <c r="I58" s="10">
        <f>IF(H58="","",E58*H58)</f>
        <v/>
      </c>
      <c r="J58" s="8" t="inlineStr">
        <is>
          <t>Склад 3</t>
        </is>
      </c>
    </row>
    <row r="59">
      <c r="A59" s="8" t="n">
        <v>55</v>
      </c>
      <c r="B59" s="8" t="inlineStr">
        <is>
          <t>клапан фланцевый</t>
        </is>
      </c>
      <c r="C59" s="8" t="inlineStr">
        <is>
          <t>Ду70</t>
        </is>
      </c>
      <c r="D59" s="9" t="inlineStr">
        <is>
          <t>Клапан быстрозапор. фланц.проход.с тросиков.приводом Ду70 Ру6,3</t>
        </is>
      </c>
      <c r="E59" s="8" t="n">
        <v>3</v>
      </c>
      <c r="F59" s="10" t="n">
        <v>23</v>
      </c>
      <c r="G59" s="10">
        <f>E59*F59</f>
        <v/>
      </c>
      <c r="H59" s="11" t="n"/>
      <c r="I59" s="10">
        <f>IF(H59="","",E59*H59)</f>
        <v/>
      </c>
      <c r="J59" s="8" t="inlineStr">
        <is>
          <t>Склад 2</t>
        </is>
      </c>
    </row>
    <row r="60">
      <c r="A60" s="8" t="n">
        <v>56</v>
      </c>
      <c r="B60" s="8" t="inlineStr">
        <is>
          <t>клапан фланцевый</t>
        </is>
      </c>
      <c r="C60" s="8" t="inlineStr">
        <is>
          <t>Ду70</t>
        </is>
      </c>
      <c r="D60" s="9" t="inlineStr">
        <is>
          <t>Клапан фланцевый проходной Ду70 Ру10</t>
        </is>
      </c>
      <c r="E60" s="8" t="n">
        <v>5</v>
      </c>
      <c r="F60" s="10" t="n">
        <v>23</v>
      </c>
      <c r="G60" s="10">
        <f>E60*F60</f>
        <v/>
      </c>
      <c r="H60" s="11" t="n"/>
      <c r="I60" s="10">
        <f>IF(H60="","",E60*H60)</f>
        <v/>
      </c>
      <c r="J60" s="8" t="inlineStr">
        <is>
          <t>Склад 3</t>
        </is>
      </c>
    </row>
    <row r="61">
      <c r="A61" s="8" t="n">
        <v>57</v>
      </c>
      <c r="B61" s="8" t="inlineStr">
        <is>
          <t>клапан фланцевый</t>
        </is>
      </c>
      <c r="C61" s="8" t="inlineStr">
        <is>
          <t>Ду70</t>
        </is>
      </c>
      <c r="D61" s="9" t="inlineStr">
        <is>
          <t>Клапан фланцевый проходной Ду70 Ру10</t>
        </is>
      </c>
      <c r="E61" s="8" t="n">
        <v>2</v>
      </c>
      <c r="F61" s="10" t="n">
        <v>23</v>
      </c>
      <c r="G61" s="10">
        <f>E61*F61</f>
        <v/>
      </c>
      <c r="H61" s="11" t="n"/>
      <c r="I61" s="10">
        <f>IF(H61="","",E61*H61)</f>
        <v/>
      </c>
      <c r="J61" s="8" t="inlineStr">
        <is>
          <t>Склад 3</t>
        </is>
      </c>
    </row>
    <row r="62">
      <c r="A62" s="8" t="n">
        <v>58</v>
      </c>
      <c r="B62" s="8" t="inlineStr">
        <is>
          <t>клапан фланцевый</t>
        </is>
      </c>
      <c r="C62" s="8" t="inlineStr">
        <is>
          <t>Ду80</t>
        </is>
      </c>
      <c r="D62" s="9" t="inlineStr">
        <is>
          <t>Клапан быстрозапор. фланц.проход.с тросиков.приводом Ду80 Ру6,3</t>
        </is>
      </c>
      <c r="E62" s="8" t="n">
        <v>2</v>
      </c>
      <c r="F62" s="10" t="n">
        <v>28</v>
      </c>
      <c r="G62" s="10">
        <f>E62*F62</f>
        <v/>
      </c>
      <c r="H62" s="11" t="n"/>
      <c r="I62" s="10">
        <f>IF(H62="","",E62*H62)</f>
        <v/>
      </c>
      <c r="J62" s="8" t="inlineStr">
        <is>
          <t>Склад 2</t>
        </is>
      </c>
    </row>
    <row r="63">
      <c r="A63" s="8" t="n">
        <v>59</v>
      </c>
      <c r="B63" s="8" t="inlineStr">
        <is>
          <t>клапан фланцевый</t>
        </is>
      </c>
      <c r="C63" s="8" t="inlineStr">
        <is>
          <t>Ду80</t>
        </is>
      </c>
      <c r="D63" s="9" t="inlineStr">
        <is>
          <t>Клапан фланцевый проходной Ду 80 Ру 10, 521 -35.3451</t>
        </is>
      </c>
      <c r="E63" s="8" t="n">
        <v>1</v>
      </c>
      <c r="F63" s="10" t="n">
        <v>28</v>
      </c>
      <c r="G63" s="10">
        <f>E63*F63</f>
        <v/>
      </c>
      <c r="H63" s="11" t="n"/>
      <c r="I63" s="10">
        <f>IF(H63="","",E63*H63)</f>
        <v/>
      </c>
      <c r="J63" s="8" t="inlineStr">
        <is>
          <t>Склад 1А/1Б</t>
        </is>
      </c>
    </row>
    <row r="64">
      <c r="A64" s="8" t="n">
        <v>60</v>
      </c>
      <c r="B64" s="8" t="inlineStr">
        <is>
          <t>клапан фланцевый</t>
        </is>
      </c>
      <c r="C64" s="8" t="inlineStr">
        <is>
          <t>Ду80</t>
        </is>
      </c>
      <c r="D64" s="9" t="inlineStr">
        <is>
          <t>Клапан фланцевый проходной Ду80</t>
        </is>
      </c>
      <c r="E64" s="8" t="n">
        <v>6</v>
      </c>
      <c r="F64" s="10" t="n">
        <v>28</v>
      </c>
      <c r="G64" s="10">
        <f>E64*F64</f>
        <v/>
      </c>
      <c r="H64" s="11" t="n"/>
      <c r="I64" s="10">
        <f>IF(H64="","",E64*H64)</f>
        <v/>
      </c>
      <c r="J64" s="8" t="inlineStr">
        <is>
          <t>Склад 3</t>
        </is>
      </c>
    </row>
    <row r="65">
      <c r="A65" s="8" t="n">
        <v>61</v>
      </c>
      <c r="B65" s="8" t="inlineStr">
        <is>
          <t>клапан фланцевый</t>
        </is>
      </c>
      <c r="C65" s="8" t="inlineStr">
        <is>
          <t>Ду80</t>
        </is>
      </c>
      <c r="D65" s="9" t="inlineStr">
        <is>
          <t>Клапан фланцевый проходной Ду80 Ру 40 сталь (521-35.3437)</t>
        </is>
      </c>
      <c r="E65" s="8" t="n">
        <v>1</v>
      </c>
      <c r="F65" s="10" t="n">
        <v>28</v>
      </c>
      <c r="G65" s="10">
        <f>E65*F65</f>
        <v/>
      </c>
      <c r="H65" s="11" t="n"/>
      <c r="I65" s="10">
        <f>IF(H65="","",E65*H65)</f>
        <v/>
      </c>
      <c r="J65" s="8" t="inlineStr">
        <is>
          <t>Склад 1А/1Б</t>
        </is>
      </c>
    </row>
    <row r="66">
      <c r="A66" s="8" t="n">
        <v>62</v>
      </c>
      <c r="B66" s="8" t="inlineStr">
        <is>
          <t>клапан фланцевый</t>
        </is>
      </c>
      <c r="C66" s="8" t="inlineStr">
        <is>
          <t>Ду80</t>
        </is>
      </c>
      <c r="D66" s="9" t="inlineStr">
        <is>
          <t>Клапан фланцевый проходной Ду80 Ру 40 сталь (522-01.101)</t>
        </is>
      </c>
      <c r="E66" s="8" t="n">
        <v>1</v>
      </c>
      <c r="F66" s="10" t="n">
        <v>28</v>
      </c>
      <c r="G66" s="10">
        <f>E66*F66</f>
        <v/>
      </c>
      <c r="H66" s="11" t="n"/>
      <c r="I66" s="10">
        <f>IF(H66="","",E66*H66)</f>
        <v/>
      </c>
      <c r="J66" s="8" t="inlineStr">
        <is>
          <t>Склад 1А/1Б</t>
        </is>
      </c>
    </row>
    <row r="67">
      <c r="A67" s="8" t="n">
        <v>63</v>
      </c>
      <c r="B67" s="8" t="inlineStr">
        <is>
          <t>клапан фланцевый</t>
        </is>
      </c>
      <c r="C67" s="8" t="inlineStr">
        <is>
          <t>Ду80</t>
        </is>
      </c>
      <c r="D67" s="9" t="inlineStr">
        <is>
          <t>Клапан фланцевый угловой Ду80</t>
        </is>
      </c>
      <c r="E67" s="8" t="n">
        <v>7</v>
      </c>
      <c r="F67" s="10" t="n">
        <v>28</v>
      </c>
      <c r="G67" s="10">
        <f>E67*F67</f>
        <v/>
      </c>
      <c r="H67" s="11" t="n"/>
      <c r="I67" s="10">
        <f>IF(H67="","",E67*H67)</f>
        <v/>
      </c>
      <c r="J67" s="8" t="inlineStr">
        <is>
          <t>Склад 3</t>
        </is>
      </c>
    </row>
    <row r="68">
      <c r="A68" s="8" t="n">
        <v>64</v>
      </c>
      <c r="B68" s="8" t="inlineStr">
        <is>
          <t>клапан фланцевый</t>
        </is>
      </c>
      <c r="C68" s="8" t="inlineStr">
        <is>
          <t>Ду100</t>
        </is>
      </c>
      <c r="D68" s="9" t="inlineStr">
        <is>
          <t>Клапан фланцевый проходной Ду100 Ру10</t>
        </is>
      </c>
      <c r="E68" s="8" t="n">
        <v>5</v>
      </c>
      <c r="F68" s="10" t="n">
        <v>40</v>
      </c>
      <c r="G68" s="10">
        <f>E68*F68</f>
        <v/>
      </c>
      <c r="H68" s="11" t="n"/>
      <c r="I68" s="10">
        <f>IF(H68="","",E68*H68)</f>
        <v/>
      </c>
      <c r="J68" s="8" t="inlineStr">
        <is>
          <t>Склад 3</t>
        </is>
      </c>
    </row>
    <row r="69">
      <c r="A69" s="8" t="n">
        <v>65</v>
      </c>
      <c r="B69" s="8" t="inlineStr">
        <is>
          <t>клапан фланцевый</t>
        </is>
      </c>
      <c r="C69" s="8" t="inlineStr">
        <is>
          <t>Ду100</t>
        </is>
      </c>
      <c r="D69" s="9" t="inlineStr">
        <is>
          <t>Клапан фланцевый проходной титановые Ду100Ру10</t>
        </is>
      </c>
      <c r="E69" s="8" t="n">
        <v>1</v>
      </c>
      <c r="F69" s="10" t="n">
        <v>40</v>
      </c>
      <c r="G69" s="10">
        <f>E69*F69</f>
        <v/>
      </c>
      <c r="H69" s="11" t="n"/>
      <c r="I69" s="10">
        <f>IF(H69="","",E69*H69)</f>
        <v/>
      </c>
      <c r="J69" s="8" t="inlineStr">
        <is>
          <t>Склад 2</t>
        </is>
      </c>
    </row>
    <row r="70">
      <c r="A70" s="8" t="n">
        <v>66</v>
      </c>
      <c r="B70" s="8" t="inlineStr">
        <is>
          <t>клапан фланцевый</t>
        </is>
      </c>
      <c r="C70" s="8" t="inlineStr">
        <is>
          <t>Ду100</t>
        </is>
      </c>
      <c r="D70" s="9" t="inlineStr">
        <is>
          <t>Клапана невозвратный проходной фланцевый Ду100 Ру10 (522-03.205)</t>
        </is>
      </c>
      <c r="E70" s="8" t="n">
        <v>5</v>
      </c>
      <c r="F70" s="10" t="n">
        <v>40</v>
      </c>
      <c r="G70" s="10">
        <f>E70*F70</f>
        <v/>
      </c>
      <c r="H70" s="11" t="n"/>
      <c r="I70" s="10">
        <f>IF(H70="","",E70*H70)</f>
        <v/>
      </c>
      <c r="J70" s="8" t="inlineStr">
        <is>
          <t>Склад 1А/1Б</t>
        </is>
      </c>
    </row>
    <row r="71">
      <c r="A71" s="8" t="n">
        <v>67</v>
      </c>
      <c r="B71" s="8" t="inlineStr">
        <is>
          <t>клапан фланцевый</t>
        </is>
      </c>
      <c r="C71" s="8" t="inlineStr">
        <is>
          <t>Ду125</t>
        </is>
      </c>
      <c r="D71" s="9" t="inlineStr">
        <is>
          <t>Клапан фланцевый проходной Ду 125 (без чертежа)</t>
        </is>
      </c>
      <c r="E71" s="8" t="n">
        <v>1</v>
      </c>
      <c r="F71" s="10" t="n">
        <v>55</v>
      </c>
      <c r="G71" s="10">
        <f>E71*F71</f>
        <v/>
      </c>
      <c r="H71" s="11" t="n"/>
      <c r="I71" s="10">
        <f>IF(H71="","",E71*H71)</f>
        <v/>
      </c>
      <c r="J71" s="8" t="inlineStr">
        <is>
          <t>Склад 1А/1Б</t>
        </is>
      </c>
    </row>
    <row r="72">
      <c r="A72" s="8" t="n">
        <v>68</v>
      </c>
      <c r="B72" s="8" t="inlineStr">
        <is>
          <t>клапан фланцевый</t>
        </is>
      </c>
      <c r="C72" s="8" t="inlineStr">
        <is>
          <t>Ду125</t>
        </is>
      </c>
      <c r="D72" s="9" t="inlineStr">
        <is>
          <t>Клапан фланцевый проходной Ду125</t>
        </is>
      </c>
      <c r="E72" s="8" t="n">
        <v>6</v>
      </c>
      <c r="F72" s="10" t="n">
        <v>55</v>
      </c>
      <c r="G72" s="10">
        <f>E72*F72</f>
        <v/>
      </c>
      <c r="H72" s="11" t="n"/>
      <c r="I72" s="10">
        <f>IF(H72="","",E72*H72)</f>
        <v/>
      </c>
      <c r="J72" s="8" t="inlineStr">
        <is>
          <t>Склад 3</t>
        </is>
      </c>
    </row>
    <row r="73">
      <c r="A73" s="8" t="n">
        <v>69</v>
      </c>
      <c r="B73" s="8" t="inlineStr">
        <is>
          <t>клапан фланцевый</t>
        </is>
      </c>
      <c r="C73" s="8" t="inlineStr">
        <is>
          <t>Ду125</t>
        </is>
      </c>
      <c r="D73" s="9" t="inlineStr">
        <is>
          <t>Клапан фланцевый проходной Ду125 Ру10</t>
        </is>
      </c>
      <c r="E73" s="8" t="n">
        <v>3</v>
      </c>
      <c r="F73" s="10" t="n">
        <v>55</v>
      </c>
      <c r="G73" s="10">
        <f>E73*F73</f>
        <v/>
      </c>
      <c r="H73" s="11" t="n"/>
      <c r="I73" s="10">
        <f>IF(H73="","",E73*H73)</f>
        <v/>
      </c>
      <c r="J73" s="8" t="inlineStr">
        <is>
          <t>Склад 3</t>
        </is>
      </c>
    </row>
    <row r="74">
      <c r="A74" s="8" t="n">
        <v>70</v>
      </c>
      <c r="B74" s="8" t="inlineStr">
        <is>
          <t>клапан фланцевый</t>
        </is>
      </c>
      <c r="C74" s="8" t="inlineStr">
        <is>
          <t>Ду125</t>
        </is>
      </c>
      <c r="D74" s="9" t="inlineStr">
        <is>
          <t>Клапан фланцевый проходной Ду125 ок.входа</t>
        </is>
      </c>
      <c r="E74" s="8" t="n">
        <v>2</v>
      </c>
      <c r="F74" s="10" t="n">
        <v>55</v>
      </c>
      <c r="G74" s="10">
        <f>E74*F74</f>
        <v/>
      </c>
      <c r="H74" s="11" t="n"/>
      <c r="I74" s="10">
        <f>IF(H74="","",E74*H74)</f>
        <v/>
      </c>
      <c r="J74" s="8" t="inlineStr">
        <is>
          <t>Склад 2</t>
        </is>
      </c>
    </row>
    <row r="75">
      <c r="A75" s="8" t="n">
        <v>71</v>
      </c>
      <c r="B75" s="8" t="inlineStr">
        <is>
          <t>клапан фланцевый</t>
        </is>
      </c>
      <c r="C75" s="8" t="inlineStr">
        <is>
          <t>Ду150</t>
        </is>
      </c>
      <c r="D75" s="9" t="inlineStr">
        <is>
          <t>Клапан фланцевый проходной Ду150</t>
        </is>
      </c>
      <c r="E75" s="8" t="n">
        <v>2</v>
      </c>
      <c r="F75" s="10" t="n">
        <v>75</v>
      </c>
      <c r="G75" s="10">
        <f>E75*F75</f>
        <v/>
      </c>
      <c r="H75" s="11" t="n"/>
      <c r="I75" s="10">
        <f>IF(H75="","",E75*H75)</f>
        <v/>
      </c>
      <c r="J75" s="8" t="inlineStr">
        <is>
          <t>Склад 3</t>
        </is>
      </c>
    </row>
    <row r="76">
      <c r="A76" s="8" t="n">
        <v>72</v>
      </c>
      <c r="B76" s="8" t="inlineStr">
        <is>
          <t>клапан фланцевый</t>
        </is>
      </c>
      <c r="C76" s="8" t="inlineStr">
        <is>
          <t>Ду150</t>
        </is>
      </c>
      <c r="D76" s="9" t="inlineStr">
        <is>
          <t>Клапан фланцевый угловой Ду150 Ру10</t>
        </is>
      </c>
      <c r="E76" s="8" t="n">
        <v>1</v>
      </c>
      <c r="F76" s="10" t="n">
        <v>75</v>
      </c>
      <c r="G76" s="10">
        <f>E76*F76</f>
        <v/>
      </c>
      <c r="H76" s="11" t="n"/>
      <c r="I76" s="10">
        <f>IF(H76="","",E76*H76)</f>
        <v/>
      </c>
      <c r="J76" s="8" t="inlineStr">
        <is>
          <t>Склад 3</t>
        </is>
      </c>
    </row>
    <row r="77">
      <c r="A77" s="8" t="n">
        <v>73</v>
      </c>
      <c r="B77" s="8" t="inlineStr">
        <is>
          <t>клапан фланцевый</t>
        </is>
      </c>
      <c r="C77" s="8" t="inlineStr">
        <is>
          <t>Ду150</t>
        </is>
      </c>
      <c r="D77" s="9" t="inlineStr">
        <is>
          <t>Клапан фланцевый угловой Ду150 Ру10</t>
        </is>
      </c>
      <c r="E77" s="8" t="n">
        <v>1</v>
      </c>
      <c r="F77" s="10" t="n">
        <v>75</v>
      </c>
      <c r="G77" s="10">
        <f>E77*F77</f>
        <v/>
      </c>
      <c r="H77" s="11" t="n"/>
      <c r="I77" s="10">
        <f>IF(H77="","",E77*H77)</f>
        <v/>
      </c>
      <c r="J77" s="8" t="inlineStr">
        <is>
          <t>Склад 3</t>
        </is>
      </c>
    </row>
    <row r="78">
      <c r="A78" s="8" t="n">
        <v>74</v>
      </c>
      <c r="B78" s="8" t="inlineStr">
        <is>
          <t>клапан фланцевый</t>
        </is>
      </c>
      <c r="C78" s="8" t="inlineStr">
        <is>
          <t>Ду200</t>
        </is>
      </c>
      <c r="D78" s="9" t="inlineStr">
        <is>
          <t>Клапан фланцевый проходной Ду200</t>
        </is>
      </c>
      <c r="E78" s="8" t="n">
        <v>3</v>
      </c>
      <c r="F78" s="10" t="n">
        <v>130</v>
      </c>
      <c r="G78" s="10">
        <f>E78*F78</f>
        <v/>
      </c>
      <c r="H78" s="11" t="n"/>
      <c r="I78" s="10">
        <f>IF(H78="","",E78*H78)</f>
        <v/>
      </c>
      <c r="J78" s="8" t="inlineStr">
        <is>
          <t>Склад 1А/1Б</t>
        </is>
      </c>
    </row>
    <row r="79">
      <c r="A79" s="8" t="n">
        <v>75</v>
      </c>
      <c r="B79" s="8" t="inlineStr">
        <is>
          <t>клапан фланцевый</t>
        </is>
      </c>
      <c r="C79" s="8" t="inlineStr">
        <is>
          <t>Ду200</t>
        </is>
      </c>
      <c r="D79" s="9" t="inlineStr">
        <is>
          <t>Клапан фланцевый проходной Ду200 Ру6</t>
        </is>
      </c>
      <c r="E79" s="8" t="n">
        <v>1</v>
      </c>
      <c r="F79" s="10" t="n">
        <v>130</v>
      </c>
      <c r="G79" s="10">
        <f>E79*F79</f>
        <v/>
      </c>
      <c r="H79" s="11" t="n"/>
      <c r="I79" s="10">
        <f>IF(H79="","",E79*H79)</f>
        <v/>
      </c>
      <c r="J79" s="8" t="inlineStr">
        <is>
          <t>Склад 3</t>
        </is>
      </c>
    </row>
    <row r="80">
      <c r="A80" s="8" t="n">
        <v>76</v>
      </c>
      <c r="B80" s="8" t="inlineStr">
        <is>
          <t>клапан штуцерный</t>
        </is>
      </c>
      <c r="C80" s="8" t="inlineStr">
        <is>
          <t>не указан</t>
        </is>
      </c>
      <c r="D80" s="9" t="inlineStr">
        <is>
          <t>Клапан для манометра штуцерный сальниковый</t>
        </is>
      </c>
      <c r="E80" s="8" t="n">
        <v>18</v>
      </c>
      <c r="F80" s="10" t="n">
        <v>2</v>
      </c>
      <c r="G80" s="10">
        <f>E80*F80</f>
        <v/>
      </c>
      <c r="H80" s="11" t="n"/>
      <c r="I80" s="10">
        <f>IF(H80="","",E80*H80)</f>
        <v/>
      </c>
      <c r="J80" s="8" t="inlineStr">
        <is>
          <t>Менеджерская</t>
        </is>
      </c>
    </row>
    <row r="81">
      <c r="A81" s="8" t="n">
        <v>77</v>
      </c>
      <c r="B81" s="8" t="inlineStr">
        <is>
          <t>клапан штуцерный</t>
        </is>
      </c>
      <c r="C81" s="8" t="inlineStr">
        <is>
          <t>не указан</t>
        </is>
      </c>
      <c r="D81" s="9" t="inlineStr">
        <is>
          <t>Клапан дроссельный угловой штуцерный</t>
        </is>
      </c>
      <c r="E81" s="8" t="n">
        <v>1</v>
      </c>
      <c r="F81" s="10" t="n">
        <v>2</v>
      </c>
      <c r="G81" s="10">
        <f>E81*F81</f>
        <v/>
      </c>
      <c r="H81" s="11" t="n"/>
      <c r="I81" s="10">
        <f>IF(H81="","",E81*H81)</f>
        <v/>
      </c>
      <c r="J81" s="8" t="inlineStr">
        <is>
          <t>Склад 2</t>
        </is>
      </c>
    </row>
    <row r="82">
      <c r="A82" s="8" t="n">
        <v>78</v>
      </c>
      <c r="B82" s="8" t="inlineStr">
        <is>
          <t>клапан штуцерный</t>
        </is>
      </c>
      <c r="C82" s="8" t="inlineStr">
        <is>
          <t>не указан</t>
        </is>
      </c>
      <c r="D82" s="9" t="inlineStr">
        <is>
          <t>Клапан штуцерный угловой Ду НЕРЖ</t>
        </is>
      </c>
      <c r="E82" s="8" t="n">
        <v>1</v>
      </c>
      <c r="F82" s="10" t="n">
        <v>2</v>
      </c>
      <c r="G82" s="10">
        <f>E82*F82</f>
        <v/>
      </c>
      <c r="H82" s="11" t="n"/>
      <c r="I82" s="10">
        <f>IF(H82="","",E82*H82)</f>
        <v/>
      </c>
      <c r="J82" s="8" t="inlineStr">
        <is>
          <t>Склад 2</t>
        </is>
      </c>
    </row>
    <row r="83">
      <c r="A83" s="8" t="n">
        <v>79</v>
      </c>
      <c r="B83" s="8" t="inlineStr">
        <is>
          <t>клапан штуцерный</t>
        </is>
      </c>
      <c r="C83" s="8" t="inlineStr">
        <is>
          <t>не указан</t>
        </is>
      </c>
      <c r="D83" s="9" t="inlineStr">
        <is>
          <t>Клапан штуцерный угловой Рр150/10</t>
        </is>
      </c>
      <c r="E83" s="8" t="n">
        <v>8</v>
      </c>
      <c r="F83" s="10" t="n">
        <v>2</v>
      </c>
      <c r="G83" s="10">
        <f>E83*F83</f>
        <v/>
      </c>
      <c r="H83" s="11" t="n"/>
      <c r="I83" s="10">
        <f>IF(H83="","",E83*H83)</f>
        <v/>
      </c>
      <c r="J83" s="8" t="inlineStr">
        <is>
          <t>Склад 2</t>
        </is>
      </c>
    </row>
    <row r="84">
      <c r="A84" s="8" t="n">
        <v>80</v>
      </c>
      <c r="B84" s="8" t="inlineStr">
        <is>
          <t>клапан штуцерный</t>
        </is>
      </c>
      <c r="C84" s="8" t="inlineStr">
        <is>
          <t>Ду3</t>
        </is>
      </c>
      <c r="D84" s="9" t="inlineStr">
        <is>
          <t>Клапан для манометра штущерный Ду3Ру400 новый</t>
        </is>
      </c>
      <c r="E84" s="8" t="n">
        <v>2</v>
      </c>
      <c r="F84" s="10" t="n">
        <v>0.3</v>
      </c>
      <c r="G84" s="10">
        <f>E84*F84</f>
        <v/>
      </c>
      <c r="H84" s="11" t="n"/>
      <c r="I84" s="10">
        <f>IF(H84="","",E84*H84)</f>
        <v/>
      </c>
      <c r="J84" s="8" t="inlineStr">
        <is>
          <t>Склад 2</t>
        </is>
      </c>
    </row>
    <row r="85">
      <c r="A85" s="8" t="n">
        <v>81</v>
      </c>
      <c r="B85" s="8" t="inlineStr">
        <is>
          <t>клапан штуцерный</t>
        </is>
      </c>
      <c r="C85" s="8" t="inlineStr">
        <is>
          <t>Ду6</t>
        </is>
      </c>
      <c r="D85" s="9" t="inlineStr">
        <is>
          <t>Клапан для манометра штущерный сальниковый Ду6Ру100 б/у</t>
        </is>
      </c>
      <c r="E85" s="8" t="n">
        <v>1</v>
      </c>
      <c r="F85" s="10" t="n">
        <v>0.4</v>
      </c>
      <c r="G85" s="10">
        <f>E85*F85</f>
        <v/>
      </c>
      <c r="H85" s="11" t="n"/>
      <c r="I85" s="10">
        <f>IF(H85="","",E85*H85)</f>
        <v/>
      </c>
      <c r="J85" s="8" t="inlineStr">
        <is>
          <t>Склад 2</t>
        </is>
      </c>
    </row>
    <row r="86">
      <c r="A86" s="8" t="n">
        <v>82</v>
      </c>
      <c r="B86" s="8" t="inlineStr">
        <is>
          <t>клапан штуцерный</t>
        </is>
      </c>
      <c r="C86" s="8" t="inlineStr">
        <is>
          <t>Ду6</t>
        </is>
      </c>
      <c r="D86" s="9" t="inlineStr">
        <is>
          <t>Клапан для манометра штущерный сальниковый Ду6Ру100 б/у</t>
        </is>
      </c>
      <c r="E86" s="8" t="n">
        <v>1</v>
      </c>
      <c r="F86" s="10" t="n">
        <v>0.4</v>
      </c>
      <c r="G86" s="10">
        <f>E86*F86</f>
        <v/>
      </c>
      <c r="H86" s="11" t="n"/>
      <c r="I86" s="10">
        <f>IF(H86="","",E86*H86)</f>
        <v/>
      </c>
      <c r="J86" s="8" t="inlineStr">
        <is>
          <t>Склад 2</t>
        </is>
      </c>
    </row>
    <row r="87">
      <c r="A87" s="8" t="n">
        <v>83</v>
      </c>
      <c r="B87" s="8" t="inlineStr">
        <is>
          <t>клапан штуцерный</t>
        </is>
      </c>
      <c r="C87" s="8" t="inlineStr">
        <is>
          <t>Ду6</t>
        </is>
      </c>
      <c r="D87" s="9" t="inlineStr">
        <is>
          <t>Клапан для манометра штущерный сальниковый Ду6Ру100 новый</t>
        </is>
      </c>
      <c r="E87" s="8" t="n">
        <v>95</v>
      </c>
      <c r="F87" s="10" t="n">
        <v>0.4</v>
      </c>
      <c r="G87" s="10">
        <f>E87*F87</f>
        <v/>
      </c>
      <c r="H87" s="11" t="n"/>
      <c r="I87" s="10">
        <f>IF(H87="","",E87*H87)</f>
        <v/>
      </c>
      <c r="J87" s="8" t="inlineStr">
        <is>
          <t>Склад 2</t>
        </is>
      </c>
    </row>
    <row r="88">
      <c r="A88" s="8" t="n">
        <v>84</v>
      </c>
      <c r="B88" s="8" t="inlineStr">
        <is>
          <t>клапан штуцерный</t>
        </is>
      </c>
      <c r="C88" s="8" t="inlineStr">
        <is>
          <t>Ду6</t>
        </is>
      </c>
      <c r="D88" s="9" t="inlineStr">
        <is>
          <t>Клапан предохранительный штуцерный сигнальный Ду6 Ру100-230</t>
        </is>
      </c>
      <c r="E88" s="8" t="n">
        <v>1</v>
      </c>
      <c r="F88" s="10" t="n">
        <v>0.4</v>
      </c>
      <c r="G88" s="10">
        <f>E88*F88</f>
        <v/>
      </c>
      <c r="H88" s="11" t="n"/>
      <c r="I88" s="10">
        <f>IF(H88="","",E88*H88)</f>
        <v/>
      </c>
      <c r="J88" s="8" t="inlineStr">
        <is>
          <t>Склад 2</t>
        </is>
      </c>
    </row>
    <row r="89">
      <c r="A89" s="8" t="n">
        <v>85</v>
      </c>
      <c r="B89" s="8" t="inlineStr">
        <is>
          <t>клапан штуцерный</t>
        </is>
      </c>
      <c r="C89" s="8" t="inlineStr">
        <is>
          <t>Ду6</t>
        </is>
      </c>
      <c r="D89" s="9" t="inlineStr">
        <is>
          <t>Клапан предохранительный штуцерный сигнальный Ду6Ру100-250</t>
        </is>
      </c>
      <c r="E89" s="8" t="n">
        <v>2</v>
      </c>
      <c r="F89" s="10" t="n">
        <v>0.4</v>
      </c>
      <c r="G89" s="10">
        <f>E89*F89</f>
        <v/>
      </c>
      <c r="H89" s="11" t="n"/>
      <c r="I89" s="10">
        <f>IF(H89="","",E89*H89)</f>
        <v/>
      </c>
      <c r="J89" s="8" t="inlineStr">
        <is>
          <t>Склад 2</t>
        </is>
      </c>
    </row>
    <row r="90">
      <c r="A90" s="8" t="n">
        <v>86</v>
      </c>
      <c r="B90" s="8" t="inlineStr">
        <is>
          <t>клапан штуцерный</t>
        </is>
      </c>
      <c r="C90" s="8" t="inlineStr">
        <is>
          <t>Ду6</t>
        </is>
      </c>
      <c r="D90" s="9" t="inlineStr">
        <is>
          <t>Клапан предохранительный штуцерный угловой Ду6,5-9</t>
        </is>
      </c>
      <c r="E90" s="8" t="n">
        <v>1</v>
      </c>
      <c r="F90" s="10" t="n">
        <v>0.4</v>
      </c>
      <c r="G90" s="10">
        <f>E90*F90</f>
        <v/>
      </c>
      <c r="H90" s="11" t="n"/>
      <c r="I90" s="10">
        <f>IF(H90="","",E90*H90)</f>
        <v/>
      </c>
      <c r="J90" s="8" t="inlineStr">
        <is>
          <t>Склад 2</t>
        </is>
      </c>
    </row>
    <row r="91">
      <c r="A91" s="8" t="n">
        <v>87</v>
      </c>
      <c r="B91" s="8" t="inlineStr">
        <is>
          <t>клапан штуцерный</t>
        </is>
      </c>
      <c r="C91" s="8" t="inlineStr">
        <is>
          <t>Ду6</t>
        </is>
      </c>
      <c r="D91" s="9" t="inlineStr">
        <is>
          <t>Клапан штуцерный угловой Ду6Ру100</t>
        </is>
      </c>
      <c r="E91" s="8" t="n">
        <v>3</v>
      </c>
      <c r="F91" s="10" t="n">
        <v>0.4</v>
      </c>
      <c r="G91" s="10">
        <f>E91*F91</f>
        <v/>
      </c>
      <c r="H91" s="11" t="n"/>
      <c r="I91" s="10">
        <f>IF(H91="","",E91*H91)</f>
        <v/>
      </c>
      <c r="J91" s="8" t="inlineStr">
        <is>
          <t>Склад 2</t>
        </is>
      </c>
    </row>
    <row r="92">
      <c r="A92" s="8" t="n">
        <v>88</v>
      </c>
      <c r="B92" s="8" t="inlineStr">
        <is>
          <t>клапан штуцерный</t>
        </is>
      </c>
      <c r="C92" s="8" t="inlineStr">
        <is>
          <t>Ду10</t>
        </is>
      </c>
      <c r="D92" s="9" t="inlineStr">
        <is>
          <t>Клапан запорный штуцерный проходной Ду10 Ру16</t>
        </is>
      </c>
      <c r="E92" s="8" t="n">
        <v>6</v>
      </c>
      <c r="F92" s="10" t="n">
        <v>0.6</v>
      </c>
      <c r="G92" s="10">
        <f>E92*F92</f>
        <v/>
      </c>
      <c r="H92" s="11" t="n"/>
      <c r="I92" s="10">
        <f>IF(H92="","",E92*H92)</f>
        <v/>
      </c>
      <c r="J92" s="8" t="inlineStr">
        <is>
          <t>Склад 2</t>
        </is>
      </c>
    </row>
    <row r="93">
      <c r="A93" s="8" t="n">
        <v>89</v>
      </c>
      <c r="B93" s="8" t="inlineStr">
        <is>
          <t>клапан штуцерный</t>
        </is>
      </c>
      <c r="C93" s="8" t="inlineStr">
        <is>
          <t>Ду10</t>
        </is>
      </c>
      <c r="D93" s="9" t="inlineStr">
        <is>
          <t>Клапан предохранительный штуцерный сигнальный Ду10Ру1,3-6,5</t>
        </is>
      </c>
      <c r="E93" s="8" t="n">
        <v>1</v>
      </c>
      <c r="F93" s="10" t="n">
        <v>0.6</v>
      </c>
      <c r="G93" s="10">
        <f>E93*F93</f>
        <v/>
      </c>
      <c r="H93" s="11" t="n"/>
      <c r="I93" s="10">
        <f>IF(H93="","",E93*H93)</f>
        <v/>
      </c>
      <c r="J93" s="8" t="inlineStr">
        <is>
          <t>Склад 2</t>
        </is>
      </c>
    </row>
    <row r="94">
      <c r="A94" s="8" t="n">
        <v>90</v>
      </c>
      <c r="B94" s="8" t="inlineStr">
        <is>
          <t>клапан штуцерный</t>
        </is>
      </c>
      <c r="C94" s="8" t="inlineStr">
        <is>
          <t>Ду10</t>
        </is>
      </c>
      <c r="D94" s="9" t="inlineStr">
        <is>
          <t>Клапан предохранительный штуцерный сигнальный Ду10Ру2,5-6,5</t>
        </is>
      </c>
      <c r="E94" s="8" t="n">
        <v>1</v>
      </c>
      <c r="F94" s="10" t="n">
        <v>0.6</v>
      </c>
      <c r="G94" s="10">
        <f>E94*F94</f>
        <v/>
      </c>
      <c r="H94" s="11" t="n"/>
      <c r="I94" s="10">
        <f>IF(H94="","",E94*H94)</f>
        <v/>
      </c>
      <c r="J94" s="8" t="inlineStr">
        <is>
          <t>Склад 2</t>
        </is>
      </c>
    </row>
    <row r="95">
      <c r="A95" s="8" t="n">
        <v>91</v>
      </c>
      <c r="B95" s="8" t="inlineStr">
        <is>
          <t>клапан штуцерный</t>
        </is>
      </c>
      <c r="C95" s="8" t="inlineStr">
        <is>
          <t>Ду10</t>
        </is>
      </c>
      <c r="D95" s="9" t="inlineStr">
        <is>
          <t>Клапан редукционный штуцерный угловой Ду10Ру200…30 с манометром</t>
        </is>
      </c>
      <c r="E95" s="8" t="n">
        <v>1</v>
      </c>
      <c r="F95" s="10" t="n">
        <v>0.6</v>
      </c>
      <c r="G95" s="10">
        <f>E95*F95</f>
        <v/>
      </c>
      <c r="H95" s="11" t="n"/>
      <c r="I95" s="10">
        <f>IF(H95="","",E95*H95)</f>
        <v/>
      </c>
      <c r="J95" s="8" t="inlineStr">
        <is>
          <t>Склад 2</t>
        </is>
      </c>
    </row>
    <row r="96">
      <c r="A96" s="8" t="n">
        <v>92</v>
      </c>
      <c r="B96" s="8" t="inlineStr">
        <is>
          <t>клапан штуцерный</t>
        </is>
      </c>
      <c r="C96" s="8" t="inlineStr">
        <is>
          <t>Ду10</t>
        </is>
      </c>
      <c r="D96" s="9" t="inlineStr">
        <is>
          <t>Клапан редукционный штуцерный угловой Ду10Ру200…30 с манометром</t>
        </is>
      </c>
      <c r="E96" s="8" t="n">
        <v>1</v>
      </c>
      <c r="F96" s="10" t="n">
        <v>0.6</v>
      </c>
      <c r="G96" s="10">
        <f>E96*F96</f>
        <v/>
      </c>
      <c r="H96" s="11" t="n"/>
      <c r="I96" s="10">
        <f>IF(H96="","",E96*H96)</f>
        <v/>
      </c>
      <c r="J96" s="8" t="inlineStr">
        <is>
          <t>Склад 2</t>
        </is>
      </c>
    </row>
    <row r="97">
      <c r="A97" s="8" t="n">
        <v>93</v>
      </c>
      <c r="B97" s="8" t="inlineStr">
        <is>
          <t>клапан штуцерный</t>
        </is>
      </c>
      <c r="C97" s="8" t="inlineStr">
        <is>
          <t>Ду10</t>
        </is>
      </c>
      <c r="D97" s="9" t="inlineStr">
        <is>
          <t>Клапан штуцерный проходной Ду 10</t>
        </is>
      </c>
      <c r="E97" s="8" t="n">
        <v>83</v>
      </c>
      <c r="F97" s="10" t="n">
        <v>0.6</v>
      </c>
      <c r="G97" s="10">
        <f>E97*F97</f>
        <v/>
      </c>
      <c r="H97" s="11" t="n"/>
      <c r="I97" s="10">
        <f>IF(H97="","",E97*H97)</f>
        <v/>
      </c>
      <c r="J97" s="8" t="inlineStr">
        <is>
          <t>Склад 3</t>
        </is>
      </c>
    </row>
    <row r="98">
      <c r="A98" s="8" t="n">
        <v>94</v>
      </c>
      <c r="B98" s="8" t="inlineStr">
        <is>
          <t>клапан штуцерный</t>
        </is>
      </c>
      <c r="C98" s="8" t="inlineStr">
        <is>
          <t>Ду10</t>
        </is>
      </c>
      <c r="D98" s="9" t="inlineStr">
        <is>
          <t>Клапан штуцерный проходной Ду 10</t>
        </is>
      </c>
      <c r="E98" s="8" t="n">
        <v>4</v>
      </c>
      <c r="F98" s="10" t="n">
        <v>0.6</v>
      </c>
      <c r="G98" s="10">
        <f>E98*F98</f>
        <v/>
      </c>
      <c r="H98" s="11" t="n"/>
      <c r="I98" s="10">
        <f>IF(H98="","",E98*H98)</f>
        <v/>
      </c>
      <c r="J98" s="8" t="inlineStr">
        <is>
          <t>Менеджерская</t>
        </is>
      </c>
    </row>
    <row r="99">
      <c r="A99" s="8" t="n">
        <v>95</v>
      </c>
      <c r="B99" s="8" t="inlineStr">
        <is>
          <t>клапан штуцерный</t>
        </is>
      </c>
      <c r="C99" s="8" t="inlineStr">
        <is>
          <t>Ду10</t>
        </is>
      </c>
      <c r="D99" s="9" t="inlineStr">
        <is>
          <t>Клапан штуцерный проходной Ду 10 Ру 40</t>
        </is>
      </c>
      <c r="E99" s="8" t="n">
        <v>4</v>
      </c>
      <c r="F99" s="10" t="n">
        <v>0.6</v>
      </c>
      <c r="G99" s="10">
        <f>E99*F99</f>
        <v/>
      </c>
      <c r="H99" s="11" t="n"/>
      <c r="I99" s="10">
        <f>IF(H99="","",E99*H99)</f>
        <v/>
      </c>
      <c r="J99" s="8" t="inlineStr">
        <is>
          <t>Менеджерская</t>
        </is>
      </c>
    </row>
    <row r="100">
      <c r="A100" s="8" t="n">
        <v>96</v>
      </c>
      <c r="B100" s="8" t="inlineStr">
        <is>
          <t>клапан штуцерный</t>
        </is>
      </c>
      <c r="C100" s="8" t="inlineStr">
        <is>
          <t>Ду10</t>
        </is>
      </c>
      <c r="D100" s="9" t="inlineStr">
        <is>
          <t>Клапан штуцерный проходной Ду 10 Ру 40</t>
        </is>
      </c>
      <c r="E100" s="8" t="n">
        <v>1</v>
      </c>
      <c r="F100" s="10" t="n">
        <v>0.6</v>
      </c>
      <c r="G100" s="10">
        <f>E100*F100</f>
        <v/>
      </c>
      <c r="H100" s="11" t="n"/>
      <c r="I100" s="10">
        <f>IF(H100="","",E100*H100)</f>
        <v/>
      </c>
      <c r="J100" s="8" t="inlineStr">
        <is>
          <t>Менеджерская</t>
        </is>
      </c>
    </row>
    <row r="101">
      <c r="A101" s="8" t="n">
        <v>97</v>
      </c>
      <c r="B101" s="8" t="inlineStr">
        <is>
          <t>клапан штуцерный</t>
        </is>
      </c>
      <c r="C101" s="8" t="inlineStr">
        <is>
          <t>Ду10</t>
        </is>
      </c>
      <c r="D101" s="9" t="inlineStr">
        <is>
          <t>Клапан штуцерный проходной Ду 10 Ру100</t>
        </is>
      </c>
      <c r="E101" s="8" t="n">
        <v>7</v>
      </c>
      <c r="F101" s="10" t="n">
        <v>0.6</v>
      </c>
      <c r="G101" s="10">
        <f>E101*F101</f>
        <v/>
      </c>
      <c r="H101" s="11" t="n"/>
      <c r="I101" s="10">
        <f>IF(H101="","",E101*H101)</f>
        <v/>
      </c>
      <c r="J101" s="8" t="inlineStr">
        <is>
          <t>Склад 2</t>
        </is>
      </c>
    </row>
    <row r="102">
      <c r="A102" s="8" t="n">
        <v>98</v>
      </c>
      <c r="B102" s="8" t="inlineStr">
        <is>
          <t>клапан штуцерный</t>
        </is>
      </c>
      <c r="C102" s="8" t="inlineStr">
        <is>
          <t>Ду10</t>
        </is>
      </c>
      <c r="D102" s="9" t="inlineStr">
        <is>
          <t>Клапан штуцерный проходной Ду 10 Ру100</t>
        </is>
      </c>
      <c r="E102" s="8" t="n">
        <v>2</v>
      </c>
      <c r="F102" s="10" t="n">
        <v>0.6</v>
      </c>
      <c r="G102" s="10">
        <f>E102*F102</f>
        <v/>
      </c>
      <c r="H102" s="11" t="n"/>
      <c r="I102" s="10">
        <f>IF(H102="","",E102*H102)</f>
        <v/>
      </c>
      <c r="J102" s="8" t="inlineStr">
        <is>
          <t>Склад 2</t>
        </is>
      </c>
    </row>
    <row r="103">
      <c r="A103" s="8" t="n">
        <v>99</v>
      </c>
      <c r="B103" s="8" t="inlineStr">
        <is>
          <t>клапан штуцерный</t>
        </is>
      </c>
      <c r="C103" s="8" t="inlineStr">
        <is>
          <t>Ду10</t>
        </is>
      </c>
      <c r="D103" s="9" t="inlineStr">
        <is>
          <t>Клапан штуцерный проходной Ду 10 Ру100</t>
        </is>
      </c>
      <c r="E103" s="8" t="n">
        <v>5</v>
      </c>
      <c r="F103" s="10" t="n">
        <v>0.6</v>
      </c>
      <c r="G103" s="10">
        <f>E103*F103</f>
        <v/>
      </c>
      <c r="H103" s="11" t="n"/>
      <c r="I103" s="10">
        <f>IF(H103="","",E103*H103)</f>
        <v/>
      </c>
      <c r="J103" s="8" t="inlineStr">
        <is>
          <t>Менеджерская</t>
        </is>
      </c>
    </row>
    <row r="104">
      <c r="A104" s="8" t="n">
        <v>100</v>
      </c>
      <c r="B104" s="8" t="inlineStr">
        <is>
          <t>клапан штуцерный</t>
        </is>
      </c>
      <c r="C104" s="8" t="inlineStr">
        <is>
          <t>Ду10</t>
        </is>
      </c>
      <c r="D104" s="9" t="inlineStr">
        <is>
          <t>Клапан штуцерный проходной Ду 10 Ру100</t>
        </is>
      </c>
      <c r="E104" s="8" t="n">
        <v>3</v>
      </c>
      <c r="F104" s="10" t="n">
        <v>0.6</v>
      </c>
      <c r="G104" s="10">
        <f>E104*F104</f>
        <v/>
      </c>
      <c r="H104" s="11" t="n"/>
      <c r="I104" s="10">
        <f>IF(H104="","",E104*H104)</f>
        <v/>
      </c>
      <c r="J104" s="8" t="inlineStr">
        <is>
          <t>Менеджерская</t>
        </is>
      </c>
    </row>
    <row r="105">
      <c r="A105" s="8" t="n">
        <v>101</v>
      </c>
      <c r="B105" s="8" t="inlineStr">
        <is>
          <t>клапан штуцерный</t>
        </is>
      </c>
      <c r="C105" s="8" t="inlineStr">
        <is>
          <t>Ду10</t>
        </is>
      </c>
      <c r="D105" s="9" t="inlineStr">
        <is>
          <t>Клапан штуцерный проходной Ду 10 Ру100</t>
        </is>
      </c>
      <c r="E105" s="8" t="n">
        <v>3</v>
      </c>
      <c r="F105" s="10" t="n">
        <v>0.6</v>
      </c>
      <c r="G105" s="10">
        <f>E105*F105</f>
        <v/>
      </c>
      <c r="H105" s="11" t="n"/>
      <c r="I105" s="10">
        <f>IF(H105="","",E105*H105)</f>
        <v/>
      </c>
      <c r="J105" s="8" t="inlineStr">
        <is>
          <t>Менеджерская</t>
        </is>
      </c>
    </row>
    <row r="106">
      <c r="A106" s="8" t="n">
        <v>102</v>
      </c>
      <c r="B106" s="8" t="inlineStr">
        <is>
          <t>клапан штуцерный</t>
        </is>
      </c>
      <c r="C106" s="8" t="inlineStr">
        <is>
          <t>Ду10</t>
        </is>
      </c>
      <c r="D106" s="9" t="inlineStr">
        <is>
          <t>Клапан штуцерный проходной Ду 10 Ру100</t>
        </is>
      </c>
      <c r="E106" s="8" t="n">
        <v>1</v>
      </c>
      <c r="F106" s="10" t="n">
        <v>0.6</v>
      </c>
      <c r="G106" s="10">
        <f>E106*F106</f>
        <v/>
      </c>
      <c r="H106" s="11" t="n"/>
      <c r="I106" s="10">
        <f>IF(H106="","",E106*H106)</f>
        <v/>
      </c>
      <c r="J106" s="8" t="inlineStr">
        <is>
          <t>Менеджерская</t>
        </is>
      </c>
    </row>
    <row r="107">
      <c r="A107" s="8" t="n">
        <v>103</v>
      </c>
      <c r="B107" s="8" t="inlineStr">
        <is>
          <t>клапан штуцерный</t>
        </is>
      </c>
      <c r="C107" s="8" t="inlineStr">
        <is>
          <t>Ду10</t>
        </is>
      </c>
      <c r="D107" s="9" t="inlineStr">
        <is>
          <t>Клапан штуцерный проходной Ду 10 Ру100</t>
        </is>
      </c>
      <c r="E107" s="8" t="n">
        <v>2</v>
      </c>
      <c r="F107" s="10" t="n">
        <v>0.6</v>
      </c>
      <c r="G107" s="10">
        <f>E107*F107</f>
        <v/>
      </c>
      <c r="H107" s="11" t="n"/>
      <c r="I107" s="10">
        <f>IF(H107="","",E107*H107)</f>
        <v/>
      </c>
      <c r="J107" s="8" t="inlineStr">
        <is>
          <t>Менеджерская</t>
        </is>
      </c>
    </row>
    <row r="108">
      <c r="A108" s="8" t="n">
        <v>104</v>
      </c>
      <c r="B108" s="8" t="inlineStr">
        <is>
          <t>клапан штуцерный</t>
        </is>
      </c>
      <c r="C108" s="8" t="inlineStr">
        <is>
          <t>Ду10</t>
        </is>
      </c>
      <c r="D108" s="9" t="inlineStr">
        <is>
          <t>Клапан штуцерный проходной Ду 10 Ру100</t>
        </is>
      </c>
      <c r="E108" s="8" t="n">
        <v>1</v>
      </c>
      <c r="F108" s="10" t="n">
        <v>0.6</v>
      </c>
      <c r="G108" s="10">
        <f>E108*F108</f>
        <v/>
      </c>
      <c r="H108" s="11" t="n"/>
      <c r="I108" s="10">
        <f>IF(H108="","",E108*H108)</f>
        <v/>
      </c>
      <c r="J108" s="8" t="inlineStr">
        <is>
          <t>Менеджерская</t>
        </is>
      </c>
    </row>
    <row r="109">
      <c r="A109" s="8" t="n">
        <v>105</v>
      </c>
      <c r="B109" s="8" t="inlineStr">
        <is>
          <t>клапан штуцерный</t>
        </is>
      </c>
      <c r="C109" s="8" t="inlineStr">
        <is>
          <t>Ду10</t>
        </is>
      </c>
      <c r="D109" s="9" t="inlineStr">
        <is>
          <t>Клапан штуцерный проходной Ду 10 Ру25 СТАЛЬ</t>
        </is>
      </c>
      <c r="E109" s="8" t="n">
        <v>1</v>
      </c>
      <c r="F109" s="10" t="n">
        <v>0.6</v>
      </c>
      <c r="G109" s="10">
        <f>E109*F109</f>
        <v/>
      </c>
      <c r="H109" s="11" t="n"/>
      <c r="I109" s="10">
        <f>IF(H109="","",E109*H109)</f>
        <v/>
      </c>
      <c r="J109" s="8" t="inlineStr">
        <is>
          <t>Склад 2</t>
        </is>
      </c>
    </row>
    <row r="110">
      <c r="A110" s="8" t="n">
        <v>106</v>
      </c>
      <c r="B110" s="8" t="inlineStr">
        <is>
          <t>клапан штуцерный</t>
        </is>
      </c>
      <c r="C110" s="8" t="inlineStr">
        <is>
          <t>Ду10</t>
        </is>
      </c>
      <c r="D110" s="9" t="inlineStr">
        <is>
          <t>Клапан штуцерный проходной Ду 10 Ру40</t>
        </is>
      </c>
      <c r="E110" s="8" t="n">
        <v>18</v>
      </c>
      <c r="F110" s="10" t="n">
        <v>0.6</v>
      </c>
      <c r="G110" s="10">
        <f>E110*F110</f>
        <v/>
      </c>
      <c r="H110" s="11" t="n"/>
      <c r="I110" s="10">
        <f>IF(H110="","",E110*H110)</f>
        <v/>
      </c>
      <c r="J110" s="8" t="inlineStr">
        <is>
          <t>Склад 2</t>
        </is>
      </c>
    </row>
    <row r="111">
      <c r="A111" s="8" t="n">
        <v>107</v>
      </c>
      <c r="B111" s="8" t="inlineStr">
        <is>
          <t>клапан штуцерный</t>
        </is>
      </c>
      <c r="C111" s="8" t="inlineStr">
        <is>
          <t>Ду10</t>
        </is>
      </c>
      <c r="D111" s="9" t="inlineStr">
        <is>
          <t>Клапан штуцерный проходной Ду 10 Ру40 (СУНДУК)</t>
        </is>
      </c>
      <c r="E111" s="8" t="n">
        <v>798</v>
      </c>
      <c r="F111" s="10" t="n">
        <v>0.6</v>
      </c>
      <c r="G111" s="10">
        <f>E111*F111</f>
        <v/>
      </c>
      <c r="H111" s="11" t="n"/>
      <c r="I111" s="10">
        <f>IF(H111="","",E111*H111)</f>
        <v/>
      </c>
      <c r="J111" s="8" t="inlineStr">
        <is>
          <t>Менеджерская</t>
        </is>
      </c>
    </row>
    <row r="112">
      <c r="A112" s="8" t="n">
        <v>108</v>
      </c>
      <c r="B112" s="8" t="inlineStr">
        <is>
          <t>клапан штуцерный</t>
        </is>
      </c>
      <c r="C112" s="8" t="inlineStr">
        <is>
          <t>Ду10</t>
        </is>
      </c>
      <c r="D112" s="9" t="inlineStr">
        <is>
          <t>Клапан штуцерный проходной Ду 10 Ру400</t>
        </is>
      </c>
      <c r="E112" s="8" t="n">
        <v>1</v>
      </c>
      <c r="F112" s="10" t="n">
        <v>0.6</v>
      </c>
      <c r="G112" s="10">
        <f>E112*F112</f>
        <v/>
      </c>
      <c r="H112" s="11" t="n"/>
      <c r="I112" s="10">
        <f>IF(H112="","",E112*H112)</f>
        <v/>
      </c>
      <c r="J112" s="8" t="inlineStr">
        <is>
          <t>Склад 2</t>
        </is>
      </c>
    </row>
    <row r="113">
      <c r="A113" s="8" t="n">
        <v>109</v>
      </c>
      <c r="B113" s="8" t="inlineStr">
        <is>
          <t>клапан штуцерный</t>
        </is>
      </c>
      <c r="C113" s="8" t="inlineStr">
        <is>
          <t>Ду10</t>
        </is>
      </c>
      <c r="D113" s="9" t="inlineStr">
        <is>
          <t>Клапан штуцерный проходной Ду 10 Ру400</t>
        </is>
      </c>
      <c r="E113" s="8" t="n">
        <v>2</v>
      </c>
      <c r="F113" s="10" t="n">
        <v>0.6</v>
      </c>
      <c r="G113" s="10">
        <f>E113*F113</f>
        <v/>
      </c>
      <c r="H113" s="11" t="n"/>
      <c r="I113" s="10">
        <f>IF(H113="","",E113*H113)</f>
        <v/>
      </c>
      <c r="J113" s="8" t="inlineStr">
        <is>
          <t>Склад 2</t>
        </is>
      </c>
    </row>
    <row r="114">
      <c r="A114" s="8" t="n">
        <v>110</v>
      </c>
      <c r="B114" s="8" t="inlineStr">
        <is>
          <t>клапан штуцерный</t>
        </is>
      </c>
      <c r="C114" s="8" t="inlineStr">
        <is>
          <t>Ду10</t>
        </is>
      </c>
      <c r="D114" s="9" t="inlineStr">
        <is>
          <t>Клапан штуцерный проходной Ду 10 Ру6</t>
        </is>
      </c>
      <c r="E114" s="8" t="n">
        <v>1</v>
      </c>
      <c r="F114" s="10" t="n">
        <v>0.6</v>
      </c>
      <c r="G114" s="10">
        <f>E114*F114</f>
        <v/>
      </c>
      <c r="H114" s="11" t="n"/>
      <c r="I114" s="10">
        <f>IF(H114="","",E114*H114)</f>
        <v/>
      </c>
      <c r="J114" s="8" t="inlineStr">
        <is>
          <t>Склад 2</t>
        </is>
      </c>
    </row>
    <row r="115">
      <c r="A115" s="8" t="n">
        <v>111</v>
      </c>
      <c r="B115" s="8" t="inlineStr">
        <is>
          <t>клапан штуцерный</t>
        </is>
      </c>
      <c r="C115" s="8" t="inlineStr">
        <is>
          <t>Ду10</t>
        </is>
      </c>
      <c r="D115" s="9" t="inlineStr">
        <is>
          <t>Клапан штуцерный проходной Ду 10 Ру63 СТАЛЬ</t>
        </is>
      </c>
      <c r="E115" s="8" t="n">
        <v>1</v>
      </c>
      <c r="F115" s="10" t="n">
        <v>0.6</v>
      </c>
      <c r="G115" s="10">
        <f>E115*F115</f>
        <v/>
      </c>
      <c r="H115" s="11" t="n"/>
      <c r="I115" s="10">
        <f>IF(H115="","",E115*H115)</f>
        <v/>
      </c>
      <c r="J115" s="8" t="inlineStr">
        <is>
          <t>Склад 2</t>
        </is>
      </c>
    </row>
    <row r="116">
      <c r="A116" s="8" t="n">
        <v>112</v>
      </c>
      <c r="B116" s="8" t="inlineStr">
        <is>
          <t>клапан штуцерный</t>
        </is>
      </c>
      <c r="C116" s="8" t="inlineStr">
        <is>
          <t>Ду10</t>
        </is>
      </c>
      <c r="D116" s="9" t="inlineStr">
        <is>
          <t>Клапан штуцерный проходной невозвратный Ду10Ру100</t>
        </is>
      </c>
      <c r="E116" s="8" t="n">
        <v>5</v>
      </c>
      <c r="F116" s="10" t="n">
        <v>0.6</v>
      </c>
      <c r="G116" s="10">
        <f>E116*F116</f>
        <v/>
      </c>
      <c r="H116" s="11" t="n"/>
      <c r="I116" s="10">
        <f>IF(H116="","",E116*H116)</f>
        <v/>
      </c>
      <c r="J116" s="8" t="inlineStr">
        <is>
          <t>Склад 2</t>
        </is>
      </c>
    </row>
    <row r="117">
      <c r="A117" s="8" t="n">
        <v>113</v>
      </c>
      <c r="B117" s="8" t="inlineStr">
        <is>
          <t>клапан штуцерный</t>
        </is>
      </c>
      <c r="C117" s="8" t="inlineStr">
        <is>
          <t>Ду10</t>
        </is>
      </c>
      <c r="D117" s="9" t="inlineStr">
        <is>
          <t>Клапан штуцерный проходной невозвратный Ду10Ру100</t>
        </is>
      </c>
      <c r="E117" s="8" t="n">
        <v>1</v>
      </c>
      <c r="F117" s="10" t="n">
        <v>0.6</v>
      </c>
      <c r="G117" s="10">
        <f>E117*F117</f>
        <v/>
      </c>
      <c r="H117" s="11" t="n"/>
      <c r="I117" s="10">
        <f>IF(H117="","",E117*H117)</f>
        <v/>
      </c>
      <c r="J117" s="8" t="inlineStr">
        <is>
          <t>Склад 2</t>
        </is>
      </c>
    </row>
    <row r="118">
      <c r="A118" s="8" t="n">
        <v>114</v>
      </c>
      <c r="B118" s="8" t="inlineStr">
        <is>
          <t>клапан штуцерный</t>
        </is>
      </c>
      <c r="C118" s="8" t="inlineStr">
        <is>
          <t>Ду10</t>
        </is>
      </c>
      <c r="D118" s="9" t="inlineStr">
        <is>
          <t>Клапан штуцерный угловой Ду10 Р160</t>
        </is>
      </c>
      <c r="E118" s="8" t="n">
        <v>6</v>
      </c>
      <c r="F118" s="10" t="n">
        <v>0.6</v>
      </c>
      <c r="G118" s="10">
        <f>E118*F118</f>
        <v/>
      </c>
      <c r="H118" s="11" t="n"/>
      <c r="I118" s="10">
        <f>IF(H118="","",E118*H118)</f>
        <v/>
      </c>
      <c r="J118" s="8" t="inlineStr">
        <is>
          <t>Склад 2</t>
        </is>
      </c>
    </row>
    <row r="119">
      <c r="A119" s="8" t="n">
        <v>115</v>
      </c>
      <c r="B119" s="8" t="inlineStr">
        <is>
          <t>клапан штуцерный</t>
        </is>
      </c>
      <c r="C119" s="8" t="inlineStr">
        <is>
          <t>Ду10</t>
        </is>
      </c>
      <c r="D119" s="9" t="inlineStr">
        <is>
          <t>Клапан штуцерный угловой Ду10 Ру100</t>
        </is>
      </c>
      <c r="E119" s="8" t="n">
        <v>1</v>
      </c>
      <c r="F119" s="10" t="n">
        <v>0.6</v>
      </c>
      <c r="G119" s="10">
        <f>E119*F119</f>
        <v/>
      </c>
      <c r="H119" s="11" t="n"/>
      <c r="I119" s="10">
        <f>IF(H119="","",E119*H119)</f>
        <v/>
      </c>
      <c r="J119" s="8" t="inlineStr">
        <is>
          <t>Склад 2</t>
        </is>
      </c>
    </row>
    <row r="120">
      <c r="A120" s="8" t="n">
        <v>116</v>
      </c>
      <c r="B120" s="8" t="inlineStr">
        <is>
          <t>клапан штуцерный</t>
        </is>
      </c>
      <c r="C120" s="8" t="inlineStr">
        <is>
          <t>Ду10</t>
        </is>
      </c>
      <c r="D120" s="9" t="inlineStr">
        <is>
          <t>Клапан штуцерный угловой Ду10 Ру100</t>
        </is>
      </c>
      <c r="E120" s="8" t="n">
        <v>1</v>
      </c>
      <c r="F120" s="10" t="n">
        <v>0.6</v>
      </c>
      <c r="G120" s="10">
        <f>E120*F120</f>
        <v/>
      </c>
      <c r="H120" s="11" t="n"/>
      <c r="I120" s="10">
        <f>IF(H120="","",E120*H120)</f>
        <v/>
      </c>
      <c r="J120" s="8" t="inlineStr">
        <is>
          <t>Склад 2</t>
        </is>
      </c>
    </row>
    <row r="121">
      <c r="A121" s="8" t="n">
        <v>117</v>
      </c>
      <c r="B121" s="8" t="inlineStr">
        <is>
          <t>клапан штуцерный</t>
        </is>
      </c>
      <c r="C121" s="8" t="inlineStr">
        <is>
          <t>Ду10</t>
        </is>
      </c>
      <c r="D121" s="9" t="inlineStr">
        <is>
          <t>Клапан штуцерный угловой Ду10 Ру100</t>
        </is>
      </c>
      <c r="E121" s="8" t="n">
        <v>1</v>
      </c>
      <c r="F121" s="10" t="n">
        <v>0.6</v>
      </c>
      <c r="G121" s="10">
        <f>E121*F121</f>
        <v/>
      </c>
      <c r="H121" s="11" t="n"/>
      <c r="I121" s="10">
        <f>IF(H121="","",E121*H121)</f>
        <v/>
      </c>
      <c r="J121" s="8" t="inlineStr">
        <is>
          <t>Склад 2</t>
        </is>
      </c>
    </row>
    <row r="122">
      <c r="A122" s="8" t="n">
        <v>118</v>
      </c>
      <c r="B122" s="8" t="inlineStr">
        <is>
          <t>клапан штуцерный</t>
        </is>
      </c>
      <c r="C122" s="8" t="inlineStr">
        <is>
          <t>Ду10</t>
        </is>
      </c>
      <c r="D122" s="9" t="inlineStr">
        <is>
          <t>Клапан штуцерный угловой Ду10 Ру100</t>
        </is>
      </c>
      <c r="E122" s="8" t="n">
        <v>1</v>
      </c>
      <c r="F122" s="10" t="n">
        <v>0.6</v>
      </c>
      <c r="G122" s="10">
        <f>E122*F122</f>
        <v/>
      </c>
      <c r="H122" s="11" t="n"/>
      <c r="I122" s="10">
        <f>IF(H122="","",E122*H122)</f>
        <v/>
      </c>
      <c r="J122" s="8" t="inlineStr">
        <is>
          <t>Склад 2</t>
        </is>
      </c>
    </row>
    <row r="123">
      <c r="A123" s="8" t="n">
        <v>119</v>
      </c>
      <c r="B123" s="8" t="inlineStr">
        <is>
          <t>клапан штуцерный</t>
        </is>
      </c>
      <c r="C123" s="8" t="inlineStr">
        <is>
          <t>Ду15</t>
        </is>
      </c>
      <c r="D123" s="9" t="inlineStr">
        <is>
          <t>(Кнопка)Клапан самозакрывающий проходной муфтовый Ду15Ру3</t>
        </is>
      </c>
      <c r="E123" s="8" t="n">
        <v>1</v>
      </c>
      <c r="F123" s="10" t="n">
        <v>1</v>
      </c>
      <c r="G123" s="10">
        <f>E123*F123</f>
        <v/>
      </c>
      <c r="H123" s="11" t="n"/>
      <c r="I123" s="10">
        <f>IF(H123="","",E123*H123)</f>
        <v/>
      </c>
      <c r="J123" s="8" t="inlineStr">
        <is>
          <t>Склад 2</t>
        </is>
      </c>
    </row>
    <row r="124">
      <c r="A124" s="8" t="n">
        <v>120</v>
      </c>
      <c r="B124" s="8" t="inlineStr">
        <is>
          <t>клапан штуцерный</t>
        </is>
      </c>
      <c r="C124" s="8" t="inlineStr">
        <is>
          <t>Ду15</t>
        </is>
      </c>
      <c r="D124" s="9" t="inlineStr">
        <is>
          <t>Клапан штуцерный проходной Ду 15</t>
        </is>
      </c>
      <c r="E124" s="8" t="n">
        <v>1</v>
      </c>
      <c r="F124" s="10" t="n">
        <v>1</v>
      </c>
      <c r="G124" s="10">
        <f>E124*F124</f>
        <v/>
      </c>
      <c r="H124" s="11" t="n"/>
      <c r="I124" s="10">
        <f>IF(H124="","",E124*H124)</f>
        <v/>
      </c>
      <c r="J124" s="8" t="inlineStr">
        <is>
          <t>Менеджерская</t>
        </is>
      </c>
    </row>
    <row r="125">
      <c r="A125" s="8" t="n">
        <v>121</v>
      </c>
      <c r="B125" s="8" t="inlineStr">
        <is>
          <t>клапан штуцерный</t>
        </is>
      </c>
      <c r="C125" s="8" t="inlineStr">
        <is>
          <t>Ду15</t>
        </is>
      </c>
      <c r="D125" s="9" t="inlineStr">
        <is>
          <t>Клапан штуцерный проходной Ду 15</t>
        </is>
      </c>
      <c r="E125" s="8" t="n">
        <v>1</v>
      </c>
      <c r="F125" s="10" t="n">
        <v>1</v>
      </c>
      <c r="G125" s="10">
        <f>E125*F125</f>
        <v/>
      </c>
      <c r="H125" s="11" t="n"/>
      <c r="I125" s="10">
        <f>IF(H125="","",E125*H125)</f>
        <v/>
      </c>
      <c r="J125" s="8" t="inlineStr">
        <is>
          <t>Менеджерская</t>
        </is>
      </c>
    </row>
    <row r="126">
      <c r="A126" s="8" t="n">
        <v>122</v>
      </c>
      <c r="B126" s="8" t="inlineStr">
        <is>
          <t>клапан штуцерный</t>
        </is>
      </c>
      <c r="C126" s="8" t="inlineStr">
        <is>
          <t>Ду15</t>
        </is>
      </c>
      <c r="D126" s="9" t="inlineStr">
        <is>
          <t>Клапан штуцерный проходной Ду 15 Ру 100</t>
        </is>
      </c>
      <c r="E126" s="8" t="n">
        <v>2</v>
      </c>
      <c r="F126" s="10" t="n">
        <v>1</v>
      </c>
      <c r="G126" s="10">
        <f>E126*F126</f>
        <v/>
      </c>
      <c r="H126" s="11" t="n"/>
      <c r="I126" s="10">
        <f>IF(H126="","",E126*H126)</f>
        <v/>
      </c>
      <c r="J126" s="8" t="inlineStr">
        <is>
          <t>Менеджерская</t>
        </is>
      </c>
    </row>
    <row r="127">
      <c r="A127" s="8" t="n">
        <v>123</v>
      </c>
      <c r="B127" s="8" t="inlineStr">
        <is>
          <t>клапан штуцерный</t>
        </is>
      </c>
      <c r="C127" s="8" t="inlineStr">
        <is>
          <t>Ду15</t>
        </is>
      </c>
      <c r="D127" s="9" t="inlineStr">
        <is>
          <t>Клапан штуцерный проходной Ду 15 Ру 100</t>
        </is>
      </c>
      <c r="E127" s="8" t="n">
        <v>1</v>
      </c>
      <c r="F127" s="10" t="n">
        <v>1</v>
      </c>
      <c r="G127" s="10">
        <f>E127*F127</f>
        <v/>
      </c>
      <c r="H127" s="11" t="n"/>
      <c r="I127" s="10">
        <f>IF(H127="","",E127*H127)</f>
        <v/>
      </c>
      <c r="J127" s="8" t="inlineStr">
        <is>
          <t>Менеджерская</t>
        </is>
      </c>
    </row>
    <row r="128">
      <c r="A128" s="8" t="n">
        <v>124</v>
      </c>
      <c r="B128" s="8" t="inlineStr">
        <is>
          <t>клапан штуцерный</t>
        </is>
      </c>
      <c r="C128" s="8" t="inlineStr">
        <is>
          <t>Ду15</t>
        </is>
      </c>
      <c r="D128" s="9" t="inlineStr">
        <is>
          <t>Клапан штуцерный проходной Ду 15 Ру 40</t>
        </is>
      </c>
      <c r="E128" s="8" t="n">
        <v>2</v>
      </c>
      <c r="F128" s="10" t="n">
        <v>1</v>
      </c>
      <c r="G128" s="10">
        <f>E128*F128</f>
        <v/>
      </c>
      <c r="H128" s="11" t="n"/>
      <c r="I128" s="10">
        <f>IF(H128="","",E128*H128)</f>
        <v/>
      </c>
      <c r="J128" s="8" t="inlineStr">
        <is>
          <t>Менеджерская</t>
        </is>
      </c>
    </row>
    <row r="129">
      <c r="A129" s="8" t="n">
        <v>125</v>
      </c>
      <c r="B129" s="8" t="inlineStr">
        <is>
          <t>клапан штуцерный</t>
        </is>
      </c>
      <c r="C129" s="8" t="inlineStr">
        <is>
          <t>Ду15</t>
        </is>
      </c>
      <c r="D129" s="9" t="inlineStr">
        <is>
          <t>Клапан штуцерный проходной Ду 15 Ру 40</t>
        </is>
      </c>
      <c r="E129" s="8" t="n">
        <v>1</v>
      </c>
      <c r="F129" s="10" t="n">
        <v>1</v>
      </c>
      <c r="G129" s="10">
        <f>E129*F129</f>
        <v/>
      </c>
      <c r="H129" s="11" t="n"/>
      <c r="I129" s="10">
        <f>IF(H129="","",E129*H129)</f>
        <v/>
      </c>
      <c r="J129" s="8" t="inlineStr">
        <is>
          <t>Менеджерская</t>
        </is>
      </c>
    </row>
    <row r="130">
      <c r="A130" s="8" t="n">
        <v>126</v>
      </c>
      <c r="B130" s="8" t="inlineStr">
        <is>
          <t>клапан штуцерный</t>
        </is>
      </c>
      <c r="C130" s="8" t="inlineStr">
        <is>
          <t>Ду15</t>
        </is>
      </c>
      <c r="D130" s="9" t="inlineStr">
        <is>
          <t>Клапан штуцерный проходной Ду 15 Ру40</t>
        </is>
      </c>
      <c r="E130" s="8" t="n">
        <v>1</v>
      </c>
      <c r="F130" s="10" t="n">
        <v>1</v>
      </c>
      <c r="G130" s="10">
        <f>E130*F130</f>
        <v/>
      </c>
      <c r="H130" s="11" t="n"/>
      <c r="I130" s="10">
        <f>IF(H130="","",E130*H130)</f>
        <v/>
      </c>
      <c r="J130" s="8" t="inlineStr">
        <is>
          <t>Менеджерская</t>
        </is>
      </c>
    </row>
    <row r="131">
      <c r="A131" s="8" t="n">
        <v>127</v>
      </c>
      <c r="B131" s="8" t="inlineStr">
        <is>
          <t>клапан штуцерный</t>
        </is>
      </c>
      <c r="C131" s="8" t="inlineStr">
        <is>
          <t>Ду15</t>
        </is>
      </c>
      <c r="D131" s="9" t="inlineStr">
        <is>
          <t>Клапан штуцерный проходной Ду 15 Ру40</t>
        </is>
      </c>
      <c r="E131" s="8" t="n">
        <v>1</v>
      </c>
      <c r="F131" s="10" t="n">
        <v>1</v>
      </c>
      <c r="G131" s="10">
        <f>E131*F131</f>
        <v/>
      </c>
      <c r="H131" s="11" t="n"/>
      <c r="I131" s="10">
        <f>IF(H131="","",E131*H131)</f>
        <v/>
      </c>
      <c r="J131" s="8" t="inlineStr">
        <is>
          <t>Менеджерская</t>
        </is>
      </c>
    </row>
    <row r="132">
      <c r="A132" s="8" t="n">
        <v>128</v>
      </c>
      <c r="B132" s="8" t="inlineStr">
        <is>
          <t>клапан штуцерный</t>
        </is>
      </c>
      <c r="C132" s="8" t="inlineStr">
        <is>
          <t>Ду15</t>
        </is>
      </c>
      <c r="D132" s="9" t="inlineStr">
        <is>
          <t>Клапан штуцерный проходной бессальниковый Ду15/1</t>
        </is>
      </c>
      <c r="E132" s="8" t="n">
        <v>3</v>
      </c>
      <c r="F132" s="10" t="n">
        <v>1</v>
      </c>
      <c r="G132" s="10">
        <f>E132*F132</f>
        <v/>
      </c>
      <c r="H132" s="11" t="n"/>
      <c r="I132" s="10">
        <f>IF(H132="","",E132*H132)</f>
        <v/>
      </c>
      <c r="J132" s="8" t="inlineStr">
        <is>
          <t>Склад 2</t>
        </is>
      </c>
    </row>
    <row r="133">
      <c r="A133" s="8" t="n">
        <v>129</v>
      </c>
      <c r="B133" s="8" t="inlineStr">
        <is>
          <t>клапан штуцерный</t>
        </is>
      </c>
      <c r="C133" s="8" t="inlineStr">
        <is>
          <t>Ду15</t>
        </is>
      </c>
      <c r="D133" s="9" t="inlineStr">
        <is>
          <t>Клапан штуцерный угловой Ду15</t>
        </is>
      </c>
      <c r="E133" s="8" t="n">
        <v>10</v>
      </c>
      <c r="F133" s="10" t="n">
        <v>1</v>
      </c>
      <c r="G133" s="10">
        <f>E133*F133</f>
        <v/>
      </c>
      <c r="H133" s="11" t="n"/>
      <c r="I133" s="10">
        <f>IF(H133="","",E133*H133)</f>
        <v/>
      </c>
      <c r="J133" s="8" t="inlineStr">
        <is>
          <t>Склад 3</t>
        </is>
      </c>
    </row>
    <row r="134">
      <c r="A134" s="8" t="n">
        <v>130</v>
      </c>
      <c r="B134" s="8" t="inlineStr">
        <is>
          <t>клапан штуцерный</t>
        </is>
      </c>
      <c r="C134" s="8" t="inlineStr">
        <is>
          <t>Ду15</t>
        </is>
      </c>
      <c r="D134" s="9" t="inlineStr">
        <is>
          <t>Клапан штуцерный угловой Ду15 Ру100</t>
        </is>
      </c>
      <c r="E134" s="8" t="n">
        <v>15</v>
      </c>
      <c r="F134" s="10" t="n">
        <v>1</v>
      </c>
      <c r="G134" s="10">
        <f>E134*F134</f>
        <v/>
      </c>
      <c r="H134" s="11" t="n"/>
      <c r="I134" s="10">
        <f>IF(H134="","",E134*H134)</f>
        <v/>
      </c>
      <c r="J134" s="8" t="inlineStr">
        <is>
          <t>Менеджерская</t>
        </is>
      </c>
    </row>
    <row r="135">
      <c r="A135" s="8" t="n">
        <v>131</v>
      </c>
      <c r="B135" s="8" t="inlineStr">
        <is>
          <t>клапан штуцерный</t>
        </is>
      </c>
      <c r="C135" s="8" t="inlineStr">
        <is>
          <t>Ду15</t>
        </is>
      </c>
      <c r="D135" s="9" t="inlineStr">
        <is>
          <t>Клапан штуцерный угловой Ду15 Ру100</t>
        </is>
      </c>
      <c r="E135" s="8" t="n">
        <v>2</v>
      </c>
      <c r="F135" s="10" t="n">
        <v>1</v>
      </c>
      <c r="G135" s="10">
        <f>E135*F135</f>
        <v/>
      </c>
      <c r="H135" s="11" t="n"/>
      <c r="I135" s="10">
        <f>IF(H135="","",E135*H135)</f>
        <v/>
      </c>
      <c r="J135" s="8" t="inlineStr">
        <is>
          <t>Менеджерская</t>
        </is>
      </c>
    </row>
    <row r="136">
      <c r="A136" s="8" t="n">
        <v>132</v>
      </c>
      <c r="B136" s="8" t="inlineStr">
        <is>
          <t>клапан штуцерный</t>
        </is>
      </c>
      <c r="C136" s="8" t="inlineStr">
        <is>
          <t>Ду15</t>
        </is>
      </c>
      <c r="D136" s="9" t="inlineStr">
        <is>
          <t>Клапан штуцерный угловой Ду15 Ру100</t>
        </is>
      </c>
      <c r="E136" s="8" t="n">
        <v>1</v>
      </c>
      <c r="F136" s="10" t="n">
        <v>1</v>
      </c>
      <c r="G136" s="10">
        <f>E136*F136</f>
        <v/>
      </c>
      <c r="H136" s="11" t="n"/>
      <c r="I136" s="10">
        <f>IF(H136="","",E136*H136)</f>
        <v/>
      </c>
      <c r="J136" s="8" t="inlineStr">
        <is>
          <t>Менеджерская</t>
        </is>
      </c>
    </row>
    <row r="137">
      <c r="A137" s="8" t="n">
        <v>133</v>
      </c>
      <c r="B137" s="8" t="inlineStr">
        <is>
          <t>клапан штуцерный</t>
        </is>
      </c>
      <c r="C137" s="8" t="inlineStr">
        <is>
          <t>Ду15</t>
        </is>
      </c>
      <c r="D137" s="9" t="inlineStr">
        <is>
          <t>Клапан штуцерный угловой Ду15 Ру100</t>
        </is>
      </c>
      <c r="E137" s="8" t="n">
        <v>3</v>
      </c>
      <c r="F137" s="10" t="n">
        <v>1</v>
      </c>
      <c r="G137" s="10">
        <f>E137*F137</f>
        <v/>
      </c>
      <c r="H137" s="11" t="n"/>
      <c r="I137" s="10">
        <f>IF(H137="","",E137*H137)</f>
        <v/>
      </c>
      <c r="J137" s="8" t="inlineStr">
        <is>
          <t>Менеджерская</t>
        </is>
      </c>
    </row>
    <row r="138">
      <c r="A138" s="8" t="n">
        <v>134</v>
      </c>
      <c r="B138" s="8" t="inlineStr">
        <is>
          <t>клапан штуцерный</t>
        </is>
      </c>
      <c r="C138" s="8" t="inlineStr">
        <is>
          <t>Ду15</t>
        </is>
      </c>
      <c r="D138" s="9" t="inlineStr">
        <is>
          <t>Клапан штуцерный угловой Ду15 Ру100</t>
        </is>
      </c>
      <c r="E138" s="8" t="n">
        <v>3</v>
      </c>
      <c r="F138" s="10" t="n">
        <v>1</v>
      </c>
      <c r="G138" s="10">
        <f>E138*F138</f>
        <v/>
      </c>
      <c r="H138" s="11" t="n"/>
      <c r="I138" s="10">
        <f>IF(H138="","",E138*H138)</f>
        <v/>
      </c>
      <c r="J138" s="8" t="inlineStr">
        <is>
          <t>Менеджерская</t>
        </is>
      </c>
    </row>
    <row r="139">
      <c r="A139" s="8" t="n">
        <v>135</v>
      </c>
      <c r="B139" s="8" t="inlineStr">
        <is>
          <t>клапан штуцерный</t>
        </is>
      </c>
      <c r="C139" s="8" t="inlineStr">
        <is>
          <t>Ду15</t>
        </is>
      </c>
      <c r="D139" s="9" t="inlineStr">
        <is>
          <t>Клапан штуцерный угловой Ду15 Ру100</t>
        </is>
      </c>
      <c r="E139" s="8" t="n">
        <v>1</v>
      </c>
      <c r="F139" s="10" t="n">
        <v>1</v>
      </c>
      <c r="G139" s="10">
        <f>E139*F139</f>
        <v/>
      </c>
      <c r="H139" s="11" t="n"/>
      <c r="I139" s="10">
        <f>IF(H139="","",E139*H139)</f>
        <v/>
      </c>
      <c r="J139" s="8" t="inlineStr">
        <is>
          <t>Менеджерская</t>
        </is>
      </c>
    </row>
    <row r="140">
      <c r="A140" s="8" t="n">
        <v>136</v>
      </c>
      <c r="B140" s="8" t="inlineStr">
        <is>
          <t>клапан штуцерный</t>
        </is>
      </c>
      <c r="C140" s="8" t="inlineStr">
        <is>
          <t>Ду15</t>
        </is>
      </c>
      <c r="D140" s="9" t="inlineStr">
        <is>
          <t>Клапан штуцерный угловой Ду15 Ру160</t>
        </is>
      </c>
      <c r="E140" s="8" t="n">
        <v>4</v>
      </c>
      <c r="F140" s="10" t="n">
        <v>1</v>
      </c>
      <c r="G140" s="10">
        <f>E140*F140</f>
        <v/>
      </c>
      <c r="H140" s="11" t="n"/>
      <c r="I140" s="10">
        <f>IF(H140="","",E140*H140)</f>
        <v/>
      </c>
      <c r="J140" s="8" t="inlineStr">
        <is>
          <t>Склад 2</t>
        </is>
      </c>
    </row>
    <row r="141">
      <c r="A141" s="8" t="n">
        <v>137</v>
      </c>
      <c r="B141" s="8" t="inlineStr">
        <is>
          <t>клапан штуцерный</t>
        </is>
      </c>
      <c r="C141" s="8" t="inlineStr">
        <is>
          <t>Ду15</t>
        </is>
      </c>
      <c r="D141" s="9" t="inlineStr">
        <is>
          <t>Клапан штуцерный угловой Ду15 Ру160</t>
        </is>
      </c>
      <c r="E141" s="8" t="n">
        <v>4</v>
      </c>
      <c r="F141" s="10" t="n">
        <v>1</v>
      </c>
      <c r="G141" s="10">
        <f>E141*F141</f>
        <v/>
      </c>
      <c r="H141" s="11" t="n"/>
      <c r="I141" s="10">
        <f>IF(H141="","",E141*H141)</f>
        <v/>
      </c>
      <c r="J141" s="8" t="inlineStr">
        <is>
          <t>Менеджерская</t>
        </is>
      </c>
    </row>
    <row r="142">
      <c r="A142" s="8" t="n">
        <v>138</v>
      </c>
      <c r="B142" s="8" t="inlineStr">
        <is>
          <t>клапан штуцерный</t>
        </is>
      </c>
      <c r="C142" s="8" t="inlineStr">
        <is>
          <t>Ду15</t>
        </is>
      </c>
      <c r="D142" s="9" t="inlineStr">
        <is>
          <t>Клапан штуцерный угловой Ду15Ру100</t>
        </is>
      </c>
      <c r="E142" s="8" t="n">
        <v>3</v>
      </c>
      <c r="F142" s="10" t="n">
        <v>1</v>
      </c>
      <c r="G142" s="10">
        <f>E142*F142</f>
        <v/>
      </c>
      <c r="H142" s="11" t="n"/>
      <c r="I142" s="10">
        <f>IF(H142="","",E142*H142)</f>
        <v/>
      </c>
      <c r="J142" s="8" t="inlineStr">
        <is>
          <t>Менеджерская</t>
        </is>
      </c>
    </row>
    <row r="143">
      <c r="A143" s="8" t="n">
        <v>139</v>
      </c>
      <c r="B143" s="8" t="inlineStr">
        <is>
          <t>клапан штуцерный</t>
        </is>
      </c>
      <c r="C143" s="8" t="inlineStr">
        <is>
          <t>Ду15</t>
        </is>
      </c>
      <c r="D143" s="9" t="inlineStr">
        <is>
          <t>Клапан штуцерный угловой Ду15Ру100</t>
        </is>
      </c>
      <c r="E143" s="8" t="n">
        <v>6</v>
      </c>
      <c r="F143" s="10" t="n">
        <v>1</v>
      </c>
      <c r="G143" s="10">
        <f>E143*F143</f>
        <v/>
      </c>
      <c r="H143" s="11" t="n"/>
      <c r="I143" s="10">
        <f>IF(H143="","",E143*H143)</f>
        <v/>
      </c>
      <c r="J143" s="8" t="inlineStr">
        <is>
          <t>Менеджерская</t>
        </is>
      </c>
    </row>
    <row r="144">
      <c r="A144" s="8" t="n">
        <v>140</v>
      </c>
      <c r="B144" s="8" t="inlineStr">
        <is>
          <t>клапан штуцерный</t>
        </is>
      </c>
      <c r="C144" s="8" t="inlineStr">
        <is>
          <t>Ду15</t>
        </is>
      </c>
      <c r="D144" s="9" t="inlineStr">
        <is>
          <t>Клапан штуцерный угловой Ду15Ру100</t>
        </is>
      </c>
      <c r="E144" s="8" t="n">
        <v>7</v>
      </c>
      <c r="F144" s="10" t="n">
        <v>1</v>
      </c>
      <c r="G144" s="10">
        <f>E144*F144</f>
        <v/>
      </c>
      <c r="H144" s="11" t="n"/>
      <c r="I144" s="10">
        <f>IF(H144="","",E144*H144)</f>
        <v/>
      </c>
      <c r="J144" s="8" t="inlineStr">
        <is>
          <t>Менеджерская</t>
        </is>
      </c>
    </row>
    <row r="145">
      <c r="A145" s="8" t="n">
        <v>141</v>
      </c>
      <c r="B145" s="8" t="inlineStr">
        <is>
          <t>клапан штуцерный</t>
        </is>
      </c>
      <c r="C145" s="8" t="inlineStr">
        <is>
          <t>Ду15</t>
        </is>
      </c>
      <c r="D145" s="9" t="inlineStr">
        <is>
          <t>Клапан штуцерный угловой Ду15Ру40</t>
        </is>
      </c>
      <c r="E145" s="8" t="n">
        <v>2</v>
      </c>
      <c r="F145" s="10" t="n">
        <v>1</v>
      </c>
      <c r="G145" s="10">
        <f>E145*F145</f>
        <v/>
      </c>
      <c r="H145" s="11" t="n"/>
      <c r="I145" s="10">
        <f>IF(H145="","",E145*H145)</f>
        <v/>
      </c>
      <c r="J145" s="8" t="inlineStr">
        <is>
          <t>Менеджерская</t>
        </is>
      </c>
    </row>
    <row r="146">
      <c r="A146" s="8" t="n">
        <v>142</v>
      </c>
      <c r="B146" s="8" t="inlineStr">
        <is>
          <t>клапан штуцерный</t>
        </is>
      </c>
      <c r="C146" s="8" t="inlineStr">
        <is>
          <t>Ду15</t>
        </is>
      </c>
      <c r="D146" s="9" t="inlineStr">
        <is>
          <t>Клапан штущерный проходной Ду15</t>
        </is>
      </c>
      <c r="E146" s="8" t="n">
        <v>44</v>
      </c>
      <c r="F146" s="10" t="n">
        <v>1</v>
      </c>
      <c r="G146" s="10">
        <f>E146*F146</f>
        <v/>
      </c>
      <c r="H146" s="11" t="n"/>
      <c r="I146" s="10">
        <f>IF(H146="","",E146*H146)</f>
        <v/>
      </c>
      <c r="J146" s="8" t="inlineStr">
        <is>
          <t>Склад 3</t>
        </is>
      </c>
    </row>
    <row r="147">
      <c r="A147" s="8" t="n">
        <v>143</v>
      </c>
      <c r="B147" s="8" t="inlineStr">
        <is>
          <t>клапан штуцерный</t>
        </is>
      </c>
      <c r="C147" s="8" t="inlineStr">
        <is>
          <t>Ду15</t>
        </is>
      </c>
      <c r="D147" s="9" t="inlineStr">
        <is>
          <t>Кран штуцерный спусковой самозапорный проходной Ду15 Ру25</t>
        </is>
      </c>
      <c r="E147" s="8" t="n">
        <v>4</v>
      </c>
      <c r="F147" s="10" t="n">
        <v>1</v>
      </c>
      <c r="G147" s="10">
        <f>E147*F147</f>
        <v/>
      </c>
      <c r="H147" s="11" t="n"/>
      <c r="I147" s="10">
        <f>IF(H147="","",E147*H147)</f>
        <v/>
      </c>
      <c r="J147" s="8" t="inlineStr">
        <is>
          <t>Склад 2</t>
        </is>
      </c>
    </row>
    <row r="148">
      <c r="A148" s="8" t="n">
        <v>144</v>
      </c>
      <c r="B148" s="8" t="inlineStr">
        <is>
          <t>клапан штуцерный</t>
        </is>
      </c>
      <c r="C148" s="8" t="inlineStr">
        <is>
          <t>Ду20</t>
        </is>
      </c>
      <c r="D148" s="9" t="inlineStr">
        <is>
          <t>Клапан муфтовый проходной запорный Ду20Ру16</t>
        </is>
      </c>
      <c r="E148" s="8" t="n">
        <v>1</v>
      </c>
      <c r="F148" s="10" t="n">
        <v>1.5</v>
      </c>
      <c r="G148" s="10">
        <f>E148*F148</f>
        <v/>
      </c>
      <c r="H148" s="11" t="n"/>
      <c r="I148" s="10">
        <f>IF(H148="","",E148*H148)</f>
        <v/>
      </c>
      <c r="J148" s="8" t="inlineStr">
        <is>
          <t>Склад 2</t>
        </is>
      </c>
    </row>
    <row r="149">
      <c r="A149" s="8" t="n">
        <v>145</v>
      </c>
      <c r="B149" s="8" t="inlineStr">
        <is>
          <t>клапан штуцерный</t>
        </is>
      </c>
      <c r="C149" s="8" t="inlineStr">
        <is>
          <t>Ду20</t>
        </is>
      </c>
      <c r="D149" s="9" t="inlineStr">
        <is>
          <t>Клапан невозв-запор.цапковый угловой под дюрит Ду20Ру6</t>
        </is>
      </c>
      <c r="E149" s="8" t="n">
        <v>2</v>
      </c>
      <c r="F149" s="10" t="n">
        <v>1.5</v>
      </c>
      <c r="G149" s="10">
        <f>E149*F149</f>
        <v/>
      </c>
      <c r="H149" s="11" t="n"/>
      <c r="I149" s="10">
        <f>IF(H149="","",E149*H149)</f>
        <v/>
      </c>
      <c r="J149" s="8" t="inlineStr">
        <is>
          <t>Склад 2</t>
        </is>
      </c>
    </row>
    <row r="150">
      <c r="A150" s="8" t="n">
        <v>146</v>
      </c>
      <c r="B150" s="8" t="inlineStr">
        <is>
          <t>клапан штуцерный</t>
        </is>
      </c>
      <c r="C150" s="8" t="inlineStr">
        <is>
          <t>Ду20</t>
        </is>
      </c>
      <c r="D150" s="9" t="inlineStr">
        <is>
          <t>Клапан невозвратный штуцерный проходной Ду20 Ру40</t>
        </is>
      </c>
      <c r="E150" s="8" t="n">
        <v>1</v>
      </c>
      <c r="F150" s="10" t="n">
        <v>1.5</v>
      </c>
      <c r="G150" s="10">
        <f>E150*F150</f>
        <v/>
      </c>
      <c r="H150" s="11" t="n"/>
      <c r="I150" s="10">
        <f>IF(H150="","",E150*H150)</f>
        <v/>
      </c>
      <c r="J150" s="8" t="inlineStr">
        <is>
          <t>Склад 2</t>
        </is>
      </c>
    </row>
    <row r="151">
      <c r="A151" s="8" t="n">
        <v>147</v>
      </c>
      <c r="B151" s="8" t="inlineStr">
        <is>
          <t>клапан штуцерный</t>
        </is>
      </c>
      <c r="C151" s="8" t="inlineStr">
        <is>
          <t>Ду20</t>
        </is>
      </c>
      <c r="D151" s="9" t="inlineStr">
        <is>
          <t>Клапан невозвратный штуцерный проходной Ду20Ру160</t>
        </is>
      </c>
      <c r="E151" s="8" t="n">
        <v>1</v>
      </c>
      <c r="F151" s="10" t="n">
        <v>1.5</v>
      </c>
      <c r="G151" s="10">
        <f>E151*F151</f>
        <v/>
      </c>
      <c r="H151" s="11" t="n"/>
      <c r="I151" s="10">
        <f>IF(H151="","",E151*H151)</f>
        <v/>
      </c>
      <c r="J151" s="8" t="inlineStr">
        <is>
          <t>Склад 2</t>
        </is>
      </c>
    </row>
    <row r="152">
      <c r="A152" s="8" t="n">
        <v>148</v>
      </c>
      <c r="B152" s="8" t="inlineStr">
        <is>
          <t>клапан штуцерный</t>
        </is>
      </c>
      <c r="C152" s="8" t="inlineStr">
        <is>
          <t>Ду20</t>
        </is>
      </c>
      <c r="D152" s="9" t="inlineStr">
        <is>
          <t>Клапан штуцерный проходной Ду 20</t>
        </is>
      </c>
      <c r="E152" s="8" t="n">
        <v>100</v>
      </c>
      <c r="F152" s="10" t="n">
        <v>1.5</v>
      </c>
      <c r="G152" s="10">
        <f>E152*F152</f>
        <v/>
      </c>
      <c r="H152" s="11" t="n"/>
      <c r="I152" s="10">
        <f>IF(H152="","",E152*H152)</f>
        <v/>
      </c>
      <c r="J152" s="8" t="inlineStr">
        <is>
          <t>Склад 3</t>
        </is>
      </c>
    </row>
    <row r="153">
      <c r="A153" s="8" t="n">
        <v>149</v>
      </c>
      <c r="B153" s="8" t="inlineStr">
        <is>
          <t>клапан штуцерный</t>
        </is>
      </c>
      <c r="C153" s="8" t="inlineStr">
        <is>
          <t>Ду20</t>
        </is>
      </c>
      <c r="D153" s="9" t="inlineStr">
        <is>
          <t>Клапан штуцерный проходной Ду 20</t>
        </is>
      </c>
      <c r="E153" s="8" t="n">
        <v>4</v>
      </c>
      <c r="F153" s="10" t="n">
        <v>1.5</v>
      </c>
      <c r="G153" s="10">
        <f>E153*F153</f>
        <v/>
      </c>
      <c r="H153" s="11" t="n"/>
      <c r="I153" s="10">
        <f>IF(H153="","",E153*H153)</f>
        <v/>
      </c>
      <c r="J153" s="8" t="inlineStr">
        <is>
          <t>Менеджерская</t>
        </is>
      </c>
    </row>
    <row r="154">
      <c r="A154" s="8" t="n">
        <v>150</v>
      </c>
      <c r="B154" s="8" t="inlineStr">
        <is>
          <t>клапан штуцерный</t>
        </is>
      </c>
      <c r="C154" s="8" t="inlineStr">
        <is>
          <t>Ду20</t>
        </is>
      </c>
      <c r="D154" s="9" t="inlineStr">
        <is>
          <t>Клапан штуцерный проходной Ду 20</t>
        </is>
      </c>
      <c r="E154" s="8" t="n">
        <v>1</v>
      </c>
      <c r="F154" s="10" t="n">
        <v>1.5</v>
      </c>
      <c r="G154" s="10">
        <f>E154*F154</f>
        <v/>
      </c>
      <c r="H154" s="11" t="n"/>
      <c r="I154" s="10">
        <f>IF(H154="","",E154*H154)</f>
        <v/>
      </c>
      <c r="J154" s="8" t="inlineStr">
        <is>
          <t>Менеджерская</t>
        </is>
      </c>
    </row>
    <row r="155">
      <c r="A155" s="8" t="n">
        <v>151</v>
      </c>
      <c r="B155" s="8" t="inlineStr">
        <is>
          <t>клапан штуцерный</t>
        </is>
      </c>
      <c r="C155" s="8" t="inlineStr">
        <is>
          <t>Ду20</t>
        </is>
      </c>
      <c r="D155" s="9" t="inlineStr">
        <is>
          <t>Клапан штуцерный проходной Ду 20 Ру 100</t>
        </is>
      </c>
      <c r="E155" s="8" t="n">
        <v>1</v>
      </c>
      <c r="F155" s="10" t="n">
        <v>1.5</v>
      </c>
      <c r="G155" s="10">
        <f>E155*F155</f>
        <v/>
      </c>
      <c r="H155" s="11" t="n"/>
      <c r="I155" s="10">
        <f>IF(H155="","",E155*H155)</f>
        <v/>
      </c>
      <c r="J155" s="8" t="inlineStr">
        <is>
          <t>Менеджерская</t>
        </is>
      </c>
    </row>
    <row r="156">
      <c r="A156" s="8" t="n">
        <v>152</v>
      </c>
      <c r="B156" s="8" t="inlineStr">
        <is>
          <t>клапан штуцерный</t>
        </is>
      </c>
      <c r="C156" s="8" t="inlineStr">
        <is>
          <t>Ду20</t>
        </is>
      </c>
      <c r="D156" s="9" t="inlineStr">
        <is>
          <t>Клапан штуцерный проходной Ду 20 Ру 100</t>
        </is>
      </c>
      <c r="E156" s="8" t="n">
        <v>13</v>
      </c>
      <c r="F156" s="10" t="n">
        <v>1.5</v>
      </c>
      <c r="G156" s="10">
        <f>E156*F156</f>
        <v/>
      </c>
      <c r="H156" s="11" t="n"/>
      <c r="I156" s="10">
        <f>IF(H156="","",E156*H156)</f>
        <v/>
      </c>
      <c r="J156" s="8" t="inlineStr">
        <is>
          <t>Менеджерская</t>
        </is>
      </c>
    </row>
    <row r="157">
      <c r="A157" s="8" t="n">
        <v>153</v>
      </c>
      <c r="B157" s="8" t="inlineStr">
        <is>
          <t>клапан штуцерный</t>
        </is>
      </c>
      <c r="C157" s="8" t="inlineStr">
        <is>
          <t>Ду20</t>
        </is>
      </c>
      <c r="D157" s="9" t="inlineStr">
        <is>
          <t>Клапан штуцерный проходной Ду 20 Ру 100</t>
        </is>
      </c>
      <c r="E157" s="8" t="n">
        <v>102</v>
      </c>
      <c r="F157" s="10" t="n">
        <v>1.5</v>
      </c>
      <c r="G157" s="10">
        <f>E157*F157</f>
        <v/>
      </c>
      <c r="H157" s="11" t="n"/>
      <c r="I157" s="10">
        <f>IF(H157="","",E157*H157)</f>
        <v/>
      </c>
      <c r="J157" s="8" t="inlineStr">
        <is>
          <t>Менеджерская</t>
        </is>
      </c>
    </row>
    <row r="158">
      <c r="A158" s="8" t="n">
        <v>154</v>
      </c>
      <c r="B158" s="8" t="inlineStr">
        <is>
          <t>клапан штуцерный</t>
        </is>
      </c>
      <c r="C158" s="8" t="inlineStr">
        <is>
          <t>Ду20</t>
        </is>
      </c>
      <c r="D158" s="9" t="inlineStr">
        <is>
          <t>Клапан штуцерный проходной Ду 20 Ру 100</t>
        </is>
      </c>
      <c r="E158" s="8" t="n">
        <v>1</v>
      </c>
      <c r="F158" s="10" t="n">
        <v>1.5</v>
      </c>
      <c r="G158" s="10">
        <f>E158*F158</f>
        <v/>
      </c>
      <c r="H158" s="11" t="n"/>
      <c r="I158" s="10">
        <f>IF(H158="","",E158*H158)</f>
        <v/>
      </c>
      <c r="J158" s="8" t="inlineStr">
        <is>
          <t>Менеджерская</t>
        </is>
      </c>
    </row>
    <row r="159">
      <c r="A159" s="8" t="n">
        <v>155</v>
      </c>
      <c r="B159" s="8" t="inlineStr">
        <is>
          <t>клапан штуцерный</t>
        </is>
      </c>
      <c r="C159" s="8" t="inlineStr">
        <is>
          <t>Ду20</t>
        </is>
      </c>
      <c r="D159" s="9" t="inlineStr">
        <is>
          <t>Клапан штуцерный проходной Ду 20 Ру 100</t>
        </is>
      </c>
      <c r="E159" s="8" t="n">
        <v>2</v>
      </c>
      <c r="F159" s="10" t="n">
        <v>1.5</v>
      </c>
      <c r="G159" s="10">
        <f>E159*F159</f>
        <v/>
      </c>
      <c r="H159" s="11" t="n"/>
      <c r="I159" s="10">
        <f>IF(H159="","",E159*H159)</f>
        <v/>
      </c>
      <c r="J159" s="8" t="inlineStr">
        <is>
          <t>Менеджерская</t>
        </is>
      </c>
    </row>
    <row r="160">
      <c r="A160" s="8" t="n">
        <v>156</v>
      </c>
      <c r="B160" s="8" t="inlineStr">
        <is>
          <t>клапан штуцерный</t>
        </is>
      </c>
      <c r="C160" s="8" t="inlineStr">
        <is>
          <t>Ду20</t>
        </is>
      </c>
      <c r="D160" s="9" t="inlineStr">
        <is>
          <t>Клапан штуцерный проходной Ду 20 Ру 100</t>
        </is>
      </c>
      <c r="E160" s="8" t="n">
        <v>2</v>
      </c>
      <c r="F160" s="10" t="n">
        <v>1.5</v>
      </c>
      <c r="G160" s="10">
        <f>E160*F160</f>
        <v/>
      </c>
      <c r="H160" s="11" t="n"/>
      <c r="I160" s="10">
        <f>IF(H160="","",E160*H160)</f>
        <v/>
      </c>
      <c r="J160" s="8" t="inlineStr">
        <is>
          <t>Менеджерская</t>
        </is>
      </c>
    </row>
    <row r="161">
      <c r="A161" s="8" t="n">
        <v>157</v>
      </c>
      <c r="B161" s="8" t="inlineStr">
        <is>
          <t>клапан штуцерный</t>
        </is>
      </c>
      <c r="C161" s="8" t="inlineStr">
        <is>
          <t>Ду20</t>
        </is>
      </c>
      <c r="D161" s="9" t="inlineStr">
        <is>
          <t>Клапан штуцерный проходной Ду 20 Ру 100</t>
        </is>
      </c>
      <c r="E161" s="8" t="n">
        <v>21</v>
      </c>
      <c r="F161" s="10" t="n">
        <v>1.5</v>
      </c>
      <c r="G161" s="10">
        <f>E161*F161</f>
        <v/>
      </c>
      <c r="H161" s="11" t="n"/>
      <c r="I161" s="10">
        <f>IF(H161="","",E161*H161)</f>
        <v/>
      </c>
      <c r="J161" s="8" t="inlineStr">
        <is>
          <t>Менеджерская</t>
        </is>
      </c>
    </row>
    <row r="162">
      <c r="A162" s="8" t="n">
        <v>158</v>
      </c>
      <c r="B162" s="8" t="inlineStr">
        <is>
          <t>клапан штуцерный</t>
        </is>
      </c>
      <c r="C162" s="8" t="inlineStr">
        <is>
          <t>Ду20</t>
        </is>
      </c>
      <c r="D162" s="9" t="inlineStr">
        <is>
          <t>Клапан штуцерный проходной Ду 20 Ру 100</t>
        </is>
      </c>
      <c r="E162" s="8" t="n">
        <v>16</v>
      </c>
      <c r="F162" s="10" t="n">
        <v>1.5</v>
      </c>
      <c r="G162" s="10">
        <f>E162*F162</f>
        <v/>
      </c>
      <c r="H162" s="11" t="n"/>
      <c r="I162" s="10">
        <f>IF(H162="","",E162*H162)</f>
        <v/>
      </c>
      <c r="J162" s="8" t="inlineStr">
        <is>
          <t>Менеджерская</t>
        </is>
      </c>
    </row>
    <row r="163">
      <c r="A163" s="8" t="n">
        <v>159</v>
      </c>
      <c r="B163" s="8" t="inlineStr">
        <is>
          <t>клапан штуцерный</t>
        </is>
      </c>
      <c r="C163" s="8" t="inlineStr">
        <is>
          <t>Ду20</t>
        </is>
      </c>
      <c r="D163" s="9" t="inlineStr">
        <is>
          <t>Клапан штуцерный проходной Ду 20 Ру 100</t>
        </is>
      </c>
      <c r="E163" s="8" t="n">
        <v>2</v>
      </c>
      <c r="F163" s="10" t="n">
        <v>1.5</v>
      </c>
      <c r="G163" s="10">
        <f>E163*F163</f>
        <v/>
      </c>
      <c r="H163" s="11" t="n"/>
      <c r="I163" s="10">
        <f>IF(H163="","",E163*H163)</f>
        <v/>
      </c>
      <c r="J163" s="8" t="inlineStr">
        <is>
          <t>Менеджерская</t>
        </is>
      </c>
    </row>
    <row r="164">
      <c r="A164" s="8" t="n">
        <v>160</v>
      </c>
      <c r="B164" s="8" t="inlineStr">
        <is>
          <t>клапан штуцерный</t>
        </is>
      </c>
      <c r="C164" s="8" t="inlineStr">
        <is>
          <t>Ду20</t>
        </is>
      </c>
      <c r="D164" s="9" t="inlineStr">
        <is>
          <t>Клапан штуцерный проходной Ду 20 Ру 100</t>
        </is>
      </c>
      <c r="E164" s="8" t="n">
        <v>7</v>
      </c>
      <c r="F164" s="10" t="n">
        <v>1.5</v>
      </c>
      <c r="G164" s="10">
        <f>E164*F164</f>
        <v/>
      </c>
      <c r="H164" s="11" t="n"/>
      <c r="I164" s="10">
        <f>IF(H164="","",E164*H164)</f>
        <v/>
      </c>
      <c r="J164" s="8" t="inlineStr">
        <is>
          <t>Менеджерская</t>
        </is>
      </c>
    </row>
    <row r="165">
      <c r="A165" s="8" t="n">
        <v>161</v>
      </c>
      <c r="B165" s="8" t="inlineStr">
        <is>
          <t>клапан штуцерный</t>
        </is>
      </c>
      <c r="C165" s="8" t="inlineStr">
        <is>
          <t>Ду20</t>
        </is>
      </c>
      <c r="D165" s="9" t="inlineStr">
        <is>
          <t>Клапан штуцерный проходной Ду 20 Ру 100</t>
        </is>
      </c>
      <c r="E165" s="8" t="n">
        <v>9</v>
      </c>
      <c r="F165" s="10" t="n">
        <v>1.5</v>
      </c>
      <c r="G165" s="10">
        <f>E165*F165</f>
        <v/>
      </c>
      <c r="H165" s="11" t="n"/>
      <c r="I165" s="10">
        <f>IF(H165="","",E165*H165)</f>
        <v/>
      </c>
      <c r="J165" s="8" t="inlineStr">
        <is>
          <t>Менеджерская</t>
        </is>
      </c>
    </row>
    <row r="166">
      <c r="A166" s="8" t="n">
        <v>162</v>
      </c>
      <c r="B166" s="8" t="inlineStr">
        <is>
          <t>клапан штуцерный</t>
        </is>
      </c>
      <c r="C166" s="8" t="inlineStr">
        <is>
          <t>Ду20</t>
        </is>
      </c>
      <c r="D166" s="9" t="inlineStr">
        <is>
          <t>Клапан штуцерный проходной Ду 20 Ру 100</t>
        </is>
      </c>
      <c r="E166" s="8" t="n">
        <v>1</v>
      </c>
      <c r="F166" s="10" t="n">
        <v>1.5</v>
      </c>
      <c r="G166" s="10">
        <f>E166*F166</f>
        <v/>
      </c>
      <c r="H166" s="11" t="n"/>
      <c r="I166" s="10">
        <f>IF(H166="","",E166*H166)</f>
        <v/>
      </c>
      <c r="J166" s="8" t="inlineStr">
        <is>
          <t>Менеджерская</t>
        </is>
      </c>
    </row>
    <row r="167">
      <c r="A167" s="8" t="n">
        <v>163</v>
      </c>
      <c r="B167" s="8" t="inlineStr">
        <is>
          <t>клапан штуцерный</t>
        </is>
      </c>
      <c r="C167" s="8" t="inlineStr">
        <is>
          <t>Ду20</t>
        </is>
      </c>
      <c r="D167" s="9" t="inlineStr">
        <is>
          <t>Клапан штуцерный проходной Ду 20 Ру 100</t>
        </is>
      </c>
      <c r="E167" s="8" t="n">
        <v>1</v>
      </c>
      <c r="F167" s="10" t="n">
        <v>1.5</v>
      </c>
      <c r="G167" s="10">
        <f>E167*F167</f>
        <v/>
      </c>
      <c r="H167" s="11" t="n"/>
      <c r="I167" s="10">
        <f>IF(H167="","",E167*H167)</f>
        <v/>
      </c>
      <c r="J167" s="8" t="inlineStr">
        <is>
          <t>Менеджерская</t>
        </is>
      </c>
    </row>
    <row r="168">
      <c r="A168" s="8" t="n">
        <v>164</v>
      </c>
      <c r="B168" s="8" t="inlineStr">
        <is>
          <t>клапан штуцерный</t>
        </is>
      </c>
      <c r="C168" s="8" t="inlineStr">
        <is>
          <t>Ду20</t>
        </is>
      </c>
      <c r="D168" s="9" t="inlineStr">
        <is>
          <t>Клапан штуцерный проходной Ду 20 Ру 100</t>
        </is>
      </c>
      <c r="E168" s="8" t="n">
        <v>3</v>
      </c>
      <c r="F168" s="10" t="n">
        <v>1.5</v>
      </c>
      <c r="G168" s="10">
        <f>E168*F168</f>
        <v/>
      </c>
      <c r="H168" s="11" t="n"/>
      <c r="I168" s="10">
        <f>IF(H168="","",E168*H168)</f>
        <v/>
      </c>
      <c r="J168" s="8" t="inlineStr">
        <is>
          <t>Менеджерская</t>
        </is>
      </c>
    </row>
    <row r="169">
      <c r="A169" s="8" t="n">
        <v>165</v>
      </c>
      <c r="B169" s="8" t="inlineStr">
        <is>
          <t>клапан штуцерный</t>
        </is>
      </c>
      <c r="C169" s="8" t="inlineStr">
        <is>
          <t>Ду20</t>
        </is>
      </c>
      <c r="D169" s="9" t="inlineStr">
        <is>
          <t>Клапан штуцерный проходной Ду 20 Ру 40</t>
        </is>
      </c>
      <c r="E169" s="8" t="n">
        <v>4</v>
      </c>
      <c r="F169" s="10" t="n">
        <v>1.5</v>
      </c>
      <c r="G169" s="10">
        <f>E169*F169</f>
        <v/>
      </c>
      <c r="H169" s="11" t="n"/>
      <c r="I169" s="10">
        <f>IF(H169="","",E169*H169)</f>
        <v/>
      </c>
      <c r="J169" s="8" t="inlineStr">
        <is>
          <t>Менеджерская</t>
        </is>
      </c>
    </row>
    <row r="170">
      <c r="A170" s="8" t="n">
        <v>166</v>
      </c>
      <c r="B170" s="8" t="inlineStr">
        <is>
          <t>клапан штуцерный</t>
        </is>
      </c>
      <c r="C170" s="8" t="inlineStr">
        <is>
          <t>Ду20</t>
        </is>
      </c>
      <c r="D170" s="9" t="inlineStr">
        <is>
          <t>Клапан штуцерный проходной Ду 20 Ру 40</t>
        </is>
      </c>
      <c r="E170" s="8" t="n">
        <v>72</v>
      </c>
      <c r="F170" s="10" t="n">
        <v>1.5</v>
      </c>
      <c r="G170" s="10">
        <f>E170*F170</f>
        <v/>
      </c>
      <c r="H170" s="11" t="n"/>
      <c r="I170" s="10">
        <f>IF(H170="","",E170*H170)</f>
        <v/>
      </c>
      <c r="J170" s="8" t="inlineStr">
        <is>
          <t>Менеджерская</t>
        </is>
      </c>
    </row>
    <row r="171">
      <c r="A171" s="8" t="n">
        <v>167</v>
      </c>
      <c r="B171" s="8" t="inlineStr">
        <is>
          <t>клапан штуцерный</t>
        </is>
      </c>
      <c r="C171" s="8" t="inlineStr">
        <is>
          <t>Ду20</t>
        </is>
      </c>
      <c r="D171" s="9" t="inlineStr">
        <is>
          <t>Клапан штуцерный проходной Ду 20 Ру 40</t>
        </is>
      </c>
      <c r="E171" s="8" t="n">
        <v>11</v>
      </c>
      <c r="F171" s="10" t="n">
        <v>1.5</v>
      </c>
      <c r="G171" s="10">
        <f>E171*F171</f>
        <v/>
      </c>
      <c r="H171" s="11" t="n"/>
      <c r="I171" s="10">
        <f>IF(H171="","",E171*H171)</f>
        <v/>
      </c>
      <c r="J171" s="8" t="inlineStr">
        <is>
          <t>Менеджерская</t>
        </is>
      </c>
    </row>
    <row r="172">
      <c r="A172" s="8" t="n">
        <v>168</v>
      </c>
      <c r="B172" s="8" t="inlineStr">
        <is>
          <t>клапан штуцерный</t>
        </is>
      </c>
      <c r="C172" s="8" t="inlineStr">
        <is>
          <t>Ду20</t>
        </is>
      </c>
      <c r="D172" s="9" t="inlineStr">
        <is>
          <t>Клапан штуцерный проходной Ду 20 Ру 40</t>
        </is>
      </c>
      <c r="E172" s="8" t="n">
        <v>11</v>
      </c>
      <c r="F172" s="10" t="n">
        <v>1.5</v>
      </c>
      <c r="G172" s="10">
        <f>E172*F172</f>
        <v/>
      </c>
      <c r="H172" s="11" t="n"/>
      <c r="I172" s="10">
        <f>IF(H172="","",E172*H172)</f>
        <v/>
      </c>
      <c r="J172" s="8" t="inlineStr">
        <is>
          <t>Менеджерская</t>
        </is>
      </c>
    </row>
    <row r="173">
      <c r="A173" s="8" t="n">
        <v>169</v>
      </c>
      <c r="B173" s="8" t="inlineStr">
        <is>
          <t>клапан штуцерный</t>
        </is>
      </c>
      <c r="C173" s="8" t="inlineStr">
        <is>
          <t>Ду20</t>
        </is>
      </c>
      <c r="D173" s="9" t="inlineStr">
        <is>
          <t>Клапан штуцерный проходной Ду 20 Ру 40</t>
        </is>
      </c>
      <c r="E173" s="8" t="n">
        <v>2</v>
      </c>
      <c r="F173" s="10" t="n">
        <v>1.5</v>
      </c>
      <c r="G173" s="10">
        <f>E173*F173</f>
        <v/>
      </c>
      <c r="H173" s="11" t="n"/>
      <c r="I173" s="10">
        <f>IF(H173="","",E173*H173)</f>
        <v/>
      </c>
      <c r="J173" s="8" t="inlineStr">
        <is>
          <t>Менеджерская</t>
        </is>
      </c>
    </row>
    <row r="174">
      <c r="A174" s="8" t="n">
        <v>170</v>
      </c>
      <c r="B174" s="8" t="inlineStr">
        <is>
          <t>клапан штуцерный</t>
        </is>
      </c>
      <c r="C174" s="8" t="inlineStr">
        <is>
          <t>Ду20</t>
        </is>
      </c>
      <c r="D174" s="9" t="inlineStr">
        <is>
          <t>Клапан штуцерный проходной Ду 20 Ру 40</t>
        </is>
      </c>
      <c r="E174" s="8" t="n">
        <v>23</v>
      </c>
      <c r="F174" s="10" t="n">
        <v>1.5</v>
      </c>
      <c r="G174" s="10">
        <f>E174*F174</f>
        <v/>
      </c>
      <c r="H174" s="11" t="n"/>
      <c r="I174" s="10">
        <f>IF(H174="","",E174*H174)</f>
        <v/>
      </c>
      <c r="J174" s="8" t="inlineStr">
        <is>
          <t>Менеджерская</t>
        </is>
      </c>
    </row>
    <row r="175">
      <c r="A175" s="8" t="n">
        <v>171</v>
      </c>
      <c r="B175" s="8" t="inlineStr">
        <is>
          <t>клапан штуцерный</t>
        </is>
      </c>
      <c r="C175" s="8" t="inlineStr">
        <is>
          <t>Ду20</t>
        </is>
      </c>
      <c r="D175" s="9" t="inlineStr">
        <is>
          <t>Клапан штуцерный проходной Ду 20 Ру 40</t>
        </is>
      </c>
      <c r="E175" s="8" t="n">
        <v>1</v>
      </c>
      <c r="F175" s="10" t="n">
        <v>1.5</v>
      </c>
      <c r="G175" s="10">
        <f>E175*F175</f>
        <v/>
      </c>
      <c r="H175" s="11" t="n"/>
      <c r="I175" s="10">
        <f>IF(H175="","",E175*H175)</f>
        <v/>
      </c>
      <c r="J175" s="8" t="inlineStr">
        <is>
          <t>Менеджерская</t>
        </is>
      </c>
    </row>
    <row r="176">
      <c r="A176" s="8" t="n">
        <v>172</v>
      </c>
      <c r="B176" s="8" t="inlineStr">
        <is>
          <t>клапан штуцерный</t>
        </is>
      </c>
      <c r="C176" s="8" t="inlineStr">
        <is>
          <t>Ду20</t>
        </is>
      </c>
      <c r="D176" s="9" t="inlineStr">
        <is>
          <t>Клапан штуцерный проходной Ду 20 Ру 40</t>
        </is>
      </c>
      <c r="E176" s="8" t="n">
        <v>3</v>
      </c>
      <c r="F176" s="10" t="n">
        <v>1.5</v>
      </c>
      <c r="G176" s="10">
        <f>E176*F176</f>
        <v/>
      </c>
      <c r="H176" s="11" t="n"/>
      <c r="I176" s="10">
        <f>IF(H176="","",E176*H176)</f>
        <v/>
      </c>
      <c r="J176" s="8" t="inlineStr">
        <is>
          <t>Менеджерская</t>
        </is>
      </c>
    </row>
    <row r="177">
      <c r="A177" s="8" t="n">
        <v>173</v>
      </c>
      <c r="B177" s="8" t="inlineStr">
        <is>
          <t>клапан штуцерный</t>
        </is>
      </c>
      <c r="C177" s="8" t="inlineStr">
        <is>
          <t>Ду20</t>
        </is>
      </c>
      <c r="D177" s="9" t="inlineStr">
        <is>
          <t>Клапан штуцерный проходной Ду 20 Ру 64</t>
        </is>
      </c>
      <c r="E177" s="8" t="n">
        <v>1</v>
      </c>
      <c r="F177" s="10" t="n">
        <v>1.5</v>
      </c>
      <c r="G177" s="10">
        <f>E177*F177</f>
        <v/>
      </c>
      <c r="H177" s="11" t="n"/>
      <c r="I177" s="10">
        <f>IF(H177="","",E177*H177)</f>
        <v/>
      </c>
      <c r="J177" s="8" t="inlineStr">
        <is>
          <t>Менеджерская</t>
        </is>
      </c>
    </row>
    <row r="178">
      <c r="A178" s="8" t="n">
        <v>174</v>
      </c>
      <c r="B178" s="8" t="inlineStr">
        <is>
          <t>клапан штуцерный</t>
        </is>
      </c>
      <c r="C178" s="8" t="inlineStr">
        <is>
          <t>Ду20</t>
        </is>
      </c>
      <c r="D178" s="9" t="inlineStr">
        <is>
          <t>Клапан штуцерный проходной Ду 20 Ру10</t>
        </is>
      </c>
      <c r="E178" s="8" t="n">
        <v>5</v>
      </c>
      <c r="F178" s="10" t="n">
        <v>1.5</v>
      </c>
      <c r="G178" s="10">
        <f>E178*F178</f>
        <v/>
      </c>
      <c r="H178" s="11" t="n"/>
      <c r="I178" s="10">
        <f>IF(H178="","",E178*H178)</f>
        <v/>
      </c>
      <c r="J178" s="8" t="inlineStr">
        <is>
          <t>Менеджерская</t>
        </is>
      </c>
    </row>
    <row r="179">
      <c r="A179" s="8" t="n">
        <v>175</v>
      </c>
      <c r="B179" s="8" t="inlineStr">
        <is>
          <t>клапан штуцерный</t>
        </is>
      </c>
      <c r="C179" s="8" t="inlineStr">
        <is>
          <t>Ду20</t>
        </is>
      </c>
      <c r="D179" s="9" t="inlineStr">
        <is>
          <t>Клапан штуцерный угловой Ду20 Ру100</t>
        </is>
      </c>
      <c r="E179" s="8" t="n">
        <v>5</v>
      </c>
      <c r="F179" s="10" t="n">
        <v>1.5</v>
      </c>
      <c r="G179" s="10">
        <f>E179*F179</f>
        <v/>
      </c>
      <c r="H179" s="11" t="n"/>
      <c r="I179" s="10">
        <f>IF(H179="","",E179*H179)</f>
        <v/>
      </c>
      <c r="J179" s="8" t="inlineStr">
        <is>
          <t>Склад 2</t>
        </is>
      </c>
    </row>
    <row r="180">
      <c r="A180" s="8" t="n">
        <v>176</v>
      </c>
      <c r="B180" s="8" t="inlineStr">
        <is>
          <t>клапан штуцерный</t>
        </is>
      </c>
      <c r="C180" s="8" t="inlineStr">
        <is>
          <t>Ду20</t>
        </is>
      </c>
      <c r="D180" s="9" t="inlineStr">
        <is>
          <t>Клапан штуцерный угловой Ду20 Ру160</t>
        </is>
      </c>
      <c r="E180" s="8" t="n">
        <v>1</v>
      </c>
      <c r="F180" s="10" t="n">
        <v>1.5</v>
      </c>
      <c r="G180" s="10">
        <f>E180*F180</f>
        <v/>
      </c>
      <c r="H180" s="11" t="n"/>
      <c r="I180" s="10">
        <f>IF(H180="","",E180*H180)</f>
        <v/>
      </c>
      <c r="J180" s="8" t="inlineStr">
        <is>
          <t>Склад 2</t>
        </is>
      </c>
    </row>
    <row r="181">
      <c r="A181" s="8" t="n">
        <v>177</v>
      </c>
      <c r="B181" s="8" t="inlineStr">
        <is>
          <t>клапан штуцерный</t>
        </is>
      </c>
      <c r="C181" s="8" t="inlineStr">
        <is>
          <t>Ду20</t>
        </is>
      </c>
      <c r="D181" s="9" t="inlineStr">
        <is>
          <t>Клапан штуцерный угловой Ду20 Ру160</t>
        </is>
      </c>
      <c r="E181" s="8" t="n">
        <v>3</v>
      </c>
      <c r="F181" s="10" t="n">
        <v>1.5</v>
      </c>
      <c r="G181" s="10">
        <f>E181*F181</f>
        <v/>
      </c>
      <c r="H181" s="11" t="n"/>
      <c r="I181" s="10">
        <f>IF(H181="","",E181*H181)</f>
        <v/>
      </c>
      <c r="J181" s="8" t="inlineStr">
        <is>
          <t>Менеджерская</t>
        </is>
      </c>
    </row>
    <row r="182">
      <c r="A182" s="8" t="n">
        <v>178</v>
      </c>
      <c r="B182" s="8" t="inlineStr">
        <is>
          <t>клапан штуцерный</t>
        </is>
      </c>
      <c r="C182" s="8" t="inlineStr">
        <is>
          <t>Ду20</t>
        </is>
      </c>
      <c r="D182" s="9" t="inlineStr">
        <is>
          <t>Клапан штуцерный угловой Ду20 ру 40</t>
        </is>
      </c>
      <c r="E182" s="8" t="n">
        <v>1</v>
      </c>
      <c r="F182" s="10" t="n">
        <v>1.5</v>
      </c>
      <c r="G182" s="10">
        <f>E182*F182</f>
        <v/>
      </c>
      <c r="H182" s="11" t="n"/>
      <c r="I182" s="10">
        <f>IF(H182="","",E182*H182)</f>
        <v/>
      </c>
      <c r="J182" s="8" t="inlineStr">
        <is>
          <t>Менеджерская</t>
        </is>
      </c>
    </row>
    <row r="183">
      <c r="A183" s="8" t="n">
        <v>179</v>
      </c>
      <c r="B183" s="8" t="inlineStr">
        <is>
          <t>клапан штуцерный</t>
        </is>
      </c>
      <c r="C183" s="8" t="inlineStr">
        <is>
          <t>Ду20</t>
        </is>
      </c>
      <c r="D183" s="9" t="inlineStr">
        <is>
          <t>Клапан штуцерный угловой Ду20 ру 40</t>
        </is>
      </c>
      <c r="E183" s="8" t="n">
        <v>2</v>
      </c>
      <c r="F183" s="10" t="n">
        <v>1.5</v>
      </c>
      <c r="G183" s="10">
        <f>E183*F183</f>
        <v/>
      </c>
      <c r="H183" s="11" t="n"/>
      <c r="I183" s="10">
        <f>IF(H183="","",E183*H183)</f>
        <v/>
      </c>
      <c r="J183" s="8" t="inlineStr">
        <is>
          <t>Менеджерская</t>
        </is>
      </c>
    </row>
    <row r="184">
      <c r="A184" s="8" t="n">
        <v>180</v>
      </c>
      <c r="B184" s="8" t="inlineStr">
        <is>
          <t>клапан штуцерный</t>
        </is>
      </c>
      <c r="C184" s="8" t="inlineStr">
        <is>
          <t>Ду20</t>
        </is>
      </c>
      <c r="D184" s="9" t="inlineStr">
        <is>
          <t>Клапан штуцерный угловой Ду20 ру 40</t>
        </is>
      </c>
      <c r="E184" s="8" t="n">
        <v>1</v>
      </c>
      <c r="F184" s="10" t="n">
        <v>1.5</v>
      </c>
      <c r="G184" s="10">
        <f>E184*F184</f>
        <v/>
      </c>
      <c r="H184" s="11" t="n"/>
      <c r="I184" s="10">
        <f>IF(H184="","",E184*H184)</f>
        <v/>
      </c>
      <c r="J184" s="8" t="inlineStr">
        <is>
          <t>Менеджерская</t>
        </is>
      </c>
    </row>
    <row r="185">
      <c r="A185" s="8" t="n">
        <v>181</v>
      </c>
      <c r="B185" s="8" t="inlineStr">
        <is>
          <t>клапан штуцерный</t>
        </is>
      </c>
      <c r="C185" s="8" t="inlineStr">
        <is>
          <t>Ду20</t>
        </is>
      </c>
      <c r="D185" s="9" t="inlineStr">
        <is>
          <t>Кран двухходовой штуцерный Ду20 Ру16</t>
        </is>
      </c>
      <c r="E185" s="8" t="n">
        <v>3</v>
      </c>
      <c r="F185" s="10" t="n">
        <v>1.5</v>
      </c>
      <c r="G185" s="10">
        <f>E185*F185</f>
        <v/>
      </c>
      <c r="H185" s="11" t="n"/>
      <c r="I185" s="10">
        <f>IF(H185="","",E185*H185)</f>
        <v/>
      </c>
      <c r="J185" s="8" t="inlineStr">
        <is>
          <t>Склад 2</t>
        </is>
      </c>
    </row>
    <row r="186">
      <c r="A186" s="8" t="n">
        <v>182</v>
      </c>
      <c r="B186" s="8" t="inlineStr">
        <is>
          <t>клапан штуцерный</t>
        </is>
      </c>
      <c r="C186" s="8" t="inlineStr">
        <is>
          <t>Ду20</t>
        </is>
      </c>
      <c r="D186" s="9" t="inlineStr">
        <is>
          <t>Кран трехходовой штуцерный Ду20 Ру16</t>
        </is>
      </c>
      <c r="E186" s="8" t="n">
        <v>7</v>
      </c>
      <c r="F186" s="10" t="n">
        <v>1.5</v>
      </c>
      <c r="G186" s="10">
        <f>E186*F186</f>
        <v/>
      </c>
      <c r="H186" s="11" t="n"/>
      <c r="I186" s="10">
        <f>IF(H186="","",E186*H186)</f>
        <v/>
      </c>
      <c r="J186" s="8" t="inlineStr">
        <is>
          <t>Склад 2</t>
        </is>
      </c>
    </row>
    <row r="187">
      <c r="A187" s="8" t="n">
        <v>183</v>
      </c>
      <c r="B187" s="8" t="inlineStr">
        <is>
          <t>клапан штуцерный</t>
        </is>
      </c>
      <c r="C187" s="8" t="inlineStr">
        <is>
          <t>Ду20</t>
        </is>
      </c>
      <c r="D187" s="9" t="inlineStr">
        <is>
          <t>Кран штуцерный спусковой самозапорный проходной Ду20 Ру10</t>
        </is>
      </c>
      <c r="E187" s="8" t="n">
        <v>36</v>
      </c>
      <c r="F187" s="10" t="n">
        <v>1.5</v>
      </c>
      <c r="G187" s="10">
        <f>E187*F187</f>
        <v/>
      </c>
      <c r="H187" s="11" t="n"/>
      <c r="I187" s="10">
        <f>IF(H187="","",E187*H187)</f>
        <v/>
      </c>
      <c r="J187" s="8" t="inlineStr">
        <is>
          <t>Склад 2</t>
        </is>
      </c>
    </row>
    <row r="188">
      <c r="A188" s="8" t="n">
        <v>184</v>
      </c>
      <c r="B188" s="8" t="inlineStr">
        <is>
          <t>клапан штуцерный</t>
        </is>
      </c>
      <c r="C188" s="8" t="inlineStr">
        <is>
          <t>Ду25</t>
        </is>
      </c>
      <c r="D188" s="9" t="inlineStr">
        <is>
          <t>Клапан муфтовый проходной запорный Ду25Ру16</t>
        </is>
      </c>
      <c r="E188" s="8" t="n">
        <v>2</v>
      </c>
      <c r="F188" s="10" t="n">
        <v>2.5</v>
      </c>
      <c r="G188" s="10">
        <f>E188*F188</f>
        <v/>
      </c>
      <c r="H188" s="11" t="n"/>
      <c r="I188" s="10">
        <f>IF(H188="","",E188*H188)</f>
        <v/>
      </c>
      <c r="J188" s="8" t="inlineStr">
        <is>
          <t>Склад 2</t>
        </is>
      </c>
    </row>
    <row r="189">
      <c r="A189" s="8" t="n">
        <v>185</v>
      </c>
      <c r="B189" s="8" t="inlineStr">
        <is>
          <t>клапан штуцерный</t>
        </is>
      </c>
      <c r="C189" s="8" t="inlineStr">
        <is>
          <t>Ду25</t>
        </is>
      </c>
      <c r="D189" s="9" t="inlineStr">
        <is>
          <t>Клапан педальный Ду25</t>
        </is>
      </c>
      <c r="E189" s="8" t="n">
        <v>1</v>
      </c>
      <c r="F189" s="10" t="n">
        <v>2.5</v>
      </c>
      <c r="G189" s="10">
        <f>E189*F189</f>
        <v/>
      </c>
      <c r="H189" s="11" t="n"/>
      <c r="I189" s="10">
        <f>IF(H189="","",E189*H189)</f>
        <v/>
      </c>
      <c r="J189" s="8" t="inlineStr">
        <is>
          <t>Склад 2</t>
        </is>
      </c>
    </row>
    <row r="190">
      <c r="A190" s="8" t="n">
        <v>186</v>
      </c>
      <c r="B190" s="8" t="inlineStr">
        <is>
          <t>клапан штуцерный</t>
        </is>
      </c>
      <c r="C190" s="8" t="inlineStr">
        <is>
          <t>Ду25</t>
        </is>
      </c>
      <c r="D190" s="9" t="inlineStr">
        <is>
          <t>Клапан педальный Ду25 Китай</t>
        </is>
      </c>
      <c r="E190" s="8" t="n">
        <v>62</v>
      </c>
      <c r="F190" s="10" t="n">
        <v>2.5</v>
      </c>
      <c r="G190" s="10">
        <f>E190*F190</f>
        <v/>
      </c>
      <c r="H190" s="11" t="n"/>
      <c r="I190" s="10">
        <f>IF(H190="","",E190*H190)</f>
        <v/>
      </c>
      <c r="J190" s="8" t="inlineStr">
        <is>
          <t>Склад 2</t>
        </is>
      </c>
    </row>
    <row r="191">
      <c r="A191" s="8" t="n">
        <v>187</v>
      </c>
      <c r="B191" s="8" t="inlineStr">
        <is>
          <t>клапан штуцерный</t>
        </is>
      </c>
      <c r="C191" s="8" t="inlineStr">
        <is>
          <t>Ду25</t>
        </is>
      </c>
      <c r="D191" s="9" t="inlineStr">
        <is>
          <t>Клапан штуцерный проходной Ду 25 (Китай)</t>
        </is>
      </c>
      <c r="E191" s="8" t="n">
        <v>79</v>
      </c>
      <c r="F191" s="10" t="n">
        <v>2.5</v>
      </c>
      <c r="G191" s="10">
        <f>E191*F191</f>
        <v/>
      </c>
      <c r="H191" s="11" t="n"/>
      <c r="I191" s="10">
        <f>IF(H191="","",E191*H191)</f>
        <v/>
      </c>
      <c r="J191" s="8" t="inlineStr">
        <is>
          <t>Склад 3</t>
        </is>
      </c>
    </row>
    <row r="192">
      <c r="A192" s="8" t="n">
        <v>188</v>
      </c>
      <c r="B192" s="8" t="inlineStr">
        <is>
          <t>клапан штуцерный</t>
        </is>
      </c>
      <c r="C192" s="8" t="inlineStr">
        <is>
          <t>Ду25</t>
        </is>
      </c>
      <c r="D192" s="9" t="inlineStr">
        <is>
          <t>Клапан штуцерный угловой Ду25</t>
        </is>
      </c>
      <c r="E192" s="8" t="n">
        <v>1</v>
      </c>
      <c r="F192" s="10" t="n">
        <v>2.5</v>
      </c>
      <c r="G192" s="10">
        <f>E192*F192</f>
        <v/>
      </c>
      <c r="H192" s="11" t="n"/>
      <c r="I192" s="10">
        <f>IF(H192="","",E192*H192)</f>
        <v/>
      </c>
      <c r="J192" s="8" t="inlineStr">
        <is>
          <t>Склад 2</t>
        </is>
      </c>
    </row>
    <row r="193">
      <c r="A193" s="8" t="n">
        <v>189</v>
      </c>
      <c r="B193" s="8" t="inlineStr">
        <is>
          <t>клапан штуцерный</t>
        </is>
      </c>
      <c r="C193" s="8" t="inlineStr">
        <is>
          <t>Ду25</t>
        </is>
      </c>
      <c r="D193" s="9" t="inlineStr">
        <is>
          <t>Клапан штуцерный угловой Ду25</t>
        </is>
      </c>
      <c r="E193" s="8" t="n">
        <v>1</v>
      </c>
      <c r="F193" s="10" t="n">
        <v>2.5</v>
      </c>
      <c r="G193" s="10">
        <f>E193*F193</f>
        <v/>
      </c>
      <c r="H193" s="11" t="n"/>
      <c r="I193" s="10">
        <f>IF(H193="","",E193*H193)</f>
        <v/>
      </c>
      <c r="J193" s="8" t="inlineStr">
        <is>
          <t>Склад 2</t>
        </is>
      </c>
    </row>
    <row r="194">
      <c r="A194" s="8" t="n">
        <v>190</v>
      </c>
      <c r="B194" s="8" t="inlineStr">
        <is>
          <t>клапан штуцерный</t>
        </is>
      </c>
      <c r="C194" s="8" t="inlineStr">
        <is>
          <t>Ду25</t>
        </is>
      </c>
      <c r="D194" s="9" t="inlineStr">
        <is>
          <t>Клапан штуцерный угловой Ду25</t>
        </is>
      </c>
      <c r="E194" s="8" t="n">
        <v>6</v>
      </c>
      <c r="F194" s="10" t="n">
        <v>2.5</v>
      </c>
      <c r="G194" s="10">
        <f>E194*F194</f>
        <v/>
      </c>
      <c r="H194" s="11" t="n"/>
      <c r="I194" s="10">
        <f>IF(H194="","",E194*H194)</f>
        <v/>
      </c>
      <c r="J194" s="8" t="inlineStr">
        <is>
          <t>Склад 3</t>
        </is>
      </c>
    </row>
    <row r="195">
      <c r="A195" s="8" t="n">
        <v>191</v>
      </c>
      <c r="B195" s="8" t="inlineStr">
        <is>
          <t>клапан штуцерный</t>
        </is>
      </c>
      <c r="C195" s="8" t="inlineStr">
        <is>
          <t>Ду25</t>
        </is>
      </c>
      <c r="D195" s="9" t="inlineStr">
        <is>
          <t>Клапан штуцерный угловой Ду25 Ру100</t>
        </is>
      </c>
      <c r="E195" s="8" t="n">
        <v>8</v>
      </c>
      <c r="F195" s="10" t="n">
        <v>2.5</v>
      </c>
      <c r="G195" s="10">
        <f>E195*F195</f>
        <v/>
      </c>
      <c r="H195" s="11" t="n"/>
      <c r="I195" s="10">
        <f>IF(H195="","",E195*H195)</f>
        <v/>
      </c>
      <c r="J195" s="8" t="inlineStr">
        <is>
          <t>Менеджерская</t>
        </is>
      </c>
    </row>
    <row r="196">
      <c r="A196" s="8" t="n">
        <v>192</v>
      </c>
      <c r="B196" s="8" t="inlineStr">
        <is>
          <t>клапан штуцерный</t>
        </is>
      </c>
      <c r="C196" s="8" t="inlineStr">
        <is>
          <t>Ду25</t>
        </is>
      </c>
      <c r="D196" s="9" t="inlineStr">
        <is>
          <t>Клапан штуцерный угловой Ду25 Ру100</t>
        </is>
      </c>
      <c r="E196" s="8" t="n">
        <v>1</v>
      </c>
      <c r="F196" s="10" t="n">
        <v>2.5</v>
      </c>
      <c r="G196" s="10">
        <f>E196*F196</f>
        <v/>
      </c>
      <c r="H196" s="11" t="n"/>
      <c r="I196" s="10">
        <f>IF(H196="","",E196*H196)</f>
        <v/>
      </c>
      <c r="J196" s="8" t="inlineStr">
        <is>
          <t>Менеджерская</t>
        </is>
      </c>
    </row>
    <row r="197">
      <c r="A197" s="8" t="n">
        <v>193</v>
      </c>
      <c r="B197" s="8" t="inlineStr">
        <is>
          <t>клапан штуцерный</t>
        </is>
      </c>
      <c r="C197" s="8" t="inlineStr">
        <is>
          <t>Ду25</t>
        </is>
      </c>
      <c r="D197" s="9" t="inlineStr">
        <is>
          <t>Клапан штуцерный угловой Ду25 Ру100</t>
        </is>
      </c>
      <c r="E197" s="8" t="n">
        <v>2</v>
      </c>
      <c r="F197" s="10" t="n">
        <v>2.5</v>
      </c>
      <c r="G197" s="10">
        <f>E197*F197</f>
        <v/>
      </c>
      <c r="H197" s="11" t="n"/>
      <c r="I197" s="10">
        <f>IF(H197="","",E197*H197)</f>
        <v/>
      </c>
      <c r="J197" s="8" t="inlineStr">
        <is>
          <t>Менеджерская</t>
        </is>
      </c>
    </row>
    <row r="198">
      <c r="A198" s="8" t="n">
        <v>194</v>
      </c>
      <c r="B198" s="8" t="inlineStr">
        <is>
          <t>клапан штуцерный</t>
        </is>
      </c>
      <c r="C198" s="8" t="inlineStr">
        <is>
          <t>Ду32</t>
        </is>
      </c>
      <c r="D198" s="9" t="inlineStr">
        <is>
          <t>Клапан муфтовый проходной запорный Ду32Ру10</t>
        </is>
      </c>
      <c r="E198" s="8" t="n">
        <v>1</v>
      </c>
      <c r="F198" s="10" t="n">
        <v>3.5</v>
      </c>
      <c r="G198" s="10">
        <f>E198*F198</f>
        <v/>
      </c>
      <c r="H198" s="11" t="n"/>
      <c r="I198" s="10">
        <f>IF(H198="","",E198*H198)</f>
        <v/>
      </c>
      <c r="J198" s="8" t="inlineStr">
        <is>
          <t>Склад 2</t>
        </is>
      </c>
    </row>
    <row r="199">
      <c r="A199" s="8" t="n">
        <v>195</v>
      </c>
      <c r="B199" s="8" t="inlineStr">
        <is>
          <t>клапан штуцерный</t>
        </is>
      </c>
      <c r="C199" s="8" t="inlineStr">
        <is>
          <t>Ду32</t>
        </is>
      </c>
      <c r="D199" s="9" t="inlineStr">
        <is>
          <t>Клапан штуцерный проходной Ду 32 Ру 40</t>
        </is>
      </c>
      <c r="E199" s="8" t="n">
        <v>3</v>
      </c>
      <c r="F199" s="10" t="n">
        <v>3.5</v>
      </c>
      <c r="G199" s="10">
        <f>E199*F199</f>
        <v/>
      </c>
      <c r="H199" s="11" t="n"/>
      <c r="I199" s="10">
        <f>IF(H199="","",E199*H199)</f>
        <v/>
      </c>
      <c r="J199" s="8" t="inlineStr">
        <is>
          <t>Менеджерская</t>
        </is>
      </c>
    </row>
    <row r="200">
      <c r="A200" s="8" t="n">
        <v>196</v>
      </c>
      <c r="B200" s="8" t="inlineStr">
        <is>
          <t>клапан штуцерный</t>
        </is>
      </c>
      <c r="C200" s="8" t="inlineStr">
        <is>
          <t>Ду32</t>
        </is>
      </c>
      <c r="D200" s="9" t="inlineStr">
        <is>
          <t>Клапан штуцерный угловой Ду32</t>
        </is>
      </c>
      <c r="E200" s="8" t="n">
        <v>8</v>
      </c>
      <c r="F200" s="10" t="n">
        <v>3.5</v>
      </c>
      <c r="G200" s="10">
        <f>E200*F200</f>
        <v/>
      </c>
      <c r="H200" s="11" t="n"/>
      <c r="I200" s="10">
        <f>IF(H200="","",E200*H200)</f>
        <v/>
      </c>
      <c r="J200" s="8" t="inlineStr">
        <is>
          <t>Склад 3</t>
        </is>
      </c>
    </row>
    <row r="201">
      <c r="A201" s="8" t="n">
        <v>197</v>
      </c>
      <c r="B201" s="8" t="inlineStr">
        <is>
          <t>клапан штуцерный</t>
        </is>
      </c>
      <c r="C201" s="8" t="inlineStr">
        <is>
          <t>Ду32</t>
        </is>
      </c>
      <c r="D201" s="9" t="inlineStr">
        <is>
          <t>Клапан штуцерный угловой Ду32 Ру100</t>
        </is>
      </c>
      <c r="E201" s="8" t="n">
        <v>39</v>
      </c>
      <c r="F201" s="10" t="n">
        <v>3.5</v>
      </c>
      <c r="G201" s="10">
        <f>E201*F201</f>
        <v/>
      </c>
      <c r="H201" s="11" t="n"/>
      <c r="I201" s="10">
        <f>IF(H201="","",E201*H201)</f>
        <v/>
      </c>
      <c r="J201" s="8" t="inlineStr">
        <is>
          <t>Менеджерская</t>
        </is>
      </c>
    </row>
    <row r="202">
      <c r="A202" s="8" t="n">
        <v>198</v>
      </c>
      <c r="B202" s="8" t="inlineStr">
        <is>
          <t>клапан штуцерный</t>
        </is>
      </c>
      <c r="C202" s="8" t="inlineStr">
        <is>
          <t>Ду32</t>
        </is>
      </c>
      <c r="D202" s="9" t="inlineStr">
        <is>
          <t>Клапан штуцерный угловой Ду32 Ру100</t>
        </is>
      </c>
      <c r="E202" s="8" t="n">
        <v>2</v>
      </c>
      <c r="F202" s="10" t="n">
        <v>3.5</v>
      </c>
      <c r="G202" s="10">
        <f>E202*F202</f>
        <v/>
      </c>
      <c r="H202" s="11" t="n"/>
      <c r="I202" s="10">
        <f>IF(H202="","",E202*H202)</f>
        <v/>
      </c>
      <c r="J202" s="8" t="inlineStr">
        <is>
          <t>Менеджерская</t>
        </is>
      </c>
    </row>
    <row r="203">
      <c r="A203" s="8" t="n">
        <v>199</v>
      </c>
      <c r="B203" s="8" t="inlineStr">
        <is>
          <t>клапан штуцерный</t>
        </is>
      </c>
      <c r="C203" s="8" t="inlineStr">
        <is>
          <t>Ду32</t>
        </is>
      </c>
      <c r="D203" s="9" t="inlineStr">
        <is>
          <t>Клапан штуцерный угловой Ду32 Ру100</t>
        </is>
      </c>
      <c r="E203" s="8" t="n">
        <v>1</v>
      </c>
      <c r="F203" s="10" t="n">
        <v>3.5</v>
      </c>
      <c r="G203" s="10">
        <f>E203*F203</f>
        <v/>
      </c>
      <c r="H203" s="11" t="n"/>
      <c r="I203" s="10">
        <f>IF(H203="","",E203*H203)</f>
        <v/>
      </c>
      <c r="J203" s="8" t="inlineStr">
        <is>
          <t>Менеджерская</t>
        </is>
      </c>
    </row>
    <row r="204">
      <c r="A204" s="8" t="n">
        <v>200</v>
      </c>
      <c r="B204" s="8" t="inlineStr">
        <is>
          <t>клапан штуцерный</t>
        </is>
      </c>
      <c r="C204" s="8" t="inlineStr">
        <is>
          <t>Ду32</t>
        </is>
      </c>
      <c r="D204" s="9" t="inlineStr">
        <is>
          <t>Клапан штуцерный угловой Ду32 Ру160</t>
        </is>
      </c>
      <c r="E204" s="8" t="n">
        <v>8</v>
      </c>
      <c r="F204" s="10" t="n">
        <v>3.5</v>
      </c>
      <c r="G204" s="10">
        <f>E204*F204</f>
        <v/>
      </c>
      <c r="H204" s="11" t="n"/>
      <c r="I204" s="10">
        <f>IF(H204="","",E204*H204)</f>
        <v/>
      </c>
      <c r="J204" s="8" t="inlineStr">
        <is>
          <t>Менеджерская</t>
        </is>
      </c>
    </row>
    <row r="205">
      <c r="A205" s="8" t="n">
        <v>201</v>
      </c>
      <c r="B205" s="8" t="inlineStr">
        <is>
          <t>клапан штуцерный</t>
        </is>
      </c>
      <c r="C205" s="8" t="inlineStr">
        <is>
          <t>Ду32</t>
        </is>
      </c>
      <c r="D205" s="9" t="inlineStr">
        <is>
          <t>Клапан штуцерный угловой Ду32 Ру160</t>
        </is>
      </c>
      <c r="E205" s="8" t="n">
        <v>16</v>
      </c>
      <c r="F205" s="10" t="n">
        <v>3.5</v>
      </c>
      <c r="G205" s="10">
        <f>E205*F205</f>
        <v/>
      </c>
      <c r="H205" s="11" t="n"/>
      <c r="I205" s="10">
        <f>IF(H205="","",E205*H205)</f>
        <v/>
      </c>
      <c r="J205" s="8" t="inlineStr">
        <is>
          <t>Менеджерская</t>
        </is>
      </c>
    </row>
    <row r="206">
      <c r="A206" s="8" t="n">
        <v>202</v>
      </c>
      <c r="B206" s="8" t="inlineStr">
        <is>
          <t>клапан штуцерный</t>
        </is>
      </c>
      <c r="C206" s="8" t="inlineStr">
        <is>
          <t>Ду32</t>
        </is>
      </c>
      <c r="D206" s="9" t="inlineStr">
        <is>
          <t>Клапан штуцерный угловой Ду32Ру100 (Яшик мет.)</t>
        </is>
      </c>
      <c r="E206" s="8" t="n">
        <v>31</v>
      </c>
      <c r="F206" s="10" t="n">
        <v>3.5</v>
      </c>
      <c r="G206" s="10">
        <f>E206*F206</f>
        <v/>
      </c>
      <c r="H206" s="11" t="n"/>
      <c r="I206" s="10">
        <f>IF(H206="","",E206*H206)</f>
        <v/>
      </c>
      <c r="J206" s="8" t="inlineStr">
        <is>
          <t>Склад 2</t>
        </is>
      </c>
    </row>
    <row r="207">
      <c r="A207" s="8" t="n">
        <v>203</v>
      </c>
      <c r="B207" s="8" t="inlineStr">
        <is>
          <t>клапан штуцерный</t>
        </is>
      </c>
      <c r="C207" s="8" t="inlineStr">
        <is>
          <t>Ду32</t>
        </is>
      </c>
      <c r="D207" s="9" t="inlineStr">
        <is>
          <t>Клапан штуцерный угловой Ду32Ру100 (Яшик мет.)</t>
        </is>
      </c>
      <c r="E207" s="8" t="n">
        <v>14</v>
      </c>
      <c r="F207" s="10" t="n">
        <v>3.5</v>
      </c>
      <c r="G207" s="10">
        <f>E207*F207</f>
        <v/>
      </c>
      <c r="H207" s="11" t="n"/>
      <c r="I207" s="10">
        <f>IF(H207="","",E207*H207)</f>
        <v/>
      </c>
      <c r="J207" s="8" t="inlineStr">
        <is>
          <t>Склад 2</t>
        </is>
      </c>
    </row>
    <row r="208">
      <c r="A208" s="8" t="n">
        <v>204</v>
      </c>
      <c r="B208" s="8" t="inlineStr">
        <is>
          <t>клапан штуцерный</t>
        </is>
      </c>
      <c r="C208" s="8" t="inlineStr">
        <is>
          <t>Ду32</t>
        </is>
      </c>
      <c r="D208" s="9" t="inlineStr">
        <is>
          <t>Клапан штуцерный угловой Ду32Ру100 (Яшик мет.)</t>
        </is>
      </c>
      <c r="E208" s="8" t="n">
        <v>1</v>
      </c>
      <c r="F208" s="10" t="n">
        <v>3.5</v>
      </c>
      <c r="G208" s="10">
        <f>E208*F208</f>
        <v/>
      </c>
      <c r="H208" s="11" t="n"/>
      <c r="I208" s="10">
        <f>IF(H208="","",E208*H208)</f>
        <v/>
      </c>
      <c r="J208" s="8" t="inlineStr">
        <is>
          <t>Склад 2</t>
        </is>
      </c>
    </row>
    <row r="209">
      <c r="A209" s="8" t="n">
        <v>205</v>
      </c>
      <c r="B209" s="8" t="inlineStr">
        <is>
          <t>клапан штуцерный</t>
        </is>
      </c>
      <c r="C209" s="8" t="inlineStr">
        <is>
          <t>Ду32</t>
        </is>
      </c>
      <c r="D209" s="9" t="inlineStr">
        <is>
          <t>Клапан штуцерный угловой Ду32Ру100 (Яшик мет.)</t>
        </is>
      </c>
      <c r="E209" s="8" t="n">
        <v>1</v>
      </c>
      <c r="F209" s="10" t="n">
        <v>3.5</v>
      </c>
      <c r="G209" s="10">
        <f>E209*F209</f>
        <v/>
      </c>
      <c r="H209" s="11" t="n"/>
      <c r="I209" s="10">
        <f>IF(H209="","",E209*H209)</f>
        <v/>
      </c>
      <c r="J209" s="8" t="inlineStr">
        <is>
          <t>Склад 2</t>
        </is>
      </c>
    </row>
    <row r="210">
      <c r="A210" s="8" t="n">
        <v>206</v>
      </c>
      <c r="B210" s="8" t="inlineStr">
        <is>
          <t>клапан штуцерный</t>
        </is>
      </c>
      <c r="C210" s="8" t="inlineStr">
        <is>
          <t>Ду32</t>
        </is>
      </c>
      <c r="D210" s="9" t="inlineStr">
        <is>
          <t>Кран трехходовой штуцерный Ду32 Ру10</t>
        </is>
      </c>
      <c r="E210" s="8" t="n">
        <v>2</v>
      </c>
      <c r="F210" s="10" t="n">
        <v>3.5</v>
      </c>
      <c r="G210" s="10">
        <f>E210*F210</f>
        <v/>
      </c>
      <c r="H210" s="11" t="n"/>
      <c r="I210" s="10">
        <f>IF(H210="","",E210*H210)</f>
        <v/>
      </c>
      <c r="J210" s="8" t="inlineStr">
        <is>
          <t>Склад 2</t>
        </is>
      </c>
    </row>
    <row r="211">
      <c r="A211" s="8" t="n">
        <v>207</v>
      </c>
      <c r="B211" s="8" t="inlineStr">
        <is>
          <t>клапан штуцерный</t>
        </is>
      </c>
      <c r="C211" s="8" t="inlineStr">
        <is>
          <t>Ду50</t>
        </is>
      </c>
      <c r="D211" s="9" t="inlineStr">
        <is>
          <t>Клапан невозв-запорн.с присоед.под дюрит прох. Ду 50</t>
        </is>
      </c>
      <c r="E211" s="8" t="n">
        <v>10</v>
      </c>
      <c r="F211" s="10" t="n">
        <v>7</v>
      </c>
      <c r="G211" s="10">
        <f>E211*F211</f>
        <v/>
      </c>
      <c r="H211" s="11" t="n"/>
      <c r="I211" s="10">
        <f>IF(H211="","",E211*H211)</f>
        <v/>
      </c>
      <c r="J211" s="8" t="inlineStr">
        <is>
          <t>Склад 3</t>
        </is>
      </c>
    </row>
    <row r="212">
      <c r="A212" s="8" t="n">
        <v>208</v>
      </c>
      <c r="B212" s="8" t="inlineStr">
        <is>
          <t>клапан штуцерный</t>
        </is>
      </c>
      <c r="C212" s="8" t="inlineStr">
        <is>
          <t>Ду50</t>
        </is>
      </c>
      <c r="D212" s="9" t="inlineStr">
        <is>
          <t>Клапан невозв-запорн.с присоед.под дюрит прох. Ду 50 Ру6</t>
        </is>
      </c>
      <c r="E212" s="8" t="n">
        <v>1</v>
      </c>
      <c r="F212" s="10" t="n">
        <v>7</v>
      </c>
      <c r="G212" s="10">
        <f>E212*F212</f>
        <v/>
      </c>
      <c r="H212" s="11" t="n"/>
      <c r="I212" s="10">
        <f>IF(H212="","",E212*H212)</f>
        <v/>
      </c>
      <c r="J212" s="8" t="inlineStr">
        <is>
          <t>Склад 2</t>
        </is>
      </c>
    </row>
    <row r="213">
      <c r="A213" s="8" t="n">
        <v>209</v>
      </c>
      <c r="B213" s="8" t="inlineStr">
        <is>
          <t>клапан штуцерный</t>
        </is>
      </c>
      <c r="C213" s="8" t="inlineStr">
        <is>
          <t>Ду50</t>
        </is>
      </c>
      <c r="D213" s="9" t="inlineStr">
        <is>
          <t>Клапан угловой с присоединением под дюрит Ду50Ру4</t>
        </is>
      </c>
      <c r="E213" s="8" t="n">
        <v>4</v>
      </c>
      <c r="F213" s="10" t="n">
        <v>7</v>
      </c>
      <c r="G213" s="10">
        <f>E213*F213</f>
        <v/>
      </c>
      <c r="H213" s="11" t="n"/>
      <c r="I213" s="10">
        <f>IF(H213="","",E213*H213)</f>
        <v/>
      </c>
      <c r="J213" s="8" t="inlineStr">
        <is>
          <t>Склад 2</t>
        </is>
      </c>
    </row>
    <row r="214">
      <c r="A214" s="8" t="n">
        <v>210</v>
      </c>
      <c r="B214" s="8" t="inlineStr">
        <is>
          <t>клапан штуцерный</t>
        </is>
      </c>
      <c r="C214" s="8" t="inlineStr">
        <is>
          <t>Ду65</t>
        </is>
      </c>
      <c r="D214" s="9" t="inlineStr">
        <is>
          <t>Клапан запорн.с присоед.под дюрит прох. Ду65</t>
        </is>
      </c>
      <c r="E214" s="8" t="n">
        <v>20</v>
      </c>
      <c r="F214" s="10" t="n">
        <v>10</v>
      </c>
      <c r="G214" s="10">
        <f>E214*F214</f>
        <v/>
      </c>
      <c r="H214" s="11" t="n"/>
      <c r="I214" s="10">
        <f>IF(H214="","",E214*H214)</f>
        <v/>
      </c>
      <c r="J214" s="8" t="inlineStr">
        <is>
          <t>Склад 3</t>
        </is>
      </c>
    </row>
    <row r="215">
      <c r="A215" s="8" t="n">
        <v>211</v>
      </c>
      <c r="B215" s="8" t="inlineStr">
        <is>
          <t>клинкет/задвижка</t>
        </is>
      </c>
      <c r="C215" s="8" t="inlineStr">
        <is>
          <t>не указан</t>
        </is>
      </c>
      <c r="D215" s="9" t="inlineStr">
        <is>
          <t>Задвижки (желтая) ок. крышек</t>
        </is>
      </c>
      <c r="E215" s="8" t="n">
        <v>13</v>
      </c>
      <c r="F215" s="10" t="n">
        <v>40</v>
      </c>
      <c r="G215" s="10">
        <f>E215*F215</f>
        <v/>
      </c>
      <c r="H215" s="11" t="n"/>
      <c r="I215" s="10">
        <f>IF(H215="","",E215*H215)</f>
        <v/>
      </c>
      <c r="J215" s="8" t="inlineStr">
        <is>
          <t>Склад 3</t>
        </is>
      </c>
    </row>
    <row r="216">
      <c r="A216" s="8" t="n">
        <v>212</v>
      </c>
      <c r="B216" s="8" t="inlineStr">
        <is>
          <t>клинкет/задвижка</t>
        </is>
      </c>
      <c r="C216" s="8" t="inlineStr">
        <is>
          <t>не указан</t>
        </is>
      </c>
      <c r="D216" s="9" t="inlineStr">
        <is>
          <t>Электропривод к задвижке</t>
        </is>
      </c>
      <c r="E216" s="8" t="n">
        <v>1</v>
      </c>
      <c r="F216" s="10" t="n">
        <v>40</v>
      </c>
      <c r="G216" s="10">
        <f>E216*F216</f>
        <v/>
      </c>
      <c r="H216" s="11" t="n"/>
      <c r="I216" s="10">
        <f>IF(H216="","",E216*H216)</f>
        <v/>
      </c>
      <c r="J216" s="8" t="inlineStr">
        <is>
          <t>Гараж 2</t>
        </is>
      </c>
    </row>
    <row r="217">
      <c r="A217" s="8" t="n">
        <v>213</v>
      </c>
      <c r="B217" s="8" t="inlineStr">
        <is>
          <t>клинкет/задвижка</t>
        </is>
      </c>
      <c r="C217" s="8" t="inlineStr">
        <is>
          <t>не указан</t>
        </is>
      </c>
      <c r="D217" s="9" t="inlineStr">
        <is>
          <t>Электропривод к задвижке</t>
        </is>
      </c>
      <c r="E217" s="8" t="n">
        <v>1</v>
      </c>
      <c r="F217" s="10" t="n">
        <v>40</v>
      </c>
      <c r="G217" s="10">
        <f>E217*F217</f>
        <v/>
      </c>
      <c r="H217" s="11" t="n"/>
      <c r="I217" s="10">
        <f>IF(H217="","",E217*H217)</f>
        <v/>
      </c>
      <c r="J217" s="8" t="inlineStr">
        <is>
          <t>ЗИП и насосы</t>
        </is>
      </c>
    </row>
    <row r="218">
      <c r="A218" s="8" t="n">
        <v>214</v>
      </c>
      <c r="B218" s="8" t="inlineStr">
        <is>
          <t>клинкет/задвижка</t>
        </is>
      </c>
      <c r="C218" s="8" t="inlineStr">
        <is>
          <t>Ду50</t>
        </is>
      </c>
      <c r="D218" s="9" t="inlineStr">
        <is>
          <t>Задвижка клинкетная Ду 50, без клиньев</t>
        </is>
      </c>
      <c r="E218" s="8" t="n">
        <v>1</v>
      </c>
      <c r="F218" s="10" t="n">
        <v>12</v>
      </c>
      <c r="G218" s="10">
        <f>E218*F218</f>
        <v/>
      </c>
      <c r="H218" s="11" t="n"/>
      <c r="I218" s="10">
        <f>IF(H218="","",E218*H218)</f>
        <v/>
      </c>
      <c r="J218" s="8" t="inlineStr">
        <is>
          <t>Склад 1А/1Б</t>
        </is>
      </c>
    </row>
    <row r="219">
      <c r="A219" s="8" t="n">
        <v>215</v>
      </c>
      <c r="B219" s="8" t="inlineStr">
        <is>
          <t>клинкет/задвижка</t>
        </is>
      </c>
      <c r="C219" s="8" t="inlineStr">
        <is>
          <t>Ду60</t>
        </is>
      </c>
      <c r="D219" s="9" t="inlineStr">
        <is>
          <t>Задвижка клинкетная Ду60</t>
        </is>
      </c>
      <c r="E219" s="8" t="n">
        <v>1</v>
      </c>
      <c r="F219" s="10" t="n">
        <v>16</v>
      </c>
      <c r="G219" s="10">
        <f>E219*F219</f>
        <v/>
      </c>
      <c r="H219" s="11" t="n"/>
      <c r="I219" s="10">
        <f>IF(H219="","",E219*H219)</f>
        <v/>
      </c>
      <c r="J219" s="8" t="inlineStr">
        <is>
          <t>Склад 1А/1Б</t>
        </is>
      </c>
    </row>
    <row r="220">
      <c r="A220" s="8" t="n">
        <v>216</v>
      </c>
      <c r="B220" s="8" t="inlineStr">
        <is>
          <t>клинкет/задвижка</t>
        </is>
      </c>
      <c r="C220" s="8" t="inlineStr">
        <is>
          <t>Ду60</t>
        </is>
      </c>
      <c r="D220" s="9" t="inlineStr">
        <is>
          <t>Задвижка клинкетная Ду60</t>
        </is>
      </c>
      <c r="E220" s="8" t="n">
        <v>1</v>
      </c>
      <c r="F220" s="10" t="n">
        <v>16</v>
      </c>
      <c r="G220" s="10">
        <f>E220*F220</f>
        <v/>
      </c>
      <c r="H220" s="11" t="n"/>
      <c r="I220" s="10">
        <f>IF(H220="","",E220*H220)</f>
        <v/>
      </c>
      <c r="J220" s="8" t="inlineStr">
        <is>
          <t>Склад 3</t>
        </is>
      </c>
    </row>
    <row r="221">
      <c r="A221" s="8" t="n">
        <v>217</v>
      </c>
      <c r="B221" s="8" t="inlineStr">
        <is>
          <t>клинкет/задвижка</t>
        </is>
      </c>
      <c r="C221" s="8" t="inlineStr">
        <is>
          <t>Ду65</t>
        </is>
      </c>
      <c r="D221" s="9" t="inlineStr">
        <is>
          <t>Задвижка клинкетная Ду65</t>
        </is>
      </c>
      <c r="E221" s="8" t="n">
        <v>16</v>
      </c>
      <c r="F221" s="10" t="n">
        <v>18</v>
      </c>
      <c r="G221" s="10">
        <f>E221*F221</f>
        <v/>
      </c>
      <c r="H221" s="11" t="n"/>
      <c r="I221" s="10">
        <f>IF(H221="","",E221*H221)</f>
        <v/>
      </c>
      <c r="J221" s="8" t="inlineStr">
        <is>
          <t>Склад 3</t>
        </is>
      </c>
    </row>
    <row r="222">
      <c r="A222" s="8" t="n">
        <v>218</v>
      </c>
      <c r="B222" s="8" t="inlineStr">
        <is>
          <t>клинкет/задвижка</t>
        </is>
      </c>
      <c r="C222" s="8" t="inlineStr">
        <is>
          <t>Ду70</t>
        </is>
      </c>
      <c r="D222" s="9" t="inlineStr">
        <is>
          <t>Задвижка клинкетная фланцевая Ду70 Ру6</t>
        </is>
      </c>
      <c r="E222" s="8" t="n">
        <v>7</v>
      </c>
      <c r="F222" s="10" t="n">
        <v>22</v>
      </c>
      <c r="G222" s="10">
        <f>E222*F222</f>
        <v/>
      </c>
      <c r="H222" s="11" t="n"/>
      <c r="I222" s="10">
        <f>IF(H222="","",E222*H222)</f>
        <v/>
      </c>
      <c r="J222" s="8" t="inlineStr">
        <is>
          <t>Склад 3</t>
        </is>
      </c>
    </row>
    <row r="223">
      <c r="A223" s="8" t="n">
        <v>219</v>
      </c>
      <c r="B223" s="8" t="inlineStr">
        <is>
          <t>клинкет/задвижка</t>
        </is>
      </c>
      <c r="C223" s="8" t="inlineStr">
        <is>
          <t>Ду80</t>
        </is>
      </c>
      <c r="D223" s="9" t="inlineStr">
        <is>
          <t>Задвижка клинкетная ДУ 80, сталь</t>
        </is>
      </c>
      <c r="E223" s="8" t="n">
        <v>1</v>
      </c>
      <c r="F223" s="10" t="n">
        <v>28</v>
      </c>
      <c r="G223" s="10">
        <f>E223*F223</f>
        <v/>
      </c>
      <c r="H223" s="11" t="n"/>
      <c r="I223" s="10">
        <f>IF(H223="","",E223*H223)</f>
        <v/>
      </c>
      <c r="J223" s="8" t="inlineStr">
        <is>
          <t>Склад 1А/1Б</t>
        </is>
      </c>
    </row>
    <row r="224">
      <c r="A224" s="8" t="n">
        <v>220</v>
      </c>
      <c r="B224" s="8" t="inlineStr">
        <is>
          <t>клинкет/задвижка</t>
        </is>
      </c>
      <c r="C224" s="8" t="inlineStr">
        <is>
          <t>Ду80</t>
        </is>
      </c>
      <c r="D224" s="9" t="inlineStr">
        <is>
          <t>Задвижка клинкетная Ду 80 БРОНЗА</t>
        </is>
      </c>
      <c r="E224" s="8" t="n">
        <v>44</v>
      </c>
      <c r="F224" s="10" t="n">
        <v>28</v>
      </c>
      <c r="G224" s="10">
        <f>E224*F224</f>
        <v/>
      </c>
      <c r="H224" s="11" t="n"/>
      <c r="I224" s="10">
        <f>IF(H224="","",E224*H224)</f>
        <v/>
      </c>
      <c r="J224" s="8" t="inlineStr">
        <is>
          <t>Склад 1А/1Б</t>
        </is>
      </c>
    </row>
    <row r="225">
      <c r="A225" s="8" t="n">
        <v>221</v>
      </c>
      <c r="B225" s="8" t="inlineStr">
        <is>
          <t>клинкет/задвижка</t>
        </is>
      </c>
      <c r="C225" s="8" t="inlineStr">
        <is>
          <t>Ду80</t>
        </is>
      </c>
      <c r="D225" s="9" t="inlineStr">
        <is>
          <t>Задвижка клинкетная Ду80 ( в разборе)</t>
        </is>
      </c>
      <c r="E225" s="8" t="n">
        <v>2</v>
      </c>
      <c r="F225" s="10" t="n">
        <v>28</v>
      </c>
      <c r="G225" s="10">
        <f>E225*F225</f>
        <v/>
      </c>
      <c r="H225" s="11" t="n"/>
      <c r="I225" s="10">
        <f>IF(H225="","",E225*H225)</f>
        <v/>
      </c>
      <c r="J225" s="8" t="inlineStr">
        <is>
          <t>Склад 1А/1Б</t>
        </is>
      </c>
    </row>
    <row r="226">
      <c r="A226" s="8" t="n">
        <v>222</v>
      </c>
      <c r="B226" s="8" t="inlineStr">
        <is>
          <t>клинкет/задвижка</t>
        </is>
      </c>
      <c r="C226" s="8" t="inlineStr">
        <is>
          <t>Ду80</t>
        </is>
      </c>
      <c r="D226" s="9" t="inlineStr">
        <is>
          <t>Задвижка клинкетная фланцевая Ду80 Ру6</t>
        </is>
      </c>
      <c r="E226" s="8" t="n">
        <v>18</v>
      </c>
      <c r="F226" s="10" t="n">
        <v>28</v>
      </c>
      <c r="G226" s="10">
        <f>E226*F226</f>
        <v/>
      </c>
      <c r="H226" s="11" t="n"/>
      <c r="I226" s="10">
        <f>IF(H226="","",E226*H226)</f>
        <v/>
      </c>
      <c r="J226" s="8" t="inlineStr">
        <is>
          <t>Склад 3</t>
        </is>
      </c>
    </row>
    <row r="227">
      <c r="A227" s="8" t="n">
        <v>223</v>
      </c>
      <c r="B227" s="8" t="inlineStr">
        <is>
          <t>клинкет/задвижка</t>
        </is>
      </c>
      <c r="C227" s="8" t="inlineStr">
        <is>
          <t>Ду100</t>
        </is>
      </c>
      <c r="D227" s="9" t="inlineStr">
        <is>
          <t>Блины к клинкету Ду100</t>
        </is>
      </c>
      <c r="E227" s="8" t="n">
        <v>11</v>
      </c>
      <c r="F227" s="10" t="n">
        <v>45</v>
      </c>
      <c r="G227" s="10">
        <f>E227*F227</f>
        <v/>
      </c>
      <c r="H227" s="11" t="n"/>
      <c r="I227" s="10">
        <f>IF(H227="","",E227*H227)</f>
        <v/>
      </c>
      <c r="J227" s="8" t="inlineStr">
        <is>
          <t>Склад электрики</t>
        </is>
      </c>
    </row>
    <row r="228">
      <c r="A228" s="8" t="n">
        <v>224</v>
      </c>
      <c r="B228" s="8" t="inlineStr">
        <is>
          <t>клинкет/задвижка</t>
        </is>
      </c>
      <c r="C228" s="8" t="inlineStr">
        <is>
          <t>Ду100</t>
        </is>
      </c>
      <c r="D228" s="9" t="inlineStr">
        <is>
          <t>Задвижка клинкетная Ду 100 БРОНЗА</t>
        </is>
      </c>
      <c r="E228" s="8" t="n">
        <v>2</v>
      </c>
      <c r="F228" s="10" t="n">
        <v>45</v>
      </c>
      <c r="G228" s="10">
        <f>E228*F228</f>
        <v/>
      </c>
      <c r="H228" s="11" t="n"/>
      <c r="I228" s="10">
        <f>IF(H228="","",E228*H228)</f>
        <v/>
      </c>
      <c r="J228" s="8" t="inlineStr">
        <is>
          <t>Склад 1А/1Б</t>
        </is>
      </c>
    </row>
    <row r="229">
      <c r="A229" s="8" t="n">
        <v>225</v>
      </c>
      <c r="B229" s="8" t="inlineStr">
        <is>
          <t>клинкет/задвижка</t>
        </is>
      </c>
      <c r="C229" s="8" t="inlineStr">
        <is>
          <t>Ду100</t>
        </is>
      </c>
      <c r="D229" s="9" t="inlineStr">
        <is>
          <t>Задвижка клинкетная Ду100</t>
        </is>
      </c>
      <c r="E229" s="8" t="n">
        <v>6</v>
      </c>
      <c r="F229" s="10" t="n">
        <v>45</v>
      </c>
      <c r="G229" s="10">
        <f>E229*F229</f>
        <v/>
      </c>
      <c r="H229" s="11" t="n"/>
      <c r="I229" s="10">
        <f>IF(H229="","",E229*H229)</f>
        <v/>
      </c>
      <c r="J229" s="8" t="inlineStr">
        <is>
          <t>Склад 3</t>
        </is>
      </c>
    </row>
    <row r="230">
      <c r="A230" s="8" t="n">
        <v>226</v>
      </c>
      <c r="B230" s="8" t="inlineStr">
        <is>
          <t>клинкет/задвижка</t>
        </is>
      </c>
      <c r="C230" s="8" t="inlineStr">
        <is>
          <t>Ду100</t>
        </is>
      </c>
      <c r="D230" s="9" t="inlineStr">
        <is>
          <t>Задвижка клинкетная Ду100</t>
        </is>
      </c>
      <c r="E230" s="8" t="n">
        <v>43</v>
      </c>
      <c r="F230" s="10" t="n">
        <v>45</v>
      </c>
      <c r="G230" s="10">
        <f>E230*F230</f>
        <v/>
      </c>
      <c r="H230" s="11" t="n"/>
      <c r="I230" s="10">
        <f>IF(H230="","",E230*H230)</f>
        <v/>
      </c>
      <c r="J230" s="8" t="inlineStr">
        <is>
          <t>Склад 3</t>
        </is>
      </c>
    </row>
    <row r="231">
      <c r="A231" s="8" t="n">
        <v>227</v>
      </c>
      <c r="B231" s="8" t="inlineStr">
        <is>
          <t>клинкет/задвижка</t>
        </is>
      </c>
      <c r="C231" s="8" t="inlineStr">
        <is>
          <t>Ду100</t>
        </is>
      </c>
      <c r="D231" s="9" t="inlineStr">
        <is>
          <t>Задвижка клинкетная Ду100 без штока и блинов ( в разборе)</t>
        </is>
      </c>
      <c r="E231" s="8" t="n">
        <v>1</v>
      </c>
      <c r="F231" s="10" t="n">
        <v>45</v>
      </c>
      <c r="G231" s="10">
        <f>E231*F231</f>
        <v/>
      </c>
      <c r="H231" s="11" t="n"/>
      <c r="I231" s="10">
        <f>IF(H231="","",E231*H231)</f>
        <v/>
      </c>
      <c r="J231" s="8" t="inlineStr">
        <is>
          <t>Склад 1А/1Б</t>
        </is>
      </c>
    </row>
    <row r="232">
      <c r="A232" s="8" t="n">
        <v>228</v>
      </c>
      <c r="B232" s="8" t="inlineStr">
        <is>
          <t>клинкет/задвижка</t>
        </is>
      </c>
      <c r="C232" s="8" t="inlineStr">
        <is>
          <t>Ду100</t>
        </is>
      </c>
      <c r="D232" s="9" t="inlineStr">
        <is>
          <t>Клинкет Ду 100, сталь</t>
        </is>
      </c>
      <c r="E232" s="8" t="n">
        <v>2</v>
      </c>
      <c r="F232" s="10" t="n">
        <v>45</v>
      </c>
      <c r="G232" s="10">
        <f>E232*F232</f>
        <v/>
      </c>
      <c r="H232" s="11" t="n"/>
      <c r="I232" s="10">
        <f>IF(H232="","",E232*H232)</f>
        <v/>
      </c>
      <c r="J232" s="8" t="inlineStr">
        <is>
          <t>Фойе</t>
        </is>
      </c>
    </row>
    <row r="233">
      <c r="A233" s="8" t="n">
        <v>229</v>
      </c>
      <c r="B233" s="8" t="inlineStr">
        <is>
          <t>клинкет/задвижка</t>
        </is>
      </c>
      <c r="C233" s="8" t="inlineStr">
        <is>
          <t>Ду200</t>
        </is>
      </c>
      <c r="D233" s="9" t="inlineStr">
        <is>
          <t>Клинкет Ду 200</t>
        </is>
      </c>
      <c r="E233" s="8" t="n">
        <v>11</v>
      </c>
      <c r="F233" s="10" t="n">
        <v>140</v>
      </c>
      <c r="G233" s="10">
        <f>E233*F233</f>
        <v/>
      </c>
      <c r="H233" s="11" t="n"/>
      <c r="I233" s="10">
        <f>IF(H233="","",E233*H233)</f>
        <v/>
      </c>
      <c r="J233" s="8" t="inlineStr">
        <is>
          <t>Фойе</t>
        </is>
      </c>
    </row>
    <row r="234">
      <c r="A234" s="8" t="n">
        <v>230</v>
      </c>
      <c r="B234" s="8" t="inlineStr">
        <is>
          <t>клинкет/задвижка</t>
        </is>
      </c>
      <c r="C234" s="8" t="inlineStr">
        <is>
          <t>Ду250</t>
        </is>
      </c>
      <c r="D234" s="9" t="inlineStr">
        <is>
          <t>Задвижка клинкетная Ду 250</t>
        </is>
      </c>
      <c r="E234" s="8" t="n">
        <v>17</v>
      </c>
      <c r="F234" s="10" t="n">
        <v>220</v>
      </c>
      <c r="G234" s="10">
        <f>E234*F234</f>
        <v/>
      </c>
      <c r="H234" s="11" t="n"/>
      <c r="I234" s="10">
        <f>IF(H234="","",E234*H234)</f>
        <v/>
      </c>
      <c r="J234" s="8" t="inlineStr">
        <is>
          <t>Склад 1А/1Б</t>
        </is>
      </c>
    </row>
    <row r="235">
      <c r="A235" s="8" t="n">
        <v>231</v>
      </c>
      <c r="B235" s="8" t="inlineStr">
        <is>
          <t>клинкет/задвижка</t>
        </is>
      </c>
      <c r="C235" s="8" t="inlineStr">
        <is>
          <t>Ду250</t>
        </is>
      </c>
      <c r="D235" s="9" t="inlineStr">
        <is>
          <t>Клинкет Ду 250</t>
        </is>
      </c>
      <c r="E235" s="8" t="n">
        <v>2</v>
      </c>
      <c r="F235" s="10" t="n">
        <v>220</v>
      </c>
      <c r="G235" s="10">
        <f>E235*F235</f>
        <v/>
      </c>
      <c r="H235" s="11" t="n"/>
      <c r="I235" s="10">
        <f>IF(H235="","",E235*H235)</f>
        <v/>
      </c>
      <c r="J235" s="8" t="inlineStr">
        <is>
          <t>Фойе</t>
        </is>
      </c>
    </row>
    <row r="236">
      <c r="A236" s="8" t="n">
        <v>232</v>
      </c>
      <c r="B236" s="8" t="inlineStr">
        <is>
          <t>клинкет/задвижка</t>
        </is>
      </c>
      <c r="C236" s="8" t="inlineStr">
        <is>
          <t>Ду250</t>
        </is>
      </c>
      <c r="D236" s="9" t="inlineStr">
        <is>
          <t>Клинкет Ду 250 не комплект</t>
        </is>
      </c>
      <c r="E236" s="8" t="n">
        <v>2</v>
      </c>
      <c r="F236" s="10" t="n">
        <v>220</v>
      </c>
      <c r="G236" s="10">
        <f>E236*F236</f>
        <v/>
      </c>
      <c r="H236" s="11" t="n"/>
      <c r="I236" s="10">
        <f>IF(H236="","",E236*H236)</f>
        <v/>
      </c>
      <c r="J236" s="8" t="inlineStr">
        <is>
          <t>Фойе</t>
        </is>
      </c>
    </row>
    <row r="237">
      <c r="A237" s="8" t="n">
        <v>233</v>
      </c>
      <c r="B237" s="8" t="inlineStr">
        <is>
          <t>клинкет/задвижка</t>
        </is>
      </c>
      <c r="C237" s="8" t="inlineStr">
        <is>
          <t>Ду300</t>
        </is>
      </c>
      <c r="D237" s="9" t="inlineStr">
        <is>
          <t>Задвижка клинкетная стальная Ду300</t>
        </is>
      </c>
      <c r="E237" s="8" t="n">
        <v>2</v>
      </c>
      <c r="F237" s="10" t="n">
        <v>300</v>
      </c>
      <c r="G237" s="10">
        <f>E237*F237</f>
        <v/>
      </c>
      <c r="H237" s="11" t="n"/>
      <c r="I237" s="10">
        <f>IF(H237="","",E237*H237)</f>
        <v/>
      </c>
      <c r="J237" s="8" t="inlineStr">
        <is>
          <t>Склад 2</t>
        </is>
      </c>
    </row>
    <row r="238">
      <c r="A238" s="8" t="n">
        <v>234</v>
      </c>
      <c r="B238" s="8" t="inlineStr">
        <is>
          <t>клинкет/задвижка</t>
        </is>
      </c>
      <c r="C238" s="8" t="inlineStr">
        <is>
          <t>Ду300</t>
        </is>
      </c>
      <c r="D238" s="9" t="inlineStr">
        <is>
          <t>Клинкет Ду 300</t>
        </is>
      </c>
      <c r="E238" s="8" t="n">
        <v>16</v>
      </c>
      <c r="F238" s="10" t="n">
        <v>300</v>
      </c>
      <c r="G238" s="10">
        <f>E238*F238</f>
        <v/>
      </c>
      <c r="H238" s="11" t="n"/>
      <c r="I238" s="10">
        <f>IF(H238="","",E238*H238)</f>
        <v/>
      </c>
      <c r="J238" s="8" t="inlineStr">
        <is>
          <t>Фойе</t>
        </is>
      </c>
    </row>
    <row r="239">
      <c r="A239" s="8" t="n">
        <v>235</v>
      </c>
      <c r="B239" s="8" t="inlineStr">
        <is>
          <t>клинкет/задвижка</t>
        </is>
      </c>
      <c r="C239" s="8" t="inlineStr">
        <is>
          <t>Ду350</t>
        </is>
      </c>
      <c r="D239" s="9" t="inlineStr">
        <is>
          <t>Клинкет Ду 350</t>
        </is>
      </c>
      <c r="E239" s="8" t="n">
        <v>1</v>
      </c>
      <c r="F239" s="10" t="n">
        <v>400</v>
      </c>
      <c r="G239" s="10">
        <f>E239*F239</f>
        <v/>
      </c>
      <c r="H239" s="11" t="n"/>
      <c r="I239" s="10">
        <f>IF(H239="","",E239*H239)</f>
        <v/>
      </c>
      <c r="J239" s="8" t="inlineStr">
        <is>
          <t>Фойе</t>
        </is>
      </c>
    </row>
    <row r="240">
      <c r="A240" s="8" t="n">
        <v>236</v>
      </c>
      <c r="B240" s="8" t="inlineStr">
        <is>
          <t>коробка клапанная</t>
        </is>
      </c>
      <c r="C240" s="8" t="inlineStr">
        <is>
          <t>не указан</t>
        </is>
      </c>
      <c r="D240" s="9" t="inlineStr">
        <is>
          <t>Коробка 2-х клапанная корпус</t>
        </is>
      </c>
      <c r="E240" s="8" t="n">
        <v>1</v>
      </c>
      <c r="F240" s="10" t="n">
        <v>40</v>
      </c>
      <c r="G240" s="10">
        <f>E240*F240</f>
        <v/>
      </c>
      <c r="H240" s="11" t="n"/>
      <c r="I240" s="10">
        <f>IF(H240="","",E240*H240)</f>
        <v/>
      </c>
      <c r="J240" s="8" t="inlineStr">
        <is>
          <t>Склад 1А/1Б</t>
        </is>
      </c>
    </row>
    <row r="241">
      <c r="A241" s="8" t="n">
        <v>237</v>
      </c>
      <c r="B241" s="8" t="inlineStr">
        <is>
          <t>коробка клапанная</t>
        </is>
      </c>
      <c r="C241" s="8" t="inlineStr">
        <is>
          <t>Ду50</t>
        </is>
      </c>
      <c r="D241" s="9" t="inlineStr">
        <is>
          <t>Коробка 2-х клапановая фланцевая Ду50</t>
        </is>
      </c>
      <c r="E241" s="8" t="n">
        <v>2</v>
      </c>
      <c r="F241" s="10" t="n">
        <v>25</v>
      </c>
      <c r="G241" s="10">
        <f>E241*F241</f>
        <v/>
      </c>
      <c r="H241" s="11" t="n"/>
      <c r="I241" s="10">
        <f>IF(H241="","",E241*H241)</f>
        <v/>
      </c>
      <c r="J241" s="8" t="inlineStr">
        <is>
          <t>Склад 2</t>
        </is>
      </c>
    </row>
    <row r="242">
      <c r="A242" s="8" t="n">
        <v>238</v>
      </c>
      <c r="B242" s="8" t="inlineStr">
        <is>
          <t>коробка клапанная</t>
        </is>
      </c>
      <c r="C242" s="8" t="inlineStr">
        <is>
          <t>Ду50</t>
        </is>
      </c>
      <c r="D242" s="9" t="inlineStr">
        <is>
          <t>Коробка 2-х клапановая фланцевая Ду50</t>
        </is>
      </c>
      <c r="E242" s="8" t="n">
        <v>4</v>
      </c>
      <c r="F242" s="10" t="n">
        <v>25</v>
      </c>
      <c r="G242" s="10">
        <f>E242*F242</f>
        <v/>
      </c>
      <c r="H242" s="11" t="n"/>
      <c r="I242" s="10">
        <f>IF(H242="","",E242*H242)</f>
        <v/>
      </c>
      <c r="J242" s="8" t="inlineStr">
        <is>
          <t>Склад 3</t>
        </is>
      </c>
    </row>
    <row r="243">
      <c r="A243" s="8" t="n">
        <v>239</v>
      </c>
      <c r="B243" s="8" t="inlineStr">
        <is>
          <t>коробка клапанная</t>
        </is>
      </c>
      <c r="C243" s="8" t="inlineStr">
        <is>
          <t>Ду50</t>
        </is>
      </c>
      <c r="D243" s="9" t="inlineStr">
        <is>
          <t>Коробка 3-х клап.фланцевая Ду50</t>
        </is>
      </c>
      <c r="E243" s="8" t="n">
        <v>3</v>
      </c>
      <c r="F243" s="10" t="n">
        <v>25</v>
      </c>
      <c r="G243" s="10">
        <f>E243*F243</f>
        <v/>
      </c>
      <c r="H243" s="11" t="n"/>
      <c r="I243" s="10">
        <f>IF(H243="","",E243*H243)</f>
        <v/>
      </c>
      <c r="J243" s="8" t="inlineStr">
        <is>
          <t>Склад 2</t>
        </is>
      </c>
    </row>
    <row r="244">
      <c r="A244" s="8" t="n">
        <v>240</v>
      </c>
      <c r="B244" s="8" t="inlineStr">
        <is>
          <t>коробка клапанная</t>
        </is>
      </c>
      <c r="C244" s="8" t="inlineStr">
        <is>
          <t>Ду50</t>
        </is>
      </c>
      <c r="D244" s="9" t="inlineStr">
        <is>
          <t>Коробка 3-х клап.фланцевая запорная Ду50 Ру6</t>
        </is>
      </c>
      <c r="E244" s="8" t="n">
        <v>1</v>
      </c>
      <c r="F244" s="10" t="n">
        <v>25</v>
      </c>
      <c r="G244" s="10">
        <f>E244*F244</f>
        <v/>
      </c>
      <c r="H244" s="11" t="n"/>
      <c r="I244" s="10">
        <f>IF(H244="","",E244*H244)</f>
        <v/>
      </c>
      <c r="J244" s="8" t="inlineStr">
        <is>
          <t>Склад 3</t>
        </is>
      </c>
    </row>
    <row r="245">
      <c r="A245" s="8" t="n">
        <v>241</v>
      </c>
      <c r="B245" s="8" t="inlineStr">
        <is>
          <t>коробка клапанная</t>
        </is>
      </c>
      <c r="C245" s="8" t="inlineStr">
        <is>
          <t>Ду50</t>
        </is>
      </c>
      <c r="D245" s="9" t="inlineStr">
        <is>
          <t>Коробка 3-х клап.фланцевая запорная Ду50 Ру6</t>
        </is>
      </c>
      <c r="E245" s="8" t="n">
        <v>2</v>
      </c>
      <c r="F245" s="10" t="n">
        <v>25</v>
      </c>
      <c r="G245" s="10">
        <f>E245*F245</f>
        <v/>
      </c>
      <c r="H245" s="11" t="n"/>
      <c r="I245" s="10">
        <f>IF(H245="","",E245*H245)</f>
        <v/>
      </c>
      <c r="J245" s="8" t="inlineStr">
        <is>
          <t>Склад 3</t>
        </is>
      </c>
    </row>
    <row r="246">
      <c r="A246" s="8" t="n">
        <v>242</v>
      </c>
      <c r="B246" s="8" t="inlineStr">
        <is>
          <t>коробка клапанная</t>
        </is>
      </c>
      <c r="C246" s="8" t="inlineStr">
        <is>
          <t>Ду80</t>
        </is>
      </c>
      <c r="D246" s="9" t="inlineStr">
        <is>
          <t>Коробка 2-х клапановая фланцевая Ду80</t>
        </is>
      </c>
      <c r="E246" s="8" t="n">
        <v>13</v>
      </c>
      <c r="F246" s="10" t="n">
        <v>45</v>
      </c>
      <c r="G246" s="10">
        <f>E246*F246</f>
        <v/>
      </c>
      <c r="H246" s="11" t="n"/>
      <c r="I246" s="10">
        <f>IF(H246="","",E246*H246)</f>
        <v/>
      </c>
      <c r="J246" s="8" t="inlineStr">
        <is>
          <t>Склад 2</t>
        </is>
      </c>
    </row>
    <row r="247">
      <c r="A247" s="8" t="n">
        <v>243</v>
      </c>
      <c r="B247" s="8" t="inlineStr">
        <is>
          <t>коробка клапанная</t>
        </is>
      </c>
      <c r="C247" s="8" t="inlineStr">
        <is>
          <t>Ду80</t>
        </is>
      </c>
      <c r="D247" s="9" t="inlineStr">
        <is>
          <t>Коробка 2-х клапановая фланцевая Ду80</t>
        </is>
      </c>
      <c r="E247" s="8" t="n">
        <v>2</v>
      </c>
      <c r="F247" s="10" t="n">
        <v>45</v>
      </c>
      <c r="G247" s="10">
        <f>E247*F247</f>
        <v/>
      </c>
      <c r="H247" s="11" t="n"/>
      <c r="I247" s="10">
        <f>IF(H247="","",E247*H247)</f>
        <v/>
      </c>
      <c r="J247" s="8" t="inlineStr">
        <is>
          <t>Склад 3</t>
        </is>
      </c>
    </row>
    <row r="248">
      <c r="A248" s="8" t="n">
        <v>244</v>
      </c>
      <c r="B248" s="8" t="inlineStr">
        <is>
          <t>коробка клапанная</t>
        </is>
      </c>
      <c r="C248" s="8" t="inlineStr">
        <is>
          <t>Ду80</t>
        </is>
      </c>
      <c r="D248" s="9" t="inlineStr">
        <is>
          <t>Коробка 2-х клапановая фланцевая Ду80</t>
        </is>
      </c>
      <c r="E248" s="8" t="n">
        <v>2</v>
      </c>
      <c r="F248" s="10" t="n">
        <v>45</v>
      </c>
      <c r="G248" s="10">
        <f>E248*F248</f>
        <v/>
      </c>
      <c r="H248" s="11" t="n"/>
      <c r="I248" s="10">
        <f>IF(H248="","",E248*H248)</f>
        <v/>
      </c>
      <c r="J248" s="8" t="inlineStr">
        <is>
          <t>Склад 3</t>
        </is>
      </c>
    </row>
    <row r="249">
      <c r="A249" s="8" t="n">
        <v>245</v>
      </c>
      <c r="B249" s="8" t="inlineStr">
        <is>
          <t>коробка клапанная</t>
        </is>
      </c>
      <c r="C249" s="8" t="inlineStr">
        <is>
          <t>Ду80</t>
        </is>
      </c>
      <c r="D249" s="9" t="inlineStr">
        <is>
          <t>Коробка 2-х клапановая фланцевая Ду80</t>
        </is>
      </c>
      <c r="E249" s="8" t="n">
        <v>15</v>
      </c>
      <c r="F249" s="10" t="n">
        <v>45</v>
      </c>
      <c r="G249" s="10">
        <f>E249*F249</f>
        <v/>
      </c>
      <c r="H249" s="11" t="n"/>
      <c r="I249" s="10">
        <f>IF(H249="","",E249*H249)</f>
        <v/>
      </c>
      <c r="J249" s="8" t="inlineStr">
        <is>
          <t>Склад 3</t>
        </is>
      </c>
    </row>
    <row r="250">
      <c r="A250" s="8" t="n">
        <v>246</v>
      </c>
      <c r="B250" s="8" t="inlineStr">
        <is>
          <t>коробка клапанная</t>
        </is>
      </c>
      <c r="C250" s="8" t="inlineStr">
        <is>
          <t>Ду80</t>
        </is>
      </c>
      <c r="D250" s="9" t="inlineStr">
        <is>
          <t>Коробка 3-х клап.фланцевая Ду80</t>
        </is>
      </c>
      <c r="E250" s="8" t="n">
        <v>8</v>
      </c>
      <c r="F250" s="10" t="n">
        <v>45</v>
      </c>
      <c r="G250" s="10">
        <f>E250*F250</f>
        <v/>
      </c>
      <c r="H250" s="11" t="n"/>
      <c r="I250" s="10">
        <f>IF(H250="","",E250*H250)</f>
        <v/>
      </c>
      <c r="J250" s="8" t="inlineStr">
        <is>
          <t>Склад 2</t>
        </is>
      </c>
    </row>
    <row r="251">
      <c r="A251" s="8" t="n">
        <v>247</v>
      </c>
      <c r="B251" s="8" t="inlineStr">
        <is>
          <t>коробка клапанная</t>
        </is>
      </c>
      <c r="C251" s="8" t="inlineStr">
        <is>
          <t>Ду80</t>
        </is>
      </c>
      <c r="D251" s="9" t="inlineStr">
        <is>
          <t>Коробка 3-х клап.фланцевая Ду80</t>
        </is>
      </c>
      <c r="E251" s="8" t="n">
        <v>3</v>
      </c>
      <c r="F251" s="10" t="n">
        <v>45</v>
      </c>
      <c r="G251" s="10">
        <f>E251*F251</f>
        <v/>
      </c>
      <c r="H251" s="11" t="n"/>
      <c r="I251" s="10">
        <f>IF(H251="","",E251*H251)</f>
        <v/>
      </c>
      <c r="J251" s="8" t="inlineStr">
        <is>
          <t>Склад 3</t>
        </is>
      </c>
    </row>
    <row r="252">
      <c r="A252" s="8" t="n">
        <v>248</v>
      </c>
      <c r="B252" s="8" t="inlineStr">
        <is>
          <t>коробка клапанная</t>
        </is>
      </c>
      <c r="C252" s="8" t="inlineStr">
        <is>
          <t>Ду80</t>
        </is>
      </c>
      <c r="D252" s="9" t="inlineStr">
        <is>
          <t>Коробка 3-х клап.фланцевая невозврат.Ду80 Ру6</t>
        </is>
      </c>
      <c r="E252" s="8" t="n">
        <v>6</v>
      </c>
      <c r="F252" s="10" t="n">
        <v>45</v>
      </c>
      <c r="G252" s="10">
        <f>E252*F252</f>
        <v/>
      </c>
      <c r="H252" s="11" t="n"/>
      <c r="I252" s="10">
        <f>IF(H252="","",E252*H252)</f>
        <v/>
      </c>
      <c r="J252" s="8" t="inlineStr">
        <is>
          <t>Склад 3</t>
        </is>
      </c>
    </row>
    <row r="253">
      <c r="A253" s="8" t="n">
        <v>249</v>
      </c>
      <c r="B253" s="8" t="inlineStr">
        <is>
          <t>коробка клапанная</t>
        </is>
      </c>
      <c r="C253" s="8" t="inlineStr">
        <is>
          <t>Ду80</t>
        </is>
      </c>
      <c r="D253" s="9" t="inlineStr">
        <is>
          <t>Коробка 3-х клап.фланцевая невозврат.Ду80 Ру6</t>
        </is>
      </c>
      <c r="E253" s="8" t="n">
        <v>2</v>
      </c>
      <c r="F253" s="10" t="n">
        <v>45</v>
      </c>
      <c r="G253" s="10">
        <f>E253*F253</f>
        <v/>
      </c>
      <c r="H253" s="11" t="n"/>
      <c r="I253" s="10">
        <f>IF(H253="","",E253*H253)</f>
        <v/>
      </c>
      <c r="J253" s="8" t="inlineStr">
        <is>
          <t>Склад 3</t>
        </is>
      </c>
    </row>
    <row r="254">
      <c r="A254" s="8" t="n">
        <v>250</v>
      </c>
      <c r="B254" s="8" t="inlineStr">
        <is>
          <t>коробка клапанная</t>
        </is>
      </c>
      <c r="C254" s="8" t="inlineStr">
        <is>
          <t>Ду100</t>
        </is>
      </c>
      <c r="D254" s="9" t="inlineStr">
        <is>
          <t>Коробка 3-х клап.фланцевая Ду100</t>
        </is>
      </c>
      <c r="E254" s="8" t="n">
        <v>1</v>
      </c>
      <c r="F254" s="10" t="n">
        <v>60</v>
      </c>
      <c r="G254" s="10">
        <f>E254*F254</f>
        <v/>
      </c>
      <c r="H254" s="11" t="n"/>
      <c r="I254" s="10">
        <f>IF(H254="","",E254*H254)</f>
        <v/>
      </c>
      <c r="J254" s="8" t="inlineStr">
        <is>
          <t>Склад 2</t>
        </is>
      </c>
    </row>
    <row r="255">
      <c r="A255" s="8" t="n">
        <v>251</v>
      </c>
      <c r="B255" s="8" t="inlineStr">
        <is>
          <t>кран</t>
        </is>
      </c>
      <c r="C255" s="8" t="inlineStr">
        <is>
          <t>не указан</t>
        </is>
      </c>
      <c r="D255" s="9" t="inlineStr">
        <is>
          <t>Кран индикаторный VD26/20</t>
        </is>
      </c>
      <c r="E255" s="8" t="n">
        <v>3</v>
      </c>
      <c r="F255" s="10" t="n">
        <v>2</v>
      </c>
      <c r="G255" s="10">
        <f>E255*F255</f>
        <v/>
      </c>
      <c r="H255" s="11" t="n"/>
      <c r="I255" s="10">
        <f>IF(H255="","",E255*H255)</f>
        <v/>
      </c>
      <c r="J255" s="8" t="inlineStr">
        <is>
          <t>Склад электрики</t>
        </is>
      </c>
    </row>
    <row r="256">
      <c r="A256" s="8" t="n">
        <v>252</v>
      </c>
      <c r="B256" s="8" t="inlineStr">
        <is>
          <t>кран</t>
        </is>
      </c>
      <c r="C256" s="8" t="inlineStr">
        <is>
          <t>Ду32</t>
        </is>
      </c>
      <c r="D256" s="9" t="inlineStr">
        <is>
          <t>Кран двухходовой фланцевый Ду32 Ру6</t>
        </is>
      </c>
      <c r="E256" s="8" t="n">
        <v>1</v>
      </c>
      <c r="F256" s="10" t="n">
        <v>4</v>
      </c>
      <c r="G256" s="10">
        <f>E256*F256</f>
        <v/>
      </c>
      <c r="H256" s="11" t="n"/>
      <c r="I256" s="10">
        <f>IF(H256="","",E256*H256)</f>
        <v/>
      </c>
      <c r="J256" s="8" t="inlineStr">
        <is>
          <t>Склад 2</t>
        </is>
      </c>
    </row>
    <row r="257">
      <c r="A257" s="8" t="n">
        <v>253</v>
      </c>
      <c r="B257" s="8" t="inlineStr">
        <is>
          <t>прочая арматура</t>
        </is>
      </c>
      <c r="C257" s="8" t="inlineStr">
        <is>
          <t>не указан</t>
        </is>
      </c>
      <c r="D257" s="9" t="inlineStr">
        <is>
          <t>Кланан Рр18-2 45/25</t>
        </is>
      </c>
      <c r="E257" s="8" t="n">
        <v>1</v>
      </c>
      <c r="F257" s="10" t="n">
        <v>5</v>
      </c>
      <c r="G257" s="10">
        <f>E257*F257</f>
        <v/>
      </c>
      <c r="H257" s="11" t="n"/>
      <c r="I257" s="10">
        <f>IF(H257="","",E257*H257)</f>
        <v/>
      </c>
      <c r="J257" s="8" t="inlineStr">
        <is>
          <t>Склад 2</t>
        </is>
      </c>
    </row>
    <row r="258">
      <c r="A258" s="8" t="n">
        <v>254</v>
      </c>
      <c r="B258" s="8" t="inlineStr">
        <is>
          <t>прочая арматура</t>
        </is>
      </c>
      <c r="C258" s="8" t="inlineStr">
        <is>
          <t>не указан</t>
        </is>
      </c>
      <c r="D258" s="9" t="inlineStr">
        <is>
          <t>Клапан</t>
        </is>
      </c>
      <c r="E258" s="8" t="n">
        <v>1</v>
      </c>
      <c r="F258" s="10" t="n">
        <v>5</v>
      </c>
      <c r="G258" s="10">
        <f>E258*F258</f>
        <v/>
      </c>
      <c r="H258" s="11" t="n"/>
      <c r="I258" s="10">
        <f>IF(H258="","",E258*H258)</f>
        <v/>
      </c>
      <c r="J258" s="8" t="inlineStr">
        <is>
          <t>Склад 2</t>
        </is>
      </c>
    </row>
    <row r="259">
      <c r="A259" s="8" t="n">
        <v>255</v>
      </c>
      <c r="B259" s="8" t="inlineStr">
        <is>
          <t>прочая арматура</t>
        </is>
      </c>
      <c r="C259" s="8" t="inlineStr">
        <is>
          <t>не указан</t>
        </is>
      </c>
      <c r="D259" s="9" t="inlineStr">
        <is>
          <t>Клапан ТНВД VD26/20</t>
        </is>
      </c>
      <c r="E259" s="8" t="n">
        <v>40</v>
      </c>
      <c r="F259" s="10" t="n">
        <v>5</v>
      </c>
      <c r="G259" s="10">
        <f>E259*F259</f>
        <v/>
      </c>
      <c r="H259" s="11" t="n"/>
      <c r="I259" s="10">
        <f>IF(H259="","",E259*H259)</f>
        <v/>
      </c>
      <c r="J259" s="8" t="inlineStr">
        <is>
          <t>Склад электрики</t>
        </is>
      </c>
    </row>
    <row r="260">
      <c r="A260" s="8" t="n">
        <v>256</v>
      </c>
      <c r="B260" s="8" t="inlineStr">
        <is>
          <t>прочая арматура</t>
        </is>
      </c>
      <c r="C260" s="8" t="inlineStr">
        <is>
          <t>не указан</t>
        </is>
      </c>
      <c r="D260" s="9" t="inlineStr">
        <is>
          <t>Клапан всасывающий</t>
        </is>
      </c>
      <c r="E260" s="8" t="n">
        <v>2</v>
      </c>
      <c r="F260" s="10" t="n">
        <v>5</v>
      </c>
      <c r="G260" s="10">
        <f>E260*F260</f>
        <v/>
      </c>
      <c r="H260" s="11" t="n"/>
      <c r="I260" s="10">
        <f>IF(H260="","",E260*H260)</f>
        <v/>
      </c>
      <c r="J260" s="8" t="inlineStr">
        <is>
          <t>Склад 3</t>
        </is>
      </c>
    </row>
    <row r="261">
      <c r="A261" s="8" t="n">
        <v>257</v>
      </c>
      <c r="B261" s="8" t="inlineStr">
        <is>
          <t>прочая арматура</t>
        </is>
      </c>
      <c r="C261" s="8" t="inlineStr">
        <is>
          <t>не указан</t>
        </is>
      </c>
      <c r="D261" s="9" t="inlineStr">
        <is>
          <t>Клапан выпускной 602-062-001</t>
        </is>
      </c>
      <c r="E261" s="8" t="n">
        <v>1</v>
      </c>
      <c r="F261" s="10" t="n">
        <v>5</v>
      </c>
      <c r="G261" s="10">
        <f>E261*F261</f>
        <v/>
      </c>
      <c r="H261" s="11" t="n"/>
      <c r="I261" s="10">
        <f>IF(H261="","",E261*H261)</f>
        <v/>
      </c>
      <c r="J261" s="8" t="inlineStr">
        <is>
          <t>Склад электрики</t>
        </is>
      </c>
    </row>
    <row r="262">
      <c r="A262" s="8" t="n">
        <v>258</v>
      </c>
      <c r="B262" s="8" t="inlineStr">
        <is>
          <t>прочая арматура</t>
        </is>
      </c>
      <c r="C262" s="8" t="inlineStr">
        <is>
          <t>не указан</t>
        </is>
      </c>
      <c r="D262" s="9" t="inlineStr">
        <is>
          <t>Клапан выпускной 602-062-001-01</t>
        </is>
      </c>
      <c r="E262" s="8" t="n">
        <v>1</v>
      </c>
      <c r="F262" s="10" t="n">
        <v>5</v>
      </c>
      <c r="G262" s="10">
        <f>E262*F262</f>
        <v/>
      </c>
      <c r="H262" s="11" t="n"/>
      <c r="I262" s="10">
        <f>IF(H262="","",E262*H262)</f>
        <v/>
      </c>
      <c r="J262" s="8" t="inlineStr">
        <is>
          <t>Склад электрики</t>
        </is>
      </c>
    </row>
    <row r="263">
      <c r="A263" s="8" t="n">
        <v>259</v>
      </c>
      <c r="B263" s="8" t="inlineStr">
        <is>
          <t>прочая арматура</t>
        </is>
      </c>
      <c r="C263" s="8" t="inlineStr">
        <is>
          <t>не указан</t>
        </is>
      </c>
      <c r="D263" s="9" t="inlineStr">
        <is>
          <t>Клапан выхлопной</t>
        </is>
      </c>
      <c r="E263" s="8" t="n">
        <v>5</v>
      </c>
      <c r="F263" s="10" t="n">
        <v>5</v>
      </c>
      <c r="G263" s="10">
        <f>E263*F263</f>
        <v/>
      </c>
      <c r="H263" s="11" t="n"/>
      <c r="I263" s="10">
        <f>IF(H263="","",E263*H263)</f>
        <v/>
      </c>
      <c r="J263" s="8" t="inlineStr">
        <is>
          <t>Склад 3</t>
        </is>
      </c>
    </row>
    <row r="264">
      <c r="A264" s="8" t="n">
        <v>260</v>
      </c>
      <c r="B264" s="8" t="inlineStr">
        <is>
          <t>прочая арматура</t>
        </is>
      </c>
      <c r="C264" s="8" t="inlineStr">
        <is>
          <t>не указан</t>
        </is>
      </c>
      <c r="D264" s="9" t="inlineStr">
        <is>
          <t>Клапан газораспредел. VD26/20 б/у</t>
        </is>
      </c>
      <c r="E264" s="8" t="n">
        <v>7</v>
      </c>
      <c r="F264" s="10" t="n">
        <v>5</v>
      </c>
      <c r="G264" s="10">
        <f>E264*F264</f>
        <v/>
      </c>
      <c r="H264" s="11" t="n"/>
      <c r="I264" s="10">
        <f>IF(H264="","",E264*H264)</f>
        <v/>
      </c>
      <c r="J264" s="8" t="inlineStr">
        <is>
          <t>Склад электрики</t>
        </is>
      </c>
    </row>
    <row r="265">
      <c r="A265" s="8" t="n">
        <v>261</v>
      </c>
      <c r="B265" s="8" t="inlineStr">
        <is>
          <t>прочая арматура</t>
        </is>
      </c>
      <c r="C265" s="8" t="inlineStr">
        <is>
          <t>не указан</t>
        </is>
      </c>
      <c r="D265" s="9" t="inlineStr">
        <is>
          <t>Клапан газораспределения</t>
        </is>
      </c>
      <c r="E265" s="8" t="n">
        <v>12</v>
      </c>
      <c r="F265" s="10" t="n">
        <v>5</v>
      </c>
      <c r="G265" s="10">
        <f>E265*F265</f>
        <v/>
      </c>
      <c r="H265" s="11" t="n"/>
      <c r="I265" s="10">
        <f>IF(H265="","",E265*H265)</f>
        <v/>
      </c>
      <c r="J265" s="8" t="inlineStr">
        <is>
          <t>Склад электрики</t>
        </is>
      </c>
    </row>
    <row r="266">
      <c r="A266" s="8" t="n">
        <v>262</v>
      </c>
      <c r="B266" s="8" t="inlineStr">
        <is>
          <t>прочая арматура</t>
        </is>
      </c>
      <c r="C266" s="8" t="inlineStr">
        <is>
          <t>не указан</t>
        </is>
      </c>
      <c r="D266" s="9" t="inlineStr">
        <is>
          <t>Клапан компресс. ЭКП 70/25</t>
        </is>
      </c>
      <c r="E266" s="8" t="n">
        <v>4</v>
      </c>
      <c r="F266" s="10" t="n">
        <v>5</v>
      </c>
      <c r="G266" s="10">
        <f>E266*F266</f>
        <v/>
      </c>
      <c r="H266" s="11" t="n"/>
      <c r="I266" s="10">
        <f>IF(H266="","",E266*H266)</f>
        <v/>
      </c>
      <c r="J266" s="8" t="inlineStr">
        <is>
          <t>Склад 3</t>
        </is>
      </c>
    </row>
    <row r="267">
      <c r="A267" s="8" t="n">
        <v>263</v>
      </c>
      <c r="B267" s="8" t="inlineStr">
        <is>
          <t>прочая арматура</t>
        </is>
      </c>
      <c r="C267" s="8" t="inlineStr">
        <is>
          <t>не указан</t>
        </is>
      </c>
      <c r="D267" s="9" t="inlineStr">
        <is>
          <t>Клапан нагнетательный</t>
        </is>
      </c>
      <c r="E267" s="8" t="n">
        <v>6</v>
      </c>
      <c r="F267" s="10" t="n">
        <v>5</v>
      </c>
      <c r="G267" s="10">
        <f>E267*F267</f>
        <v/>
      </c>
      <c r="H267" s="11" t="n"/>
      <c r="I267" s="10">
        <f>IF(H267="","",E267*H267)</f>
        <v/>
      </c>
      <c r="J267" s="8" t="inlineStr">
        <is>
          <t>Склад 3</t>
        </is>
      </c>
    </row>
    <row r="268">
      <c r="A268" s="8" t="n">
        <v>264</v>
      </c>
      <c r="B268" s="8" t="inlineStr">
        <is>
          <t>прочая арматура</t>
        </is>
      </c>
      <c r="C268" s="8" t="inlineStr">
        <is>
          <t>не указан</t>
        </is>
      </c>
      <c r="D268" s="9" t="inlineStr">
        <is>
          <t>Клапан нагнетательный ТНВД</t>
        </is>
      </c>
      <c r="E268" s="8" t="n">
        <v>9</v>
      </c>
      <c r="F268" s="10" t="n">
        <v>5</v>
      </c>
      <c r="G268" s="10">
        <f>E268*F268</f>
        <v/>
      </c>
      <c r="H268" s="11" t="n"/>
      <c r="I268" s="10">
        <f>IF(H268="","",E268*H268)</f>
        <v/>
      </c>
      <c r="J268" s="8" t="inlineStr">
        <is>
          <t>Склад электрики</t>
        </is>
      </c>
    </row>
    <row r="269">
      <c r="A269" s="8" t="n">
        <v>265</v>
      </c>
      <c r="B269" s="8" t="inlineStr">
        <is>
          <t>прочая арматура</t>
        </is>
      </c>
      <c r="C269" s="8" t="inlineStr">
        <is>
          <t>не указан</t>
        </is>
      </c>
      <c r="D269" s="9" t="inlineStr">
        <is>
          <t>Клапан пусковой</t>
        </is>
      </c>
      <c r="E269" s="8" t="n">
        <v>1</v>
      </c>
      <c r="F269" s="10" t="n">
        <v>5</v>
      </c>
      <c r="G269" s="10">
        <f>E269*F269</f>
        <v/>
      </c>
      <c r="H269" s="11" t="n"/>
      <c r="I269" s="10">
        <f>IF(H269="","",E269*H269)</f>
        <v/>
      </c>
      <c r="J269" s="8" t="inlineStr">
        <is>
          <t>Склад 3</t>
        </is>
      </c>
    </row>
    <row r="270">
      <c r="A270" s="8" t="n">
        <v>266</v>
      </c>
      <c r="B270" s="8" t="inlineStr">
        <is>
          <t>прочая арматура</t>
        </is>
      </c>
      <c r="C270" s="8" t="inlineStr">
        <is>
          <t>не указан</t>
        </is>
      </c>
      <c r="D270" s="9" t="inlineStr">
        <is>
          <t>Клапан пусковой главный</t>
        </is>
      </c>
      <c r="E270" s="8" t="n">
        <v>1</v>
      </c>
      <c r="F270" s="10" t="n">
        <v>5</v>
      </c>
      <c r="G270" s="10">
        <f>E270*F270</f>
        <v/>
      </c>
      <c r="H270" s="11" t="n"/>
      <c r="I270" s="10">
        <f>IF(H270="","",E270*H270)</f>
        <v/>
      </c>
      <c r="J270" s="8" t="inlineStr">
        <is>
          <t>Склад электрики</t>
        </is>
      </c>
    </row>
    <row r="271">
      <c r="A271" s="8" t="n">
        <v>267</v>
      </c>
      <c r="B271" s="8" t="inlineStr">
        <is>
          <t>прочая арматура</t>
        </is>
      </c>
      <c r="C271" s="8" t="inlineStr">
        <is>
          <t>не указан</t>
        </is>
      </c>
      <c r="D271" s="9" t="inlineStr">
        <is>
          <t>Клапан фреоновый саленоидный</t>
        </is>
      </c>
      <c r="E271" s="8" t="n">
        <v>2</v>
      </c>
      <c r="F271" s="10" t="n">
        <v>5</v>
      </c>
      <c r="G271" s="10">
        <f>E271*F271</f>
        <v/>
      </c>
      <c r="H271" s="11" t="n"/>
      <c r="I271" s="10">
        <f>IF(H271="","",E271*H271)</f>
        <v/>
      </c>
      <c r="J271" s="8" t="inlineStr">
        <is>
          <t>Склад 2</t>
        </is>
      </c>
    </row>
    <row r="272">
      <c r="A272" s="8" t="n">
        <v>268</v>
      </c>
      <c r="B272" s="8" t="inlineStr">
        <is>
          <t>прочая арматура</t>
        </is>
      </c>
      <c r="C272" s="8" t="inlineStr">
        <is>
          <t>не указан</t>
        </is>
      </c>
      <c r="D272" s="9" t="inlineStr">
        <is>
          <t>Клапан электромагнитный б/у</t>
        </is>
      </c>
      <c r="E272" s="8" t="n">
        <v>4</v>
      </c>
      <c r="F272" s="10" t="n">
        <v>5</v>
      </c>
      <c r="G272" s="10">
        <f>E272*F272</f>
        <v/>
      </c>
      <c r="H272" s="11" t="n"/>
      <c r="I272" s="10">
        <f>IF(H272="","",E272*H272)</f>
        <v/>
      </c>
      <c r="J272" s="8" t="inlineStr">
        <is>
          <t>Склад 3</t>
        </is>
      </c>
    </row>
    <row r="273">
      <c r="A273" s="8" t="n">
        <v>269</v>
      </c>
      <c r="B273" s="8" t="inlineStr">
        <is>
          <t>прочая арматура</t>
        </is>
      </c>
      <c r="C273" s="8" t="inlineStr">
        <is>
          <t>не указан</t>
        </is>
      </c>
      <c r="D273" s="9" t="inlineStr">
        <is>
          <t>Корпус выхлопного клапана</t>
        </is>
      </c>
      <c r="E273" s="8" t="n">
        <v>1</v>
      </c>
      <c r="F273" s="10" t="n">
        <v>5</v>
      </c>
      <c r="G273" s="10">
        <f>E273*F273</f>
        <v/>
      </c>
      <c r="H273" s="11" t="n"/>
      <c r="I273" s="10">
        <f>IF(H273="","",E273*H273)</f>
        <v/>
      </c>
      <c r="J273" s="8" t="inlineStr">
        <is>
          <t>Склад 3</t>
        </is>
      </c>
    </row>
    <row r="274">
      <c r="A274" s="8" t="n">
        <v>270</v>
      </c>
      <c r="B274" s="8" t="inlineStr">
        <is>
          <t>прочая арматура</t>
        </is>
      </c>
      <c r="C274" s="8" t="inlineStr">
        <is>
          <t>не указан</t>
        </is>
      </c>
      <c r="D274" s="9" t="inlineStr">
        <is>
          <t>Направляющая клапана</t>
        </is>
      </c>
      <c r="E274" s="8" t="n">
        <v>2</v>
      </c>
      <c r="F274" s="10" t="n">
        <v>5</v>
      </c>
      <c r="G274" s="10">
        <f>E274*F274</f>
        <v/>
      </c>
      <c r="H274" s="11" t="n"/>
      <c r="I274" s="10">
        <f>IF(H274="","",E274*H274)</f>
        <v/>
      </c>
      <c r="J274" s="8" t="inlineStr">
        <is>
          <t>Склад 3</t>
        </is>
      </c>
    </row>
    <row r="275">
      <c r="A275" s="8" t="n">
        <v>271</v>
      </c>
      <c r="B275" s="8" t="inlineStr">
        <is>
          <t>прочая арматура</t>
        </is>
      </c>
      <c r="C275" s="8" t="inlineStr">
        <is>
          <t>не указан</t>
        </is>
      </c>
      <c r="D275" s="9" t="inlineStr">
        <is>
          <t>Направляющий клапан (большой)</t>
        </is>
      </c>
      <c r="E275" s="8" t="n">
        <v>36</v>
      </c>
      <c r="F275" s="10" t="n">
        <v>5</v>
      </c>
      <c r="G275" s="10">
        <f>E275*F275</f>
        <v/>
      </c>
      <c r="H275" s="11" t="n"/>
      <c r="I275" s="10">
        <f>IF(H275="","",E275*H275)</f>
        <v/>
      </c>
      <c r="J275" s="8" t="inlineStr">
        <is>
          <t>Склад электрики</t>
        </is>
      </c>
    </row>
    <row r="276">
      <c r="A276" s="8" t="n">
        <v>272</v>
      </c>
      <c r="B276" s="8" t="inlineStr">
        <is>
          <t>прочая арматура</t>
        </is>
      </c>
      <c r="C276" s="8" t="inlineStr">
        <is>
          <t>не указан</t>
        </is>
      </c>
      <c r="D276" s="9" t="inlineStr">
        <is>
          <t>Направляющий клапан (маленький)</t>
        </is>
      </c>
      <c r="E276" s="8" t="n">
        <v>40</v>
      </c>
      <c r="F276" s="10" t="n">
        <v>5</v>
      </c>
      <c r="G276" s="10">
        <f>E276*F276</f>
        <v/>
      </c>
      <c r="H276" s="11" t="n"/>
      <c r="I276" s="10">
        <f>IF(H276="","",E276*H276)</f>
        <v/>
      </c>
      <c r="J276" s="8" t="inlineStr">
        <is>
          <t>Склад электрики</t>
        </is>
      </c>
    </row>
    <row r="277">
      <c r="A277" s="8" t="n">
        <v>273</v>
      </c>
      <c r="B277" s="8" t="inlineStr">
        <is>
          <t>прочая арматура</t>
        </is>
      </c>
      <c r="C277" s="8" t="inlineStr">
        <is>
          <t>не указан</t>
        </is>
      </c>
      <c r="D277" s="9" t="inlineStr">
        <is>
          <t>Пружина клапана VD26/20</t>
        </is>
      </c>
      <c r="E277" s="8" t="n">
        <v>3</v>
      </c>
      <c r="F277" s="10" t="n">
        <v>5</v>
      </c>
      <c r="G277" s="10">
        <f>E277*F277</f>
        <v/>
      </c>
      <c r="H277" s="11" t="n"/>
      <c r="I277" s="10">
        <f>IF(H277="","",E277*H277)</f>
        <v/>
      </c>
      <c r="J277" s="8" t="inlineStr">
        <is>
          <t>Склад электрики</t>
        </is>
      </c>
    </row>
    <row r="278">
      <c r="A278" s="8" t="n">
        <v>274</v>
      </c>
      <c r="B278" s="8" t="inlineStr">
        <is>
          <t>прочая арматура</t>
        </is>
      </c>
      <c r="C278" s="8" t="inlineStr">
        <is>
          <t>не указан</t>
        </is>
      </c>
      <c r="D278" s="9" t="inlineStr">
        <is>
          <t>Пружина клапана распределения наружная</t>
        </is>
      </c>
      <c r="E278" s="8" t="n">
        <v>6</v>
      </c>
      <c r="F278" s="10" t="n">
        <v>5</v>
      </c>
      <c r="G278" s="10">
        <f>E278*F278</f>
        <v/>
      </c>
      <c r="H278" s="11" t="n"/>
      <c r="I278" s="10">
        <f>IF(H278="","",E278*H278)</f>
        <v/>
      </c>
      <c r="J278" s="8" t="inlineStr">
        <is>
          <t>Склад электрики</t>
        </is>
      </c>
    </row>
    <row r="279">
      <c r="A279" s="8" t="n">
        <v>275</v>
      </c>
      <c r="B279" s="8" t="inlineStr">
        <is>
          <t>прочая арматура</t>
        </is>
      </c>
      <c r="C279" s="8" t="inlineStr">
        <is>
          <t>не указан</t>
        </is>
      </c>
      <c r="D279" s="9" t="inlineStr">
        <is>
          <t>Пружина нагнетательного клапана VD26/20</t>
        </is>
      </c>
      <c r="E279" s="8" t="n">
        <v>37</v>
      </c>
      <c r="F279" s="10" t="n">
        <v>5</v>
      </c>
      <c r="G279" s="10">
        <f>E279*F279</f>
        <v/>
      </c>
      <c r="H279" s="11" t="n"/>
      <c r="I279" s="10">
        <f>IF(H279="","",E279*H279)</f>
        <v/>
      </c>
      <c r="J279" s="8" t="inlineStr">
        <is>
          <t>Склад электрики</t>
        </is>
      </c>
    </row>
    <row r="280">
      <c r="A280" s="8" t="n">
        <v>276</v>
      </c>
      <c r="B280" s="8" t="inlineStr">
        <is>
          <t>прочая арматура</t>
        </is>
      </c>
      <c r="C280" s="8" t="inlineStr">
        <is>
          <t>не указан</t>
        </is>
      </c>
      <c r="D280" s="9" t="inlineStr">
        <is>
          <t>Пружина нагнетательного клапана ТНВД</t>
        </is>
      </c>
      <c r="E280" s="8" t="n">
        <v>37</v>
      </c>
      <c r="F280" s="10" t="n">
        <v>5</v>
      </c>
      <c r="G280" s="10">
        <f>E280*F280</f>
        <v/>
      </c>
      <c r="H280" s="11" t="n"/>
      <c r="I280" s="10">
        <f>IF(H280="","",E280*H280)</f>
        <v/>
      </c>
      <c r="J280" s="8" t="inlineStr">
        <is>
          <t>Склад электрики</t>
        </is>
      </c>
    </row>
    <row r="281">
      <c r="A281" s="8" t="n">
        <v>277</v>
      </c>
      <c r="B281" s="8" t="inlineStr">
        <is>
          <t>прочая арматура</t>
        </is>
      </c>
      <c r="C281" s="8" t="inlineStr">
        <is>
          <t>не указан</t>
        </is>
      </c>
      <c r="D281" s="9" t="inlineStr">
        <is>
          <t>Седло впускного клапана</t>
        </is>
      </c>
      <c r="E281" s="8" t="n">
        <v>1</v>
      </c>
      <c r="F281" s="10" t="n">
        <v>5</v>
      </c>
      <c r="G281" s="10">
        <f>E281*F281</f>
        <v/>
      </c>
      <c r="H281" s="11" t="n"/>
      <c r="I281" s="10">
        <f>IF(H281="","",E281*H281)</f>
        <v/>
      </c>
      <c r="J281" s="8" t="inlineStr">
        <is>
          <t>Склад электрики</t>
        </is>
      </c>
    </row>
    <row r="282">
      <c r="A282" s="8" t="n">
        <v>278</v>
      </c>
      <c r="B282" s="8" t="inlineStr">
        <is>
          <t>прочая арматура</t>
        </is>
      </c>
      <c r="C282" s="8" t="inlineStr">
        <is>
          <t>не указан</t>
        </is>
      </c>
      <c r="D282" s="9" t="inlineStr">
        <is>
          <t>Седло клапана</t>
        </is>
      </c>
      <c r="E282" s="8" t="n">
        <v>1</v>
      </c>
      <c r="F282" s="10" t="n">
        <v>5</v>
      </c>
      <c r="G282" s="10">
        <f>E282*F282</f>
        <v/>
      </c>
      <c r="H282" s="11" t="n"/>
      <c r="I282" s="10">
        <f>IF(H282="","",E282*H282)</f>
        <v/>
      </c>
      <c r="J282" s="8" t="inlineStr">
        <is>
          <t>Склад 3</t>
        </is>
      </c>
    </row>
    <row r="283">
      <c r="A283" s="8" t="n">
        <v>279</v>
      </c>
      <c r="B283" s="8" t="inlineStr">
        <is>
          <t>прочая арматура</t>
        </is>
      </c>
      <c r="C283" s="8" t="inlineStr">
        <is>
          <t>не указан</t>
        </is>
      </c>
      <c r="D283" s="9" t="inlineStr">
        <is>
          <t>Судовая запорная арматура</t>
        </is>
      </c>
      <c r="E283" s="8" t="n">
        <v>2</v>
      </c>
      <c r="F283" s="10" t="n">
        <v>5</v>
      </c>
      <c r="G283" s="10">
        <f>E283*F283</f>
        <v/>
      </c>
      <c r="H283" s="11" t="n"/>
      <c r="I283" s="10">
        <f>IF(H283="","",E283*H283)</f>
        <v/>
      </c>
      <c r="J283" s="8" t="inlineStr">
        <is>
          <t>Менеджерская</t>
        </is>
      </c>
    </row>
    <row r="284">
      <c r="A284" s="8" t="n">
        <v>280</v>
      </c>
      <c r="B284" s="8" t="inlineStr">
        <is>
          <t>прочая арматура</t>
        </is>
      </c>
      <c r="C284" s="8" t="inlineStr">
        <is>
          <t>не указан</t>
        </is>
      </c>
      <c r="D284" s="9" t="inlineStr">
        <is>
          <t>Тарелка пружины клапана</t>
        </is>
      </c>
      <c r="E284" s="8" t="n">
        <v>1</v>
      </c>
      <c r="F284" s="10" t="n">
        <v>5</v>
      </c>
      <c r="G284" s="10">
        <f>E284*F284</f>
        <v/>
      </c>
      <c r="H284" s="11" t="n"/>
      <c r="I284" s="10">
        <f>IF(H284="","",E284*H284)</f>
        <v/>
      </c>
      <c r="J284" s="8" t="inlineStr">
        <is>
          <t>Склад электрики</t>
        </is>
      </c>
    </row>
    <row r="285">
      <c r="A285" s="8" t="n">
        <v>281</v>
      </c>
      <c r="B285" s="8" t="inlineStr">
        <is>
          <t>прочая арматура</t>
        </is>
      </c>
      <c r="C285" s="8" t="inlineStr">
        <is>
          <t>Ду10</t>
        </is>
      </c>
      <c r="D285" s="9" t="inlineStr">
        <is>
          <t>Клапан для колонки указательной Ду10 Ру16</t>
        </is>
      </c>
      <c r="E285" s="8" t="n">
        <v>6</v>
      </c>
      <c r="F285" s="10" t="n">
        <v>5</v>
      </c>
      <c r="G285" s="10">
        <f>E285*F285</f>
        <v/>
      </c>
      <c r="H285" s="11" t="n"/>
      <c r="I285" s="10">
        <f>IF(H285="","",E285*H285)</f>
        <v/>
      </c>
      <c r="J285" s="8" t="inlineStr">
        <is>
          <t>Склад 2</t>
        </is>
      </c>
    </row>
    <row r="286">
      <c r="A286" s="8" t="n">
        <v>282</v>
      </c>
      <c r="B286" s="8" t="inlineStr">
        <is>
          <t>прочая арматура</t>
        </is>
      </c>
      <c r="C286" s="8" t="inlineStr">
        <is>
          <t>Ду20</t>
        </is>
      </c>
      <c r="D286" s="9" t="inlineStr">
        <is>
          <t>Клапан Ду20/10</t>
        </is>
      </c>
      <c r="E286" s="8" t="n">
        <v>3</v>
      </c>
      <c r="F286" s="10" t="n">
        <v>5</v>
      </c>
      <c r="G286" s="10">
        <f>E286*F286</f>
        <v/>
      </c>
      <c r="H286" s="11" t="n"/>
      <c r="I286" s="10">
        <f>IF(H286="","",E286*H286)</f>
        <v/>
      </c>
      <c r="J286" s="8" t="inlineStr">
        <is>
          <t>Склад 2</t>
        </is>
      </c>
    </row>
    <row r="287">
      <c r="A287" s="8" t="n">
        <v>283</v>
      </c>
      <c r="B287" s="8" t="inlineStr">
        <is>
          <t>прочая арматура</t>
        </is>
      </c>
      <c r="C287" s="8" t="inlineStr">
        <is>
          <t>Ду20</t>
        </is>
      </c>
      <c r="D287" s="9" t="inlineStr">
        <is>
          <t>Клапан пусковой Ду20Ру125</t>
        </is>
      </c>
      <c r="E287" s="8" t="n">
        <v>7</v>
      </c>
      <c r="F287" s="10" t="n">
        <v>5</v>
      </c>
      <c r="G287" s="10">
        <f>E287*F287</f>
        <v/>
      </c>
      <c r="H287" s="11" t="n"/>
      <c r="I287" s="10">
        <f>IF(H287="","",E287*H287)</f>
        <v/>
      </c>
      <c r="J287" s="8" t="inlineStr">
        <is>
          <t>Склад 2</t>
        </is>
      </c>
    </row>
    <row r="288">
      <c r="A288" s="8" t="n">
        <v>284</v>
      </c>
      <c r="B288" s="8" t="inlineStr">
        <is>
          <t>прочая арматура</t>
        </is>
      </c>
      <c r="C288" s="8" t="inlineStr">
        <is>
          <t>Ду20</t>
        </is>
      </c>
      <c r="D288" s="9" t="inlineStr">
        <is>
          <t>Клапан редукционный штуц.проход.односедельный Ду20Ру400 у входа</t>
        </is>
      </c>
      <c r="E288" s="8" t="n">
        <v>9</v>
      </c>
      <c r="F288" s="10" t="n">
        <v>5</v>
      </c>
      <c r="G288" s="10">
        <f>E288*F288</f>
        <v/>
      </c>
      <c r="H288" s="11" t="n"/>
      <c r="I288" s="10">
        <f>IF(H288="","",E288*H288)</f>
        <v/>
      </c>
      <c r="J288" s="8" t="inlineStr">
        <is>
          <t>Склад 2</t>
        </is>
      </c>
    </row>
    <row r="289">
      <c r="A289" s="8" t="n">
        <v>285</v>
      </c>
      <c r="B289" s="8" t="inlineStr">
        <is>
          <t>прочая арматура</t>
        </is>
      </c>
      <c r="C289" s="8" t="inlineStr">
        <is>
          <t>Ду20</t>
        </is>
      </c>
      <c r="D289" s="9" t="inlineStr">
        <is>
          <t>Клапан с электромагнитным ручным управлением Ду20/10 перем. 220В</t>
        </is>
      </c>
      <c r="E289" s="8" t="n">
        <v>1</v>
      </c>
      <c r="F289" s="10" t="n">
        <v>5</v>
      </c>
      <c r="G289" s="10">
        <f>E289*F289</f>
        <v/>
      </c>
      <c r="H289" s="11" t="n"/>
      <c r="I289" s="10">
        <f>IF(H289="","",E289*H289)</f>
        <v/>
      </c>
      <c r="J289" s="8" t="inlineStr">
        <is>
          <t>Склад 2</t>
        </is>
      </c>
    </row>
    <row r="290">
      <c r="A290" s="8" t="n">
        <v>286</v>
      </c>
      <c r="B290" s="8" t="inlineStr">
        <is>
          <t>прочая арматура</t>
        </is>
      </c>
      <c r="C290" s="8" t="inlineStr">
        <is>
          <t>Ду32</t>
        </is>
      </c>
      <c r="D290" s="9" t="inlineStr">
        <is>
          <t>Клапан пусковой Ду32Ру125</t>
        </is>
      </c>
      <c r="E290" s="8" t="n">
        <v>8</v>
      </c>
      <c r="F290" s="10" t="n">
        <v>5</v>
      </c>
      <c r="G290" s="10">
        <f>E290*F290</f>
        <v/>
      </c>
      <c r="H290" s="11" t="n"/>
      <c r="I290" s="10">
        <f>IF(H290="","",E290*H290)</f>
        <v/>
      </c>
      <c r="J290" s="8" t="inlineStr">
        <is>
          <t>Склад 2</t>
        </is>
      </c>
    </row>
    <row r="291">
      <c r="A291" s="8" t="n">
        <v>287</v>
      </c>
      <c r="B291" s="8" t="inlineStr">
        <is>
          <t>прочая арматура</t>
        </is>
      </c>
      <c r="C291" s="8" t="inlineStr">
        <is>
          <t>Ду65</t>
        </is>
      </c>
      <c r="D291" s="9" t="inlineStr">
        <is>
          <t>Клапан паровой Ду65Ру10</t>
        </is>
      </c>
      <c r="E291" s="8" t="n">
        <v>1</v>
      </c>
      <c r="F291" s="10" t="n">
        <v>5</v>
      </c>
      <c r="G291" s="10">
        <f>E291*F291</f>
        <v/>
      </c>
      <c r="H291" s="11" t="n"/>
      <c r="I291" s="10">
        <f>IF(H291="","",E291*H291)</f>
        <v/>
      </c>
      <c r="J291" s="8" t="inlineStr">
        <is>
          <t>Склад 2</t>
        </is>
      </c>
    </row>
    <row r="292">
      <c r="A292" s="8" t="n">
        <v>288</v>
      </c>
      <c r="B292" s="8" t="inlineStr">
        <is>
          <t>прочая арматура</t>
        </is>
      </c>
      <c r="C292" s="8" t="inlineStr">
        <is>
          <t>Ду125</t>
        </is>
      </c>
      <c r="D292" s="9" t="inlineStr">
        <is>
          <t>Клапан проходной ДУ 125 корпус</t>
        </is>
      </c>
      <c r="E292" s="8" t="n">
        <v>1</v>
      </c>
      <c r="F292" s="10" t="n">
        <v>5</v>
      </c>
      <c r="G292" s="10">
        <f>E292*F292</f>
        <v/>
      </c>
      <c r="H292" s="11" t="n"/>
      <c r="I292" s="10">
        <f>IF(H292="","",E292*H292)</f>
        <v/>
      </c>
      <c r="J292" s="8" t="inlineStr">
        <is>
          <t>Склад 1А/1Б</t>
        </is>
      </c>
    </row>
    <row r="293">
      <c r="D293" s="12" t="inlineStr">
        <is>
          <t>ИТОГО</t>
        </is>
      </c>
      <c r="E293" s="13">
        <f>SUM(E5:E292)</f>
        <v/>
      </c>
      <c r="G293" s="14">
        <f>SUM(G5:G292)</f>
        <v/>
      </c>
      <c r="I293" s="14">
        <f>SUM(I5:I292)</f>
        <v/>
      </c>
    </row>
    <row r="294">
      <c r="D294" s="15" t="inlineStr">
        <is>
          <t>Итого тонн (справочно)</t>
        </is>
      </c>
      <c r="G294" s="16">
        <f>G293/1000</f>
        <v/>
      </c>
    </row>
  </sheetData>
  <autoFilter ref="A4:J2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2026-09-25T16:44:42Z</dcterms:created>
  <dcterms:modified xsi:type="dcterms:W3CDTF">2026-09-25T16:44:42Z</dcterms:modified>
</cp:coreProperties>
</file>
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льтры забортной воды" sheetId="1" state="visible" r:id="rId1"/>
    <sheet name="Клинкеты (задвижк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0" fontId="6" fillId="0" borderId="0" pivotButton="0" quotePrefix="0" xfId="0"/>
    <xf numFmtId="0" fontId="6" fillId="0" borderId="1" pivotButton="0" quotePrefix="0" xfId="0"/>
    <xf numFmtId="3" fontId="6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4" customWidth="1" min="3" max="3"/>
    <col width="20" customWidth="1" min="4" max="4"/>
    <col width="12" customWidth="1" min="5" max="5"/>
    <col width="10" customWidth="1" min="6" max="6"/>
    <col width="15" customWidth="1" min="7" max="7"/>
    <col width="15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Фильтры забортной воды: все, что есть на складе</t>
        </is>
      </c>
    </row>
    <row r="2">
      <c r="A2" s="2" t="inlineStr">
        <is>
          <t>Количества по учету на 16.06.2025 и не подтверждены инвентаризацией. Перед отправкой покупателю пересчитать.</t>
        </is>
      </c>
    </row>
    <row r="4" ht="30" customHeight="1">
      <c r="A4" s="3" t="inlineStr">
        <is>
          <t>№</t>
        </is>
      </c>
      <c r="B4" s="3" t="inlineStr">
        <is>
          <t>Диаметр</t>
        </is>
      </c>
      <c r="C4" s="3" t="inlineStr">
        <is>
          <t>Наименование</t>
        </is>
      </c>
      <c r="D4" s="3" t="inlineStr">
        <is>
          <t>Чертеж</t>
        </is>
      </c>
      <c r="E4" s="3" t="inlineStr">
        <is>
          <t>Материал</t>
        </is>
      </c>
      <c r="F4" s="3" t="inlineStr">
        <is>
          <t>Наличие</t>
        </is>
      </c>
      <c r="G4" s="3" t="inlineStr">
        <is>
          <t>Цена за ед., руб</t>
        </is>
      </c>
      <c r="H4" s="3" t="inlineStr">
        <is>
          <t>Сумма, руб</t>
        </is>
      </c>
      <c r="I4" s="3" t="inlineStr">
        <is>
          <t>Состояние</t>
        </is>
      </c>
      <c r="J4" s="3" t="inlineStr">
        <is>
          <t>Комплектность</t>
        </is>
      </c>
      <c r="K4" s="3" t="inlineStr">
        <is>
          <t>Локация</t>
        </is>
      </c>
    </row>
    <row r="5">
      <c r="A5" s="4" t="inlineStr">
        <is>
          <t>Фильтры забортной воды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>
        <v>1</v>
      </c>
      <c r="B6" s="5" t="inlineStr">
        <is>
          <t>Ду50</t>
        </is>
      </c>
      <c r="C6" s="6" t="inlineStr">
        <is>
          <t>Фильтр забортной воды Ду 50</t>
        </is>
      </c>
      <c r="D6" s="5" t="inlineStr"/>
      <c r="E6" s="5" t="inlineStr"/>
      <c r="F6" s="5" t="n">
        <v>1</v>
      </c>
      <c r="G6" s="7" t="n">
        <v>60000</v>
      </c>
      <c r="H6" s="7" t="n">
        <v>60000</v>
      </c>
      <c r="I6" s="5" t="inlineStr">
        <is>
          <t>не указано</t>
        </is>
      </c>
      <c r="J6" s="5" t="inlineStr">
        <is>
          <t>комплект</t>
        </is>
      </c>
      <c r="K6" s="5" t="inlineStr">
        <is>
          <t>Фойе</t>
        </is>
      </c>
    </row>
    <row r="7">
      <c r="A7" s="5" t="n">
        <v>2</v>
      </c>
      <c r="B7" s="5" t="inlineStr">
        <is>
          <t>Ду100</t>
        </is>
      </c>
      <c r="C7" s="6" t="inlineStr">
        <is>
          <t>Фильтр фланц.прох. забортной воды Ду100 Ру4</t>
        </is>
      </c>
      <c r="D7" s="5" t="inlineStr">
        <is>
          <t>427-03-109-2</t>
        </is>
      </c>
      <c r="E7" s="5" t="inlineStr"/>
      <c r="F7" s="5" t="n">
        <v>3</v>
      </c>
      <c r="G7" s="7" t="n">
        <v>120000</v>
      </c>
      <c r="H7" s="7" t="n">
        <v>360000</v>
      </c>
      <c r="I7" s="5" t="inlineStr">
        <is>
          <t>не указано</t>
        </is>
      </c>
      <c r="J7" s="5" t="inlineStr">
        <is>
          <t>комплект</t>
        </is>
      </c>
      <c r="K7" s="5" t="inlineStr">
        <is>
          <t>Склад 2</t>
        </is>
      </c>
    </row>
    <row r="8">
      <c r="A8" s="5" t="n">
        <v>3</v>
      </c>
      <c r="B8" s="5" t="inlineStr">
        <is>
          <t>Ду100</t>
        </is>
      </c>
      <c r="C8" s="6" t="inlineStr">
        <is>
          <t>Фильтр забортной воды Ду 100</t>
        </is>
      </c>
      <c r="D8" s="5" t="inlineStr"/>
      <c r="E8" s="5" t="inlineStr"/>
      <c r="F8" s="5" t="n">
        <v>1</v>
      </c>
      <c r="G8" s="7" t="n">
        <v>120000</v>
      </c>
      <c r="H8" s="7" t="n">
        <v>120000</v>
      </c>
      <c r="I8" s="5" t="inlineStr">
        <is>
          <t>не указано</t>
        </is>
      </c>
      <c r="J8" s="5" t="inlineStr">
        <is>
          <t>комплект</t>
        </is>
      </c>
      <c r="K8" s="5" t="inlineStr">
        <is>
          <t>Фойе</t>
        </is>
      </c>
    </row>
    <row r="9">
      <c r="A9" s="5" t="n">
        <v>4</v>
      </c>
      <c r="B9" s="5" t="inlineStr">
        <is>
          <t>Ду150</t>
        </is>
      </c>
      <c r="C9" s="6" t="inlineStr">
        <is>
          <t>Фильтр заборной воды ДУ 150</t>
        </is>
      </c>
      <c r="D9" s="5" t="inlineStr"/>
      <c r="E9" s="5" t="inlineStr"/>
      <c r="F9" s="5" t="n">
        <v>5</v>
      </c>
      <c r="G9" s="7" t="n">
        <v>150000</v>
      </c>
      <c r="H9" s="7" t="n">
        <v>750000</v>
      </c>
      <c r="I9" s="5" t="inlineStr">
        <is>
          <t>не указано</t>
        </is>
      </c>
      <c r="J9" s="5" t="inlineStr">
        <is>
          <t>комплект</t>
        </is>
      </c>
      <c r="K9" s="5" t="inlineStr">
        <is>
          <t>Фойе</t>
        </is>
      </c>
    </row>
    <row r="10">
      <c r="A10" s="5" t="n">
        <v>5</v>
      </c>
      <c r="B10" s="5" t="inlineStr">
        <is>
          <t>Ду200</t>
        </is>
      </c>
      <c r="C10" s="6" t="inlineStr">
        <is>
          <t>Фильтр забортной воды Ду200 Большой</t>
        </is>
      </c>
      <c r="D10" s="5" t="inlineStr"/>
      <c r="E10" s="5" t="inlineStr"/>
      <c r="F10" s="5" t="n">
        <v>8</v>
      </c>
      <c r="G10" s="7" t="n">
        <v>250000</v>
      </c>
      <c r="H10" s="7" t="n">
        <v>2000000</v>
      </c>
      <c r="I10" s="5" t="inlineStr">
        <is>
          <t>не указано</t>
        </is>
      </c>
      <c r="J10" s="5" t="inlineStr">
        <is>
          <t>комплект</t>
        </is>
      </c>
      <c r="K10" s="5" t="inlineStr">
        <is>
          <t>Фойе</t>
        </is>
      </c>
    </row>
    <row r="11">
      <c r="A11" s="5" t="n">
        <v>6</v>
      </c>
      <c r="B11" s="5" t="inlineStr">
        <is>
          <t>Ду300</t>
        </is>
      </c>
      <c r="C11" s="6" t="inlineStr">
        <is>
          <t>Фильтр забортной воды Ду 300</t>
        </is>
      </c>
      <c r="D11" s="5" t="inlineStr"/>
      <c r="E11" s="5" t="inlineStr"/>
      <c r="F11" s="5" t="n">
        <v>1</v>
      </c>
      <c r="G11" s="7" t="n">
        <v>400000</v>
      </c>
      <c r="H11" s="7" t="n">
        <v>400000</v>
      </c>
      <c r="I11" s="5" t="inlineStr">
        <is>
          <t>не указано</t>
        </is>
      </c>
      <c r="J11" s="5" t="inlineStr">
        <is>
          <t>комплект</t>
        </is>
      </c>
      <c r="K11" s="5" t="inlineStr">
        <is>
          <t>Фойе</t>
        </is>
      </c>
    </row>
    <row r="12">
      <c r="C12" s="8" t="inlineStr">
        <is>
          <t>Итого: фильтры забортной воды</t>
        </is>
      </c>
      <c r="F12" s="9">
        <f>SUM(F6:F11)</f>
        <v/>
      </c>
      <c r="H12" s="10">
        <f>SUM(H6:H11)</f>
        <v/>
      </c>
    </row>
    <row r="14">
      <c r="A14" s="4" t="inlineStr">
        <is>
          <t>Сетки и комплектующие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n">
        <v>7</v>
      </c>
      <c r="B15" s="5" t="inlineStr">
        <is>
          <t>Ду100</t>
        </is>
      </c>
      <c r="C15" s="6" t="inlineStr">
        <is>
          <t>Сетка на фильтр Ду100 или Ду80</t>
        </is>
      </c>
      <c r="D15" s="5" t="inlineStr"/>
      <c r="E15" s="5" t="inlineStr"/>
      <c r="F15" s="5" t="n">
        <v>2</v>
      </c>
      <c r="G15" s="7" t="n">
        <v>10000</v>
      </c>
      <c r="H15" s="7" t="n">
        <v>20000</v>
      </c>
      <c r="I15" s="5" t="inlineStr">
        <is>
          <t>не указано</t>
        </is>
      </c>
      <c r="J15" s="5" t="inlineStr">
        <is>
          <t>комплект</t>
        </is>
      </c>
      <c r="K15" s="5" t="inlineStr">
        <is>
          <t>Склад 2</t>
        </is>
      </c>
    </row>
    <row r="16">
      <c r="A16" s="5" t="n">
        <v>8</v>
      </c>
      <c r="B16" s="5" t="inlineStr">
        <is>
          <t>Ду100</t>
        </is>
      </c>
      <c r="C16" s="6" t="inlineStr">
        <is>
          <t>Сетка на фильтр Ду100 (медь) на кингстон РС-300</t>
        </is>
      </c>
      <c r="D16" s="5" t="inlineStr"/>
      <c r="E16" s="5" t="inlineStr">
        <is>
          <t>медь</t>
        </is>
      </c>
      <c r="F16" s="5" t="n">
        <v>2</v>
      </c>
      <c r="G16" s="7" t="n">
        <v>10000</v>
      </c>
      <c r="H16" s="7" t="n">
        <v>20000</v>
      </c>
      <c r="I16" s="5" t="inlineStr">
        <is>
          <t>не указано</t>
        </is>
      </c>
      <c r="J16" s="5" t="inlineStr">
        <is>
          <t>комплект</t>
        </is>
      </c>
      <c r="K16" s="5" t="inlineStr">
        <is>
          <t>Склад 2</t>
        </is>
      </c>
    </row>
    <row r="17">
      <c r="A17" s="5" t="n">
        <v>9</v>
      </c>
      <c r="B17" s="5" t="inlineStr">
        <is>
          <t>Ду20</t>
        </is>
      </c>
      <c r="C17" s="6" t="inlineStr">
        <is>
          <t>Сетка на фильтр Ду20 маленькая</t>
        </is>
      </c>
      <c r="D17" s="5" t="inlineStr"/>
      <c r="E17" s="5" t="inlineStr"/>
      <c r="F17" s="5" t="n">
        <v>1</v>
      </c>
      <c r="G17" s="7" t="n">
        <v>3000</v>
      </c>
      <c r="H17" s="7" t="n">
        <v>3000</v>
      </c>
      <c r="I17" s="5" t="inlineStr">
        <is>
          <t>не указано</t>
        </is>
      </c>
      <c r="J17" s="5" t="inlineStr">
        <is>
          <t>комплект</t>
        </is>
      </c>
      <c r="K17" s="5" t="inlineStr">
        <is>
          <t>Склад 2</t>
        </is>
      </c>
    </row>
    <row r="18">
      <c r="C18" s="8" t="inlineStr">
        <is>
          <t>Итого: сетки и комплектующие</t>
        </is>
      </c>
      <c r="F18" s="9">
        <f>SUM(F15:F17)</f>
        <v/>
      </c>
      <c r="H18" s="10">
        <f>SUM(H15:H17)</f>
        <v/>
      </c>
    </row>
    <row r="20">
      <c r="A20" s="1" t="inlineStr">
        <is>
          <t>Сколько чего по диаметрам</t>
        </is>
      </c>
    </row>
    <row r="21" ht="22" customHeight="1">
      <c r="A21" s="3" t="inlineStr">
        <is>
          <t>Диаметр</t>
        </is>
      </c>
      <c r="B21" s="3" t="inlineStr">
        <is>
          <t>Штук</t>
        </is>
      </c>
      <c r="C21" s="3" t="inlineStr">
        <is>
          <t>Сумма, руб</t>
        </is>
      </c>
    </row>
    <row r="22">
      <c r="A22" s="11" t="inlineStr">
        <is>
          <t>Ду50</t>
        </is>
      </c>
      <c r="B22" s="11" t="n">
        <v>1</v>
      </c>
      <c r="C22" s="12" t="n">
        <v>60000</v>
      </c>
    </row>
    <row r="23">
      <c r="A23" s="11" t="inlineStr">
        <is>
          <t>Ду100</t>
        </is>
      </c>
      <c r="B23" s="11" t="n">
        <v>4</v>
      </c>
      <c r="C23" s="12" t="n">
        <v>480000</v>
      </c>
    </row>
    <row r="24">
      <c r="A24" s="11" t="inlineStr">
        <is>
          <t>Ду150</t>
        </is>
      </c>
      <c r="B24" s="11" t="n">
        <v>5</v>
      </c>
      <c r="C24" s="12" t="n">
        <v>750000</v>
      </c>
    </row>
    <row r="25">
      <c r="A25" s="11" t="inlineStr">
        <is>
          <t>Ду200</t>
        </is>
      </c>
      <c r="B25" s="11" t="n">
        <v>8</v>
      </c>
      <c r="C25" s="12" t="n">
        <v>2000000</v>
      </c>
    </row>
    <row r="26">
      <c r="A26" s="11" t="inlineStr">
        <is>
          <t>Ду300</t>
        </is>
      </c>
      <c r="B26" s="11" t="n">
        <v>1</v>
      </c>
      <c r="C26" s="12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4" customWidth="1" min="3" max="3"/>
    <col width="20" customWidth="1" min="4" max="4"/>
    <col width="12" customWidth="1" min="5" max="5"/>
    <col width="10" customWidth="1" min="6" max="6"/>
    <col width="15" customWidth="1" min="7" max="7"/>
    <col width="15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Клинкеты, они же задвижки клинкетные: все, что есть на складе (клинкет и задвижка клинкетная — одно и то же)</t>
        </is>
      </c>
    </row>
    <row r="2">
      <c r="A2" s="2" t="inlineStr">
        <is>
          <t>Количества по учету на 16.06.2025 и не подтверждены инвентаризацией. Перед отправкой покупателю пересчитать.</t>
        </is>
      </c>
    </row>
    <row r="4" ht="30" customHeight="1">
      <c r="A4" s="3" t="inlineStr">
        <is>
          <t>№</t>
        </is>
      </c>
      <c r="B4" s="3" t="inlineStr">
        <is>
          <t>Диаметр</t>
        </is>
      </c>
      <c r="C4" s="3" t="inlineStr">
        <is>
          <t>Наименование</t>
        </is>
      </c>
      <c r="D4" s="3" t="inlineStr">
        <is>
          <t>Чертеж</t>
        </is>
      </c>
      <c r="E4" s="3" t="inlineStr">
        <is>
          <t>Материал</t>
        </is>
      </c>
      <c r="F4" s="3" t="inlineStr">
        <is>
          <t>Наличие</t>
        </is>
      </c>
      <c r="G4" s="3" t="inlineStr">
        <is>
          <t>Цена за ед., руб</t>
        </is>
      </c>
      <c r="H4" s="3" t="inlineStr">
        <is>
          <t>Сумма, руб</t>
        </is>
      </c>
      <c r="I4" s="3" t="inlineStr">
        <is>
          <t>Состояние</t>
        </is>
      </c>
      <c r="J4" s="3" t="inlineStr">
        <is>
          <t>Комплектность</t>
        </is>
      </c>
      <c r="K4" s="3" t="inlineStr">
        <is>
          <t>Локация</t>
        </is>
      </c>
    </row>
    <row r="5">
      <c r="A5" s="4" t="inlineStr">
        <is>
          <t>Клинкеты (задвижки клинкетные)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>
        <v>1</v>
      </c>
      <c r="B6" s="5" t="inlineStr">
        <is>
          <t>Ду50</t>
        </is>
      </c>
      <c r="C6" s="6" t="inlineStr">
        <is>
          <t>Задвижка клинкетная Ду 50, без клиньев</t>
        </is>
      </c>
      <c r="D6" s="5" t="inlineStr"/>
      <c r="E6" s="5" t="inlineStr"/>
      <c r="F6" s="5" t="n">
        <v>1</v>
      </c>
      <c r="G6" s="7" t="n">
        <v>25000</v>
      </c>
      <c r="H6" s="7" t="n">
        <v>25000</v>
      </c>
      <c r="I6" s="5" t="inlineStr">
        <is>
          <t>не указано</t>
        </is>
      </c>
      <c r="J6" s="5" t="inlineStr">
        <is>
          <t>не комплект</t>
        </is>
      </c>
      <c r="K6" s="5" t="inlineStr">
        <is>
          <t>Склад 1А/1Б</t>
        </is>
      </c>
    </row>
    <row r="7">
      <c r="A7" s="5" t="n">
        <v>2</v>
      </c>
      <c r="B7" s="5" t="inlineStr">
        <is>
          <t>Ду60</t>
        </is>
      </c>
      <c r="C7" s="6" t="inlineStr">
        <is>
          <t>Задвижка клинкетная Ду60</t>
        </is>
      </c>
      <c r="D7" s="5" t="inlineStr"/>
      <c r="E7" s="5" t="inlineStr"/>
      <c r="F7" s="5" t="n">
        <v>1</v>
      </c>
      <c r="G7" s="7" t="n">
        <v>18000</v>
      </c>
      <c r="H7" s="7" t="n">
        <v>18000</v>
      </c>
      <c r="I7" s="5" t="inlineStr">
        <is>
          <t>не указано</t>
        </is>
      </c>
      <c r="J7" s="5" t="inlineStr">
        <is>
          <t>комплект</t>
        </is>
      </c>
      <c r="K7" s="5" t="inlineStr">
        <is>
          <t>Склад 1А/1Б</t>
        </is>
      </c>
    </row>
    <row r="8">
      <c r="A8" s="5" t="n">
        <v>3</v>
      </c>
      <c r="B8" s="5" t="inlineStr">
        <is>
          <t>Ду60</t>
        </is>
      </c>
      <c r="C8" s="6" t="inlineStr">
        <is>
          <t>Задвижка клинкетная Ду60</t>
        </is>
      </c>
      <c r="D8" s="5" t="inlineStr"/>
      <c r="E8" s="5" t="inlineStr"/>
      <c r="F8" s="5" t="n">
        <v>1</v>
      </c>
      <c r="G8" s="7" t="n">
        <v>18000</v>
      </c>
      <c r="H8" s="7" t="n">
        <v>18000</v>
      </c>
      <c r="I8" s="5" t="inlineStr">
        <is>
          <t>не указано</t>
        </is>
      </c>
      <c r="J8" s="5" t="inlineStr">
        <is>
          <t>комплект</t>
        </is>
      </c>
      <c r="K8" s="5" t="inlineStr">
        <is>
          <t>Склад 3</t>
        </is>
      </c>
    </row>
    <row r="9">
      <c r="A9" s="5" t="n">
        <v>4</v>
      </c>
      <c r="B9" s="5" t="inlineStr">
        <is>
          <t>Ду65</t>
        </is>
      </c>
      <c r="C9" s="6" t="inlineStr">
        <is>
          <t>Задвижка клинкетная Ду65</t>
        </is>
      </c>
      <c r="D9" s="5" t="inlineStr"/>
      <c r="E9" s="5" t="inlineStr"/>
      <c r="F9" s="5" t="n">
        <v>16</v>
      </c>
      <c r="G9" s="7" t="n">
        <v>27000</v>
      </c>
      <c r="H9" s="7" t="n">
        <v>432000</v>
      </c>
      <c r="I9" s="5" t="inlineStr">
        <is>
          <t>не указано</t>
        </is>
      </c>
      <c r="J9" s="5" t="inlineStr">
        <is>
          <t>комплект</t>
        </is>
      </c>
      <c r="K9" s="5" t="inlineStr">
        <is>
          <t>Склад 3</t>
        </is>
      </c>
    </row>
    <row r="10">
      <c r="A10" s="5" t="n">
        <v>5</v>
      </c>
      <c r="B10" s="5" t="inlineStr">
        <is>
          <t>Ду70</t>
        </is>
      </c>
      <c r="C10" s="6" t="inlineStr">
        <is>
          <t>Задвижка клинкетная фланцевая Ду70 Ру6</t>
        </is>
      </c>
      <c r="D10" s="5" t="inlineStr"/>
      <c r="E10" s="5" t="inlineStr"/>
      <c r="F10" s="5" t="n">
        <v>7</v>
      </c>
      <c r="G10" s="7" t="n">
        <v>27000</v>
      </c>
      <c r="H10" s="7" t="n">
        <v>189000</v>
      </c>
      <c r="I10" s="5" t="inlineStr">
        <is>
          <t>не указано</t>
        </is>
      </c>
      <c r="J10" s="5" t="inlineStr">
        <is>
          <t>комплект</t>
        </is>
      </c>
      <c r="K10" s="5" t="inlineStr">
        <is>
          <t>Склад 3</t>
        </is>
      </c>
    </row>
    <row r="11">
      <c r="A11" s="5" t="n">
        <v>6</v>
      </c>
      <c r="B11" s="5" t="inlineStr">
        <is>
          <t>Ду80</t>
        </is>
      </c>
      <c r="C11" s="6" t="inlineStr">
        <is>
          <t>Задвижка клинкетная ДУ 80, сталь</t>
        </is>
      </c>
      <c r="D11" s="5" t="inlineStr"/>
      <c r="E11" s="5" t="inlineStr">
        <is>
          <t>сталь</t>
        </is>
      </c>
      <c r="F11" s="5" t="n">
        <v>1</v>
      </c>
      <c r="G11" s="7" t="n">
        <v>22000</v>
      </c>
      <c r="H11" s="7" t="n">
        <v>22000</v>
      </c>
      <c r="I11" s="5" t="inlineStr">
        <is>
          <t>не указано</t>
        </is>
      </c>
      <c r="J11" s="5" t="inlineStr">
        <is>
          <t>комплект</t>
        </is>
      </c>
      <c r="K11" s="5" t="inlineStr">
        <is>
          <t>Склад 1А/1Б</t>
        </is>
      </c>
    </row>
    <row r="12">
      <c r="A12" s="5" t="n">
        <v>7</v>
      </c>
      <c r="B12" s="5" t="inlineStr">
        <is>
          <t>Ду80</t>
        </is>
      </c>
      <c r="C12" s="6" t="inlineStr">
        <is>
          <t>Задвижка клинкетная Ду 80 БРОНЗА</t>
        </is>
      </c>
      <c r="D12" s="5" t="inlineStr"/>
      <c r="E12" s="5" t="inlineStr">
        <is>
          <t>бронза</t>
        </is>
      </c>
      <c r="F12" s="5" t="n">
        <v>44</v>
      </c>
      <c r="G12" s="7" t="n">
        <v>24000</v>
      </c>
      <c r="H12" s="7" t="n">
        <v>1056000</v>
      </c>
      <c r="I12" s="5" t="inlineStr">
        <is>
          <t>не указано</t>
        </is>
      </c>
      <c r="J12" s="5" t="inlineStr">
        <is>
          <t>комплект</t>
        </is>
      </c>
      <c r="K12" s="5" t="inlineStr">
        <is>
          <t>Склад 1А/1Б</t>
        </is>
      </c>
    </row>
    <row r="13">
      <c r="A13" s="5" t="n">
        <v>8</v>
      </c>
      <c r="B13" s="5" t="inlineStr">
        <is>
          <t>Ду80</t>
        </is>
      </c>
      <c r="C13" s="6" t="inlineStr">
        <is>
          <t>Задвижка клинкетная Ду80 ( в разборе)</t>
        </is>
      </c>
      <c r="D13" s="5" t="inlineStr"/>
      <c r="E13" s="5" t="inlineStr"/>
      <c r="F13" s="5" t="n">
        <v>2</v>
      </c>
      <c r="G13" s="7" t="n">
        <v>24000</v>
      </c>
      <c r="H13" s="7" t="n">
        <v>48000</v>
      </c>
      <c r="I13" s="5" t="inlineStr">
        <is>
          <t>не указано</t>
        </is>
      </c>
      <c r="J13" s="5" t="inlineStr">
        <is>
          <t>не комплект</t>
        </is>
      </c>
      <c r="K13" s="5" t="inlineStr">
        <is>
          <t>Склад 1А/1Б</t>
        </is>
      </c>
    </row>
    <row r="14">
      <c r="A14" s="5" t="n">
        <v>9</v>
      </c>
      <c r="B14" s="5" t="inlineStr">
        <is>
          <t>Ду80</t>
        </is>
      </c>
      <c r="C14" s="6" t="inlineStr">
        <is>
          <t>Задвижка клинкетная фланцевая Ду80 Ру6</t>
        </is>
      </c>
      <c r="D14" s="5" t="inlineStr"/>
      <c r="E14" s="5" t="inlineStr"/>
      <c r="F14" s="5" t="n">
        <v>18</v>
      </c>
      <c r="G14" s="7" t="n">
        <v>32000</v>
      </c>
      <c r="H14" s="7" t="n">
        <v>576000</v>
      </c>
      <c r="I14" s="5" t="inlineStr">
        <is>
          <t>не указано</t>
        </is>
      </c>
      <c r="J14" s="5" t="inlineStr">
        <is>
          <t>комплект</t>
        </is>
      </c>
      <c r="K14" s="5" t="inlineStr">
        <is>
          <t>Склад 3</t>
        </is>
      </c>
    </row>
    <row r="15">
      <c r="A15" s="5" t="n">
        <v>10</v>
      </c>
      <c r="B15" s="5" t="inlineStr">
        <is>
          <t>Ду100</t>
        </is>
      </c>
      <c r="C15" s="6" t="inlineStr">
        <is>
          <t>Задвижка клинкетная Ду 100 БРОНЗА</t>
        </is>
      </c>
      <c r="D15" s="5" t="inlineStr"/>
      <c r="E15" s="5" t="inlineStr">
        <is>
          <t>бронза</t>
        </is>
      </c>
      <c r="F15" s="5" t="n">
        <v>2</v>
      </c>
      <c r="G15" s="7" t="n">
        <v>35000</v>
      </c>
      <c r="H15" s="7" t="n">
        <v>70000</v>
      </c>
      <c r="I15" s="5" t="inlineStr">
        <is>
          <t>не указано</t>
        </is>
      </c>
      <c r="J15" s="5" t="inlineStr">
        <is>
          <t>комплект</t>
        </is>
      </c>
      <c r="K15" s="5" t="inlineStr">
        <is>
          <t>Склад 1А/1Б</t>
        </is>
      </c>
    </row>
    <row r="16">
      <c r="A16" s="5" t="n">
        <v>11</v>
      </c>
      <c r="B16" s="5" t="inlineStr">
        <is>
          <t>Ду100</t>
        </is>
      </c>
      <c r="C16" s="6" t="inlineStr">
        <is>
          <t>Задвижка клинкетная Ду100</t>
        </is>
      </c>
      <c r="D16" s="5" t="inlineStr"/>
      <c r="E16" s="5" t="inlineStr"/>
      <c r="F16" s="5" t="n">
        <v>6</v>
      </c>
      <c r="G16" s="7" t="n">
        <v>38000</v>
      </c>
      <c r="H16" s="7" t="n">
        <v>228000</v>
      </c>
      <c r="I16" s="5" t="inlineStr">
        <is>
          <t>не указано</t>
        </is>
      </c>
      <c r="J16" s="5" t="inlineStr">
        <is>
          <t>комплект</t>
        </is>
      </c>
      <c r="K16" s="5" t="inlineStr">
        <is>
          <t>Склад 3</t>
        </is>
      </c>
    </row>
    <row r="17">
      <c r="A17" s="5" t="n">
        <v>12</v>
      </c>
      <c r="B17" s="5" t="inlineStr">
        <is>
          <t>Ду100</t>
        </is>
      </c>
      <c r="C17" s="6" t="inlineStr">
        <is>
          <t>Задвижка клинкетная Ду100</t>
        </is>
      </c>
      <c r="D17" s="5" t="inlineStr"/>
      <c r="E17" s="5" t="inlineStr"/>
      <c r="F17" s="5" t="n">
        <v>43</v>
      </c>
      <c r="G17" s="7" t="n">
        <v>38000</v>
      </c>
      <c r="H17" s="7" t="n">
        <v>1634000</v>
      </c>
      <c r="I17" s="5" t="inlineStr">
        <is>
          <t>не указано</t>
        </is>
      </c>
      <c r="J17" s="5" t="inlineStr">
        <is>
          <t>комплект</t>
        </is>
      </c>
      <c r="K17" s="5" t="inlineStr">
        <is>
          <t>Склад 3</t>
        </is>
      </c>
    </row>
    <row r="18">
      <c r="A18" s="5" t="n">
        <v>13</v>
      </c>
      <c r="B18" s="5" t="inlineStr">
        <is>
          <t>Ду100</t>
        </is>
      </c>
      <c r="C18" s="6" t="inlineStr">
        <is>
          <t>Задвижка клинкетная Ду100 без штока и блинов ( в разборе)</t>
        </is>
      </c>
      <c r="D18" s="5" t="inlineStr"/>
      <c r="E18" s="5" t="inlineStr"/>
      <c r="F18" s="5" t="n">
        <v>1</v>
      </c>
      <c r="G18" s="7" t="n">
        <v>35000</v>
      </c>
      <c r="H18" s="7" t="n">
        <v>35000</v>
      </c>
      <c r="I18" s="5" t="inlineStr">
        <is>
          <t>новый</t>
        </is>
      </c>
      <c r="J18" s="5" t="inlineStr">
        <is>
          <t>не комплект</t>
        </is>
      </c>
      <c r="K18" s="5" t="inlineStr">
        <is>
          <t>Склад 1А/1Б</t>
        </is>
      </c>
    </row>
    <row r="19">
      <c r="A19" s="5" t="n">
        <v>14</v>
      </c>
      <c r="B19" s="5" t="inlineStr">
        <is>
          <t>Ду100</t>
        </is>
      </c>
      <c r="C19" s="6" t="inlineStr">
        <is>
          <t>Клинкет Ду 100, сталь</t>
        </is>
      </c>
      <c r="D19" s="5" t="inlineStr"/>
      <c r="E19" s="5" t="inlineStr">
        <is>
          <t>сталь</t>
        </is>
      </c>
      <c r="F19" s="5" t="n">
        <v>2</v>
      </c>
      <c r="G19" s="7" t="n">
        <v>30000</v>
      </c>
      <c r="H19" s="7" t="n">
        <v>60000</v>
      </c>
      <c r="I19" s="5" t="inlineStr">
        <is>
          <t>не указано</t>
        </is>
      </c>
      <c r="J19" s="5" t="inlineStr">
        <is>
          <t>комплект</t>
        </is>
      </c>
      <c r="K19" s="5" t="inlineStr">
        <is>
          <t>Фойе</t>
        </is>
      </c>
    </row>
    <row r="20">
      <c r="A20" s="5" t="n">
        <v>15</v>
      </c>
      <c r="B20" s="5" t="inlineStr">
        <is>
          <t>Ду200</t>
        </is>
      </c>
      <c r="C20" s="6" t="inlineStr">
        <is>
          <t>Клинкет Ду 200</t>
        </is>
      </c>
      <c r="D20" s="5" t="inlineStr"/>
      <c r="E20" s="5" t="inlineStr"/>
      <c r="F20" s="5" t="n">
        <v>11</v>
      </c>
      <c r="G20" s="7" t="n">
        <v>150000</v>
      </c>
      <c r="H20" s="7" t="n">
        <v>1650000</v>
      </c>
      <c r="I20" s="5" t="inlineStr">
        <is>
          <t>не указано</t>
        </is>
      </c>
      <c r="J20" s="5" t="inlineStr">
        <is>
          <t>комплект</t>
        </is>
      </c>
      <c r="K20" s="5" t="inlineStr">
        <is>
          <t>Фойе</t>
        </is>
      </c>
    </row>
    <row r="21">
      <c r="A21" s="5" t="n">
        <v>16</v>
      </c>
      <c r="B21" s="5" t="inlineStr">
        <is>
          <t>Ду250</t>
        </is>
      </c>
      <c r="C21" s="6" t="inlineStr">
        <is>
          <t>Задвижка клинкетная Ду 250</t>
        </is>
      </c>
      <c r="D21" s="5" t="inlineStr"/>
      <c r="E21" s="5" t="inlineStr"/>
      <c r="F21" s="5" t="n">
        <v>17</v>
      </c>
      <c r="G21" s="7" t="n">
        <v>150000</v>
      </c>
      <c r="H21" s="7" t="n">
        <v>2550000</v>
      </c>
      <c r="I21" s="5" t="inlineStr">
        <is>
          <t>не указано</t>
        </is>
      </c>
      <c r="J21" s="5" t="inlineStr">
        <is>
          <t>комплект</t>
        </is>
      </c>
      <c r="K21" s="5" t="inlineStr">
        <is>
          <t>Склад 1А/1Б</t>
        </is>
      </c>
    </row>
    <row r="22">
      <c r="A22" s="5" t="n">
        <v>17</v>
      </c>
      <c r="B22" s="5" t="inlineStr">
        <is>
          <t>Ду250</t>
        </is>
      </c>
      <c r="C22" s="6" t="inlineStr">
        <is>
          <t>Клинкет Ду 250</t>
        </is>
      </c>
      <c r="D22" s="5" t="inlineStr"/>
      <c r="E22" s="5" t="inlineStr"/>
      <c r="F22" s="5" t="n">
        <v>2</v>
      </c>
      <c r="G22" s="7" t="n">
        <v>200000</v>
      </c>
      <c r="H22" s="7" t="n">
        <v>400000</v>
      </c>
      <c r="I22" s="5" t="inlineStr">
        <is>
          <t>не указано</t>
        </is>
      </c>
      <c r="J22" s="5" t="inlineStr">
        <is>
          <t>комплект</t>
        </is>
      </c>
      <c r="K22" s="5" t="inlineStr">
        <is>
          <t>Фойе</t>
        </is>
      </c>
    </row>
    <row r="23">
      <c r="A23" s="5" t="n">
        <v>18</v>
      </c>
      <c r="B23" s="5" t="inlineStr">
        <is>
          <t>Ду250</t>
        </is>
      </c>
      <c r="C23" s="6" t="inlineStr">
        <is>
          <t>Клинкет Ду 250 не комплект</t>
        </is>
      </c>
      <c r="D23" s="5" t="inlineStr"/>
      <c r="E23" s="5" t="inlineStr"/>
      <c r="F23" s="5" t="n">
        <v>2</v>
      </c>
      <c r="G23" s="7" t="n">
        <v>200000</v>
      </c>
      <c r="H23" s="7" t="n">
        <v>400000</v>
      </c>
      <c r="I23" s="5" t="inlineStr">
        <is>
          <t>не указано</t>
        </is>
      </c>
      <c r="J23" s="5" t="inlineStr">
        <is>
          <t>не комплект</t>
        </is>
      </c>
      <c r="K23" s="5" t="inlineStr">
        <is>
          <t>Фойе</t>
        </is>
      </c>
    </row>
    <row r="24">
      <c r="A24" s="5" t="n">
        <v>19</v>
      </c>
      <c r="B24" s="5" t="inlineStr">
        <is>
          <t>Ду300</t>
        </is>
      </c>
      <c r="C24" s="6" t="inlineStr">
        <is>
          <t>Задвижка клинкетная стальная Ду300</t>
        </is>
      </c>
      <c r="D24" s="5" t="inlineStr">
        <is>
          <t>544-03.067</t>
        </is>
      </c>
      <c r="E24" s="5" t="inlineStr">
        <is>
          <t>сталь</t>
        </is>
      </c>
      <c r="F24" s="5" t="n">
        <v>2</v>
      </c>
      <c r="G24" s="7" t="n">
        <v>75000</v>
      </c>
      <c r="H24" s="7" t="n">
        <v>150000</v>
      </c>
      <c r="I24" s="5" t="inlineStr">
        <is>
          <t>не указано</t>
        </is>
      </c>
      <c r="J24" s="5" t="inlineStr">
        <is>
          <t>комплект</t>
        </is>
      </c>
      <c r="K24" s="5" t="inlineStr">
        <is>
          <t>Склад 2</t>
        </is>
      </c>
    </row>
    <row r="25">
      <c r="A25" s="5" t="n">
        <v>20</v>
      </c>
      <c r="B25" s="5" t="inlineStr">
        <is>
          <t>Ду300</t>
        </is>
      </c>
      <c r="C25" s="6" t="inlineStr">
        <is>
          <t>Клинкет Ду 300</t>
        </is>
      </c>
      <c r="D25" s="5" t="inlineStr"/>
      <c r="E25" s="5" t="inlineStr"/>
      <c r="F25" s="5" t="n">
        <v>16</v>
      </c>
      <c r="G25" s="7" t="n">
        <v>250000</v>
      </c>
      <c r="H25" s="7" t="n">
        <v>4000000</v>
      </c>
      <c r="I25" s="5" t="inlineStr">
        <is>
          <t>не указано</t>
        </is>
      </c>
      <c r="J25" s="5" t="inlineStr">
        <is>
          <t>комплект</t>
        </is>
      </c>
      <c r="K25" s="5" t="inlineStr">
        <is>
          <t>Фойе</t>
        </is>
      </c>
    </row>
    <row r="26">
      <c r="A26" s="5" t="n">
        <v>21</v>
      </c>
      <c r="B26" s="5" t="inlineStr">
        <is>
          <t>Ду350</t>
        </is>
      </c>
      <c r="C26" s="6" t="inlineStr">
        <is>
          <t>Клинкет Ду 350</t>
        </is>
      </c>
      <c r="D26" s="5" t="inlineStr"/>
      <c r="E26" s="5" t="inlineStr"/>
      <c r="F26" s="5" t="n">
        <v>1</v>
      </c>
      <c r="G26" s="7" t="n">
        <v>300000</v>
      </c>
      <c r="H26" s="7" t="n">
        <v>300000</v>
      </c>
      <c r="I26" s="5" t="inlineStr">
        <is>
          <t>не указано</t>
        </is>
      </c>
      <c r="J26" s="5" t="inlineStr">
        <is>
          <t>комплект</t>
        </is>
      </c>
      <c r="K26" s="5" t="inlineStr">
        <is>
          <t>Фойе</t>
        </is>
      </c>
    </row>
    <row r="27">
      <c r="C27" s="8" t="inlineStr">
        <is>
          <t>Итого: клинкеты (задвижки клинкетные)</t>
        </is>
      </c>
      <c r="F27" s="9">
        <f>SUM(F6:F26)</f>
        <v/>
      </c>
      <c r="H27" s="10">
        <f>SUM(H6:H26)</f>
        <v/>
      </c>
    </row>
    <row r="29">
      <c r="A29" s="4" t="inlineStr">
        <is>
          <t>Комплектующие и приводы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n">
        <v>22</v>
      </c>
      <c r="B30" s="5" t="inlineStr">
        <is>
          <t>не указан</t>
        </is>
      </c>
      <c r="C30" s="6" t="inlineStr">
        <is>
          <t>Электропривод к задвижке</t>
        </is>
      </c>
      <c r="D30" s="5" t="inlineStr"/>
      <c r="E30" s="5" t="inlineStr"/>
      <c r="F30" s="5" t="n">
        <v>1</v>
      </c>
      <c r="G30" s="7" t="n">
        <v>50000</v>
      </c>
      <c r="H30" s="7" t="n">
        <v>50000</v>
      </c>
      <c r="I30" s="5" t="inlineStr">
        <is>
          <t>не указано</t>
        </is>
      </c>
      <c r="J30" s="5" t="inlineStr">
        <is>
          <t>комплект</t>
        </is>
      </c>
      <c r="K30" s="5" t="inlineStr">
        <is>
          <t>Гараж 2</t>
        </is>
      </c>
    </row>
    <row r="31">
      <c r="A31" s="5" t="n">
        <v>23</v>
      </c>
      <c r="B31" s="5" t="inlineStr">
        <is>
          <t>не указан</t>
        </is>
      </c>
      <c r="C31" s="6" t="inlineStr">
        <is>
          <t>Задвижки (желтая) ок. крышек</t>
        </is>
      </c>
      <c r="D31" s="5" t="inlineStr">
        <is>
          <t>544-03.046</t>
        </is>
      </c>
      <c r="E31" s="5" t="inlineStr"/>
      <c r="F31" s="5" t="n">
        <v>13</v>
      </c>
      <c r="G31" s="13" t="n"/>
      <c r="H31" s="7" t="n"/>
      <c r="I31" s="5" t="inlineStr">
        <is>
          <t>не указано</t>
        </is>
      </c>
      <c r="J31" s="5" t="inlineStr">
        <is>
          <t>комплект</t>
        </is>
      </c>
      <c r="K31" s="5" t="inlineStr">
        <is>
          <t>Склад 3</t>
        </is>
      </c>
    </row>
    <row r="32">
      <c r="A32" s="5" t="n">
        <v>24</v>
      </c>
      <c r="B32" s="5" t="inlineStr">
        <is>
          <t>Ду100</t>
        </is>
      </c>
      <c r="C32" s="6" t="inlineStr">
        <is>
          <t>Блины к клинкету Ду100</t>
        </is>
      </c>
      <c r="D32" s="5" t="inlineStr"/>
      <c r="E32" s="5" t="inlineStr"/>
      <c r="F32" s="5" t="n">
        <v>11</v>
      </c>
      <c r="G32" s="13" t="n"/>
      <c r="H32" s="7" t="n"/>
      <c r="I32" s="5" t="inlineStr">
        <is>
          <t>не указано</t>
        </is>
      </c>
      <c r="J32" s="5" t="inlineStr">
        <is>
          <t>комплект</t>
        </is>
      </c>
      <c r="K32" s="5" t="inlineStr">
        <is>
          <t>Склад электрики</t>
        </is>
      </c>
    </row>
    <row r="33">
      <c r="A33" s="5" t="n">
        <v>25</v>
      </c>
      <c r="B33" s="5" t="inlineStr">
        <is>
          <t>не указан</t>
        </is>
      </c>
      <c r="C33" s="6" t="inlineStr">
        <is>
          <t>Электропривод к задвижке</t>
        </is>
      </c>
      <c r="D33" s="5" t="inlineStr"/>
      <c r="E33" s="5" t="inlineStr"/>
      <c r="F33" s="5" t="n">
        <v>1</v>
      </c>
      <c r="G33" s="13" t="n"/>
      <c r="H33" s="7" t="n"/>
      <c r="I33" s="5" t="inlineStr">
        <is>
          <t>не указано</t>
        </is>
      </c>
      <c r="J33" s="5" t="inlineStr">
        <is>
          <t>комплект</t>
        </is>
      </c>
      <c r="K33" s="5" t="inlineStr">
        <is>
          <t>ЗИП и насосы</t>
        </is>
      </c>
    </row>
    <row r="34">
      <c r="C34" s="8" t="inlineStr">
        <is>
          <t>Итого: комплектующие и приводы</t>
        </is>
      </c>
      <c r="F34" s="9">
        <f>SUM(F30:F33)</f>
        <v/>
      </c>
      <c r="H34" s="10">
        <f>SUM(H30:H33)</f>
        <v/>
      </c>
    </row>
    <row r="36">
      <c r="A36" s="1" t="inlineStr">
        <is>
          <t>Сколько чего по диаметрам</t>
        </is>
      </c>
    </row>
    <row r="37" ht="22" customHeight="1">
      <c r="A37" s="3" t="inlineStr">
        <is>
          <t>Диаметр</t>
        </is>
      </c>
      <c r="B37" s="3" t="inlineStr">
        <is>
          <t>Штук</t>
        </is>
      </c>
      <c r="C37" s="3" t="inlineStr">
        <is>
          <t>Сумма, руб</t>
        </is>
      </c>
    </row>
    <row r="38">
      <c r="A38" s="11" t="inlineStr">
        <is>
          <t>Ду50</t>
        </is>
      </c>
      <c r="B38" s="11" t="n">
        <v>1</v>
      </c>
      <c r="C38" s="12" t="n">
        <v>25000</v>
      </c>
    </row>
    <row r="39">
      <c r="A39" s="11" t="inlineStr">
        <is>
          <t>Ду60</t>
        </is>
      </c>
      <c r="B39" s="11" t="n">
        <v>2</v>
      </c>
      <c r="C39" s="12" t="n">
        <v>36000</v>
      </c>
    </row>
    <row r="40">
      <c r="A40" s="11" t="inlineStr">
        <is>
          <t>Ду65</t>
        </is>
      </c>
      <c r="B40" s="11" t="n">
        <v>16</v>
      </c>
      <c r="C40" s="12" t="n">
        <v>432000</v>
      </c>
    </row>
    <row r="41">
      <c r="A41" s="11" t="inlineStr">
        <is>
          <t>Ду70</t>
        </is>
      </c>
      <c r="B41" s="11" t="n">
        <v>7</v>
      </c>
      <c r="C41" s="12" t="n">
        <v>189000</v>
      </c>
    </row>
    <row r="42">
      <c r="A42" s="11" t="inlineStr">
        <is>
          <t>Ду80</t>
        </is>
      </c>
      <c r="B42" s="11" t="n">
        <v>65</v>
      </c>
      <c r="C42" s="12" t="n">
        <v>1702000</v>
      </c>
    </row>
    <row r="43">
      <c r="A43" s="11" t="inlineStr">
        <is>
          <t>Ду100</t>
        </is>
      </c>
      <c r="B43" s="11" t="n">
        <v>54</v>
      </c>
      <c r="C43" s="12" t="n">
        <v>2027000</v>
      </c>
    </row>
    <row r="44">
      <c r="A44" s="11" t="inlineStr">
        <is>
          <t>Ду200</t>
        </is>
      </c>
      <c r="B44" s="11" t="n">
        <v>11</v>
      </c>
      <c r="C44" s="12" t="n">
        <v>1650000</v>
      </c>
    </row>
    <row r="45">
      <c r="A45" s="11" t="inlineStr">
        <is>
          <t>Ду250</t>
        </is>
      </c>
      <c r="B45" s="11" t="n">
        <v>21</v>
      </c>
      <c r="C45" s="12" t="n">
        <v>3350000</v>
      </c>
    </row>
    <row r="46">
      <c r="A46" s="11" t="inlineStr">
        <is>
          <t>Ду300</t>
        </is>
      </c>
      <c r="B46" s="11" t="n">
        <v>18</v>
      </c>
      <c r="C46" s="12" t="n">
        <v>4150000</v>
      </c>
    </row>
    <row r="47">
      <c r="A47" s="11" t="inlineStr">
        <is>
          <t>Ду350</t>
        </is>
      </c>
      <c r="B47" s="11" t="n">
        <v>1</v>
      </c>
      <c r="C47" s="12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2026-09-27T22:34:35Z</dcterms:created>
  <dcterms:modified xsi:type="dcterms:W3CDTF">2026-09-27T22:34:35Z</dcterms:modified>
</cp:coreProperties>
</file>
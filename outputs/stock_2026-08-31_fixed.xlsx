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_FilterDatabase" localSheetId="0" hidden="1">'Лист1'!$A$1:$G$109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8"/>
    </font>
    <font>
      <name val="Arial"/>
      <charset val="204"/>
      <family val="2"/>
      <sz val="8"/>
    </font>
    <font>
      <name val="Arial"/>
      <charset val="204"/>
      <family val="2"/>
      <b val="1"/>
      <sz val="9"/>
    </font>
    <font>
      <name val="Calibri"/>
      <charset val="204"/>
      <family val="2"/>
      <sz val="11"/>
      <scheme val="minor"/>
    </font>
    <font>
      <name val="Arial"/>
      <charset val="204"/>
      <family val="2"/>
      <b val="1"/>
      <sz val="8"/>
    </font>
    <font>
      <name val="Arial"/>
      <charset val="204"/>
      <family val="2"/>
      <sz val="10"/>
    </font>
  </fonts>
  <fills count="7">
    <fill>
      <patternFill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3" applyAlignment="1" pivotButton="0" quotePrefix="0" xfId="0">
      <alignment wrapText="1"/>
    </xf>
    <xf numFmtId="0" fontId="5" fillId="0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/>
    </xf>
    <xf numFmtId="0" fontId="4" fillId="0" borderId="15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3" applyAlignment="1" pivotButton="0" quotePrefix="0" xfId="0">
      <alignment wrapText="1"/>
    </xf>
    <xf numFmtId="0" fontId="6" fillId="0" borderId="4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1" fontId="3" fillId="0" borderId="4" applyAlignment="1" pivotButton="0" quotePrefix="0" xfId="0">
      <alignment horizontal="center" wrapText="1"/>
    </xf>
    <xf numFmtId="0" fontId="2" fillId="0" borderId="5" applyAlignment="1" pivotButton="0" quotePrefix="0" xfId="0">
      <alignment wrapText="1"/>
    </xf>
    <xf numFmtId="1" fontId="3" fillId="0" borderId="6" applyAlignment="1" pivotButton="0" quotePrefix="0" xfId="0">
      <alignment horizontal="center" wrapText="1"/>
    </xf>
    <xf numFmtId="1" fontId="3" fillId="0" borderId="10" applyAlignment="1" pivotButton="0" quotePrefix="0" xfId="0">
      <alignment horizontal="center" wrapText="1"/>
    </xf>
    <xf numFmtId="1" fontId="3" fillId="0" borderId="12" applyAlignment="1" pivotButton="0" quotePrefix="0" xfId="0">
      <alignment horizontal="center" wrapText="1"/>
    </xf>
    <xf numFmtId="1" fontId="3" fillId="0" borderId="14" applyAlignment="1" pivotButton="0" quotePrefix="0" xfId="0">
      <alignment horizontal="center" wrapText="1"/>
    </xf>
    <xf numFmtId="0" fontId="2" fillId="0" borderId="7" applyAlignment="1" pivotButton="0" quotePrefix="0" xfId="0">
      <alignment wrapText="1"/>
    </xf>
    <xf numFmtId="1" fontId="3" fillId="0" borderId="8" applyAlignment="1" pivotButton="0" quotePrefix="0" xfId="0">
      <alignment horizontal="center" wrapText="1"/>
    </xf>
    <xf numFmtId="0" fontId="1" fillId="2" borderId="1" applyAlignment="1" pivotButton="0" quotePrefix="0" xfId="0">
      <alignment wrapText="1"/>
    </xf>
    <xf numFmtId="0" fontId="2" fillId="3" borderId="9" applyAlignment="1" pivotButton="0" quotePrefix="0" xfId="0">
      <alignment wrapText="1"/>
    </xf>
    <xf numFmtId="0" fontId="2" fillId="3" borderId="11" applyAlignment="1" pivotButton="0" quotePrefix="0" xfId="0">
      <alignment wrapText="1"/>
    </xf>
    <xf numFmtId="0" fontId="2" fillId="3" borderId="13" applyAlignment="1" pivotButton="0" quotePrefix="0" xfId="0">
      <alignment wrapText="1"/>
    </xf>
    <xf numFmtId="2" fontId="3" fillId="0" borderId="4" applyAlignment="1" pivotButton="0" quotePrefix="0" xfId="0">
      <alignment horizontal="center" wrapText="1"/>
    </xf>
    <xf numFmtId="2" fontId="3" fillId="0" borderId="6" applyAlignment="1" pivotButton="0" quotePrefix="0" xfId="0">
      <alignment horizontal="center" wrapText="1"/>
    </xf>
    <xf numFmtId="2" fontId="3" fillId="0" borderId="10" applyAlignment="1" pivotButton="0" quotePrefix="0" xfId="0">
      <alignment horizontal="center" wrapText="1"/>
    </xf>
    <xf numFmtId="2" fontId="3" fillId="0" borderId="8" applyAlignment="1" pivotButton="0" quotePrefix="0" xfId="0">
      <alignment horizontal="center" wrapText="1"/>
    </xf>
    <xf numFmtId="0" fontId="6" fillId="4" borderId="18" applyAlignment="1" pivotButton="0" quotePrefix="0" xfId="0">
      <alignment wrapText="1"/>
    </xf>
    <xf numFmtId="0" fontId="2" fillId="4" borderId="18" applyAlignment="1" pivotButton="0" quotePrefix="0" xfId="0">
      <alignment wrapText="1"/>
    </xf>
    <xf numFmtId="2" fontId="2" fillId="4" borderId="18" applyAlignment="1" pivotButton="0" quotePrefix="0" xfId="0">
      <alignment wrapText="1"/>
    </xf>
    <xf numFmtId="0" fontId="4" fillId="5" borderId="16" pivotButton="0" quotePrefix="0" xfId="0"/>
    <xf numFmtId="0" fontId="4" fillId="5" borderId="0" pivotButton="0" quotePrefix="0" xfId="0"/>
    <xf numFmtId="0" fontId="4" fillId="6" borderId="15" applyAlignment="1" pivotButton="0" quotePrefix="0" xfId="0">
      <alignment horizontal="center" vertical="center"/>
    </xf>
    <xf numFmtId="2" fontId="4" fillId="6" borderId="15" pivotButton="0" quotePrefix="0" xfId="0"/>
    <xf numFmtId="0" fontId="4" fillId="6" borderId="15" pivotButton="0" quotePrefix="0" xfId="0"/>
    <xf numFmtId="0" fontId="4" fillId="4" borderId="15" pivotButton="0" quotePrefix="0" xfId="0"/>
    <xf numFmtId="0" fontId="5" fillId="0" borderId="17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tabSelected="1" topLeftCell="A91" zoomScale="190" zoomScaleNormal="190" workbookViewId="0">
      <selection activeCell="N8" sqref="N8"/>
    </sheetView>
  </sheetViews>
  <sheetFormatPr baseColWidth="8" defaultColWidth="8.7109375" defaultRowHeight="15"/>
  <cols>
    <col width="92.42578125" customWidth="1" style="5" min="1" max="1"/>
    <col width="17.5703125" customWidth="1" style="5" min="2" max="2"/>
    <col width="10.140625" customWidth="1" style="5" min="3" max="3"/>
    <col width="8.7109375" customWidth="1" style="5" min="4" max="4"/>
    <col width="8.7109375" customWidth="1" style="3" min="5" max="5"/>
    <col width="18.140625" customWidth="1" style="5" min="6" max="6"/>
    <col width="17" customWidth="1" style="5" min="7" max="7"/>
    <col width="16.7109375" customWidth="1" style="5" min="8" max="8"/>
    <col width="8.7109375" customWidth="1" style="5" min="9" max="16384"/>
  </cols>
  <sheetData>
    <row r="1" ht="15.75" customHeight="1" thickBot="1">
      <c r="A1" s="2" t="inlineStr">
        <is>
          <t>Наименование</t>
        </is>
      </c>
      <c r="B1" s="34" t="inlineStr">
        <is>
          <t>остаток товара</t>
        </is>
      </c>
      <c r="C1" s="35" t="inlineStr">
        <is>
          <t>Остаток</t>
        </is>
      </c>
      <c r="D1" s="35" t="inlineStr">
        <is>
          <t>C/c</t>
        </is>
      </c>
      <c r="E1" s="36" t="n"/>
      <c r="F1" s="30" t="inlineStr">
        <is>
          <t>планирую забрать</t>
        </is>
      </c>
      <c r="G1" s="30" t="inlineStr">
        <is>
          <t>сумма моя</t>
        </is>
      </c>
      <c r="H1" s="4" t="inlineStr">
        <is>
          <t>остаток денег</t>
        </is>
      </c>
    </row>
    <row r="2" ht="15.75" customHeight="1" thickBot="1">
      <c r="A2" s="6" t="n"/>
      <c r="B2" s="25" t="n"/>
      <c r="C2" s="7" t="n"/>
      <c r="D2" s="7" t="n"/>
      <c r="F2" s="31" t="n"/>
      <c r="G2" s="32" t="n"/>
      <c r="H2" s="33">
        <f>B2*D3</f>
        <v/>
      </c>
    </row>
    <row r="3" ht="15.75" customHeight="1" thickBot="1">
      <c r="A3" s="8" t="inlineStr">
        <is>
          <t>DEOPROCE SHAMPOO - BLACK GARLIC INTENSME ENERGY [200ml]/ Шампунь с черным чесноком против выпадения волос</t>
        </is>
      </c>
      <c r="B3" s="26">
        <f>C3-F3</f>
        <v/>
      </c>
      <c r="C3" s="21" t="n">
        <v>240</v>
      </c>
      <c r="D3" s="9" t="n">
        <v>166.243</v>
      </c>
      <c r="E3" s="3" t="n">
        <v>2028</v>
      </c>
      <c r="F3" s="31" t="n">
        <v>240</v>
      </c>
      <c r="G3" s="32">
        <f>D3*F3</f>
        <v/>
      </c>
      <c r="H3" s="33">
        <f>B3*D3</f>
        <v/>
      </c>
    </row>
    <row r="4" ht="15.75" customHeight="1" thickBot="1">
      <c r="A4" s="8" t="inlineStr">
        <is>
          <t>DEOPROCE RINSE - BLACK GARLIC INTENSME ENERGY [1000ml] / Бальзам от выпадения волос Чёрный чеснок</t>
        </is>
      </c>
      <c r="B4" s="26">
        <f>C4-F4</f>
        <v/>
      </c>
      <c r="C4" s="21" t="n">
        <v>400</v>
      </c>
      <c r="D4" s="9" t="n">
        <v>394.823</v>
      </c>
      <c r="E4" s="3" t="n">
        <v>2028</v>
      </c>
      <c r="F4" s="31" t="n">
        <v>400</v>
      </c>
      <c r="G4" s="32">
        <f>D4*F4</f>
        <v/>
      </c>
      <c r="H4" s="33">
        <f>B4*D4</f>
        <v/>
      </c>
    </row>
    <row r="5" ht="15.75" customHeight="1" thickBot="1">
      <c r="A5" s="8" t="inlineStr">
        <is>
          <t>DEOPROCE SHAMPOO - BLACK GARLIC INTENSME ENERGY [1000ml]/ Шампунь с черным чесноком против выпадения волос</t>
        </is>
      </c>
      <c r="B5" s="26">
        <f>C5-F5</f>
        <v/>
      </c>
      <c r="C5" s="21" t="n">
        <v>400</v>
      </c>
      <c r="D5" s="9" t="n">
        <v>404.712</v>
      </c>
      <c r="E5" s="3" t="n">
        <v>2028</v>
      </c>
      <c r="F5" s="31" t="n">
        <v>400</v>
      </c>
      <c r="G5" s="32">
        <f>D5*F5</f>
        <v/>
      </c>
      <c r="H5" s="33">
        <f>B5*D5</f>
        <v/>
      </c>
    </row>
    <row r="6" ht="15.75" customHeight="1" thickBot="1">
      <c r="A6" s="8" t="inlineStr">
        <is>
          <t>ELIZAVECCA - CER-100 Collagen Ceramide Coating Protein Treatment [100ml] / Коллагеновая маска для волос</t>
        </is>
      </c>
      <c r="B6" s="26">
        <f>C6-F6</f>
        <v/>
      </c>
      <c r="C6" s="21" t="n">
        <v>300</v>
      </c>
      <c r="D6" s="9" t="n">
        <v>266.453</v>
      </c>
      <c r="E6" s="3" t="n">
        <v>2028</v>
      </c>
      <c r="F6" s="31" t="n">
        <v>300</v>
      </c>
      <c r="G6" s="32">
        <f>D6*F6</f>
        <v/>
      </c>
      <c r="H6" s="33">
        <f>B6*D6</f>
        <v/>
      </c>
    </row>
    <row r="7" ht="15.75" customHeight="1" thickBot="1">
      <c r="A7" s="8" t="inlineStr">
        <is>
          <t>ENOUGH - Collagen Moisture Essential Cream [50ml] / Увлажняющий крем для лица с коллагеном</t>
        </is>
      </c>
      <c r="B7" s="27">
        <f>C7-F7</f>
        <v/>
      </c>
      <c r="C7" s="21" t="n">
        <v>7340</v>
      </c>
      <c r="D7" s="9" t="n">
        <v>177.43</v>
      </c>
      <c r="E7" s="3" t="n">
        <v>2028</v>
      </c>
      <c r="F7" s="31" t="n">
        <v>2000</v>
      </c>
      <c r="G7" s="32">
        <f>D7*F7</f>
        <v/>
      </c>
      <c r="H7" s="33">
        <f>B7*D7</f>
        <v/>
      </c>
    </row>
    <row r="8" ht="15.75" customHeight="1" thickBot="1">
      <c r="A8" s="8" t="inlineStr">
        <is>
          <t>ENOUGH - Collagen Whitening Moisture Cream 3in1 [50g] / Антивозрастной отбеливающий крем с коллагеном</t>
        </is>
      </c>
      <c r="B8" s="26">
        <f>C8-F8</f>
        <v/>
      </c>
      <c r="C8" s="21" t="n">
        <v>344</v>
      </c>
      <c r="D8" s="9" t="n">
        <v>202.268</v>
      </c>
      <c r="E8" s="3" t="n">
        <v>2028</v>
      </c>
      <c r="F8" s="31" t="n">
        <v>344</v>
      </c>
      <c r="G8" s="32">
        <f>D8*F8</f>
        <v/>
      </c>
      <c r="H8" s="33">
        <f>B8*D8</f>
        <v/>
      </c>
    </row>
    <row r="9" ht="15.75" customHeight="1" thickBot="1">
      <c r="A9" s="8" t="inlineStr">
        <is>
          <t xml:space="preserve">ENOUGH Collagen whitening cover tip concealer #01 [9g]/Консилер для лица (основная карточка) </t>
        </is>
      </c>
      <c r="B9" s="26">
        <f>C9-F9</f>
        <v/>
      </c>
      <c r="C9" s="21" t="n">
        <v>200</v>
      </c>
      <c r="D9" s="9" t="n">
        <v>201.564</v>
      </c>
      <c r="E9" s="3" t="n">
        <v>6.2027</v>
      </c>
      <c r="F9" s="31" t="n">
        <v>200</v>
      </c>
      <c r="G9" s="32">
        <f>D9*F9</f>
        <v/>
      </c>
      <c r="H9" s="33">
        <f>B9*D9</f>
        <v/>
      </c>
    </row>
    <row r="10" ht="15.75" customHeight="1" thickBot="1">
      <c r="A10" s="8" t="inlineStr">
        <is>
          <t>ENOUGH Collagen whitening cover tip concealer #02 [9g]/Консилер для лица (основная карточка)</t>
        </is>
      </c>
      <c r="B10" s="26">
        <f>C10-F10</f>
        <v/>
      </c>
      <c r="C10" s="21" t="n">
        <v>300</v>
      </c>
      <c r="D10" s="9" t="n">
        <v>201.564</v>
      </c>
      <c r="E10" s="3" t="n">
        <v>6.2027</v>
      </c>
      <c r="F10" s="31" t="n">
        <v>200</v>
      </c>
      <c r="G10" s="32">
        <f>D10*F10</f>
        <v/>
      </c>
      <c r="H10" s="33">
        <f>B10*D10</f>
        <v/>
      </c>
    </row>
    <row r="11" ht="15.75" customHeight="1" thickBot="1">
      <c r="A11" s="8" t="inlineStr">
        <is>
          <t>ENOUGH Collagen whitening cover tip concealer #03 [9g]/ Консилер для лица (основаная карточка)</t>
        </is>
      </c>
      <c r="B11" s="26">
        <f>C11-F11</f>
        <v/>
      </c>
      <c r="C11" s="21" t="n">
        <v>260</v>
      </c>
      <c r="D11" s="9" t="n">
        <v>201.564</v>
      </c>
      <c r="E11" s="3" t="n">
        <v>6.2027</v>
      </c>
      <c r="F11" s="31" t="n"/>
      <c r="G11" s="32">
        <f>D11*F11</f>
        <v/>
      </c>
      <c r="H11" s="33">
        <f>B11*D11</f>
        <v/>
      </c>
    </row>
    <row r="12" ht="15.75" customHeight="1" thickBot="1">
      <c r="A12" s="8" t="inlineStr">
        <is>
          <t>ETUDE - Baking Powder Crunch Pore Scrub [200ml] / Очищающий скраб для лица с содой</t>
        </is>
      </c>
      <c r="B12" s="26">
        <f>C12-F12</f>
        <v/>
      </c>
      <c r="C12" s="21" t="n">
        <v>7279</v>
      </c>
      <c r="D12" s="9" t="n">
        <v>397.133</v>
      </c>
      <c r="E12" s="3" t="n">
        <v>2028</v>
      </c>
      <c r="F12" s="31" t="n">
        <v>3000</v>
      </c>
      <c r="G12" s="32">
        <f>D12*F12</f>
        <v/>
      </c>
      <c r="H12" s="33">
        <f>B12*D12</f>
        <v/>
      </c>
    </row>
    <row r="13" ht="15.75" customHeight="1" thickBot="1">
      <c r="A13" s="8" t="inlineStr">
        <is>
          <t>FARMSTAY - Collagen &amp; Hyaluronic Acid All-In One Ampoule [250ml] / Сыворотка с коллагеном и гиалуроновой кислотой</t>
        </is>
      </c>
      <c r="B13" s="26">
        <f>C13-F13</f>
        <v/>
      </c>
      <c r="C13" s="21" t="n">
        <v>6179</v>
      </c>
      <c r="D13" s="9" t="n">
        <v>382.536</v>
      </c>
      <c r="E13" s="3" t="n">
        <v>2028</v>
      </c>
      <c r="F13" s="31" t="n">
        <v>3000</v>
      </c>
      <c r="G13" s="32">
        <f>D13*F13</f>
        <v/>
      </c>
      <c r="H13" s="33">
        <f>B13*D13</f>
        <v/>
      </c>
    </row>
    <row r="14" ht="15.75" customHeight="1" thickBot="1">
      <c r="A14" s="8" t="inlineStr">
        <is>
          <t>FARMSTAY - Black Garlic Nourishing Shampoo [530ml] / Шампунь-кондиционер 2в1 с экстрактом черного чеснока</t>
        </is>
      </c>
      <c r="B14" s="26">
        <f>C14-F14</f>
        <v/>
      </c>
      <c r="C14" s="21" t="n">
        <v>3239</v>
      </c>
      <c r="D14" s="9" t="n">
        <v>436.392</v>
      </c>
      <c r="E14" s="3" t="n">
        <v>2028</v>
      </c>
      <c r="F14" s="31" t="n">
        <v>400</v>
      </c>
      <c r="G14" s="32">
        <f>D14*F14</f>
        <v/>
      </c>
      <c r="H14" s="33">
        <f>B14*D14</f>
        <v/>
      </c>
    </row>
    <row r="15" ht="15.75" customHeight="1" thickBot="1">
      <c r="A15" s="8" t="inlineStr">
        <is>
          <t>FARMSTAY - Gold Snail Premium Cream [50ml] / Омолаживающий крем с муцином улитки и коллоидным золотом</t>
        </is>
      </c>
      <c r="B15" s="26">
        <f>C15-F15</f>
        <v/>
      </c>
      <c r="C15" s="21" t="n">
        <v>900</v>
      </c>
      <c r="D15" s="9" t="n">
        <v>474.155</v>
      </c>
      <c r="E15" s="3" t="n">
        <v>2028</v>
      </c>
      <c r="F15" s="31" t="n">
        <v>900</v>
      </c>
      <c r="G15" s="32">
        <f>D15*F15</f>
        <v/>
      </c>
      <c r="H15" s="33">
        <f>B15*D15</f>
        <v/>
      </c>
    </row>
    <row r="16" ht="15.75" customHeight="1" thickBot="1">
      <c r="A16" s="8" t="inlineStr">
        <is>
          <t>FARMSTAY - Escargot Noblesse Intensive Cream [50g] / Крем с муцином королевской улитки</t>
        </is>
      </c>
      <c r="B16" s="26">
        <f>C16-F16</f>
        <v/>
      </c>
      <c r="C16" s="21" t="n">
        <v>860</v>
      </c>
      <c r="D16" s="9" t="n">
        <v>345.224</v>
      </c>
      <c r="E16" s="3" t="n">
        <v>2028</v>
      </c>
      <c r="F16" s="31" t="n">
        <v>0</v>
      </c>
      <c r="G16" s="32">
        <f>D16*F16</f>
        <v/>
      </c>
      <c r="H16" s="33">
        <f>B16*D16</f>
        <v/>
      </c>
    </row>
    <row r="17" ht="15.75" customHeight="1" thickBot="1">
      <c r="A17" s="8" t="inlineStr">
        <is>
          <t>FARMSTAY ESCARGOT NOBLESSE INTENSIVE AMPOULE/ сыворотка с улиткой</t>
        </is>
      </c>
      <c r="B17" s="26">
        <f>C17-F17</f>
        <v/>
      </c>
      <c r="C17" s="21" t="n">
        <v>901</v>
      </c>
      <c r="D17" s="9" t="n">
        <v>429.506</v>
      </c>
      <c r="E17" s="3" t="n">
        <v>2028</v>
      </c>
      <c r="F17" s="31" t="n">
        <v>400</v>
      </c>
      <c r="G17" s="32">
        <f>D17*F17</f>
        <v/>
      </c>
      <c r="H17" s="33">
        <f>B17*D17</f>
        <v/>
      </c>
    </row>
    <row r="18" ht="15.75" customHeight="1" thickBot="1">
      <c r="A18" s="8" t="inlineStr">
        <is>
          <t>FARMSTAY - Argan Oil Complete Volume Up Shampoo &amp; Conditioner [530ml] / Шампунь-кондиционер с аргановым маслом</t>
        </is>
      </c>
      <c r="B18" s="26">
        <f>C18-F18</f>
        <v/>
      </c>
      <c r="C18" s="21" t="n">
        <v>2435</v>
      </c>
      <c r="D18" s="9" t="n">
        <v>440.836</v>
      </c>
      <c r="E18" s="3" t="n">
        <v>2028</v>
      </c>
      <c r="F18" s="31" t="n">
        <v>800</v>
      </c>
      <c r="G18" s="32">
        <f>D18*F18</f>
        <v/>
      </c>
      <c r="H18" s="33">
        <f>B18*D18</f>
        <v/>
      </c>
    </row>
    <row r="19" ht="15.75" customHeight="1" thickBot="1">
      <c r="A19" s="8" t="inlineStr">
        <is>
          <t>FARMSTAY - Collagen Water Full Shampoo &amp; Conditioner [530ml] / Шампунь-кондиционер 2в1 с коллагеном</t>
        </is>
      </c>
      <c r="B19" s="26">
        <f>C19-F19</f>
        <v/>
      </c>
      <c r="C19" s="21" t="n">
        <v>3493</v>
      </c>
      <c r="D19" s="9" t="n">
        <v>436.392</v>
      </c>
      <c r="E19" s="3" t="n">
        <v>2028</v>
      </c>
      <c r="F19" s="31" t="n">
        <v>1000</v>
      </c>
      <c r="G19" s="32">
        <f>D19*F19</f>
        <v/>
      </c>
      <c r="H19" s="33">
        <f>B19*D19</f>
        <v/>
      </c>
    </row>
    <row r="20" ht="15.75" customHeight="1" thickBot="1">
      <c r="A20" s="8" t="inlineStr">
        <is>
          <t>FARMSTAY - Collagen Water Full Moist Rolling Eye Serum [25ml] / Сыворотка роллер для глаз</t>
        </is>
      </c>
      <c r="B20" s="26">
        <f>C20-F20</f>
        <v/>
      </c>
      <c r="C20" s="21" t="n">
        <v>156</v>
      </c>
      <c r="D20" s="9" t="n">
        <v>254.903</v>
      </c>
      <c r="E20" s="3" t="n">
        <v>2028</v>
      </c>
      <c r="F20" s="31" t="n">
        <v>156</v>
      </c>
      <c r="G20" s="32">
        <f>D20*F20</f>
        <v/>
      </c>
      <c r="H20" s="33">
        <f>B20*D20</f>
        <v/>
      </c>
    </row>
    <row r="21" ht="15.75" customHeight="1" thickBot="1">
      <c r="A21" s="8" t="inlineStr">
        <is>
          <t>FARMSTAY - Collagen Water Full Moist Cream [100g] / Увлажняющий крем с коллагеном</t>
        </is>
      </c>
      <c r="B21" s="26">
        <f>C21-F21</f>
        <v/>
      </c>
      <c r="C21" s="21" t="n">
        <v>200</v>
      </c>
      <c r="D21" s="9" t="n">
        <v>532.862</v>
      </c>
      <c r="E21" s="3" t="n">
        <v>2028</v>
      </c>
      <c r="F21" s="31" t="n">
        <v>200</v>
      </c>
      <c r="G21" s="32">
        <f>D21*F21</f>
        <v/>
      </c>
      <c r="H21" s="33">
        <f>B21*D21</f>
        <v/>
      </c>
    </row>
    <row r="22" ht="15.75" customHeight="1" thickBot="1">
      <c r="A22" s="8" t="inlineStr">
        <is>
          <t>FARMSTAY - Collagen Pure Cleansing Foam [180ml]/Пенка для умывания</t>
        </is>
      </c>
      <c r="B22" s="26">
        <f>C22-F22</f>
        <v/>
      </c>
      <c r="C22" s="21" t="n">
        <v>300</v>
      </c>
      <c r="D22" s="9" t="n">
        <v>177.617</v>
      </c>
      <c r="E22" s="3" t="n">
        <v>2028</v>
      </c>
      <c r="F22" s="31" t="n">
        <v>300</v>
      </c>
      <c r="G22" s="32">
        <f>D22*F22</f>
        <v/>
      </c>
      <c r="H22" s="33">
        <f>B22*D22</f>
        <v/>
      </c>
    </row>
    <row r="23" ht="15.75" customHeight="1" thickBot="1">
      <c r="A23" s="8" t="inlineStr">
        <is>
          <t>HEIMISH - Artless Glow Base SPF50+ PA+++(Renew) [40ml] / База под макияж SPF50+ PA+++</t>
        </is>
      </c>
      <c r="B23" s="26">
        <f>C23-F23</f>
        <v/>
      </c>
      <c r="C23" s="21" t="n">
        <v>941</v>
      </c>
      <c r="D23" s="9" t="n">
        <v>847.528</v>
      </c>
      <c r="E23" s="3" t="n">
        <v>2028</v>
      </c>
      <c r="F23" s="31" t="n">
        <v>200</v>
      </c>
      <c r="G23" s="32">
        <f>D23*F23</f>
        <v/>
      </c>
      <c r="H23" s="33">
        <f>B23*D23</f>
        <v/>
      </c>
    </row>
    <row r="24" ht="15.75" customHeight="1" thickBot="1">
      <c r="A24" s="8" t="inlineStr">
        <is>
          <t>JIGOTT - Snail Lifting Cream [70ml] / Крем для лица увлажняющий антивозрастной</t>
        </is>
      </c>
      <c r="B24" s="26">
        <f>C24-F24</f>
        <v/>
      </c>
      <c r="C24" s="21" t="n">
        <v>7463</v>
      </c>
      <c r="D24" s="9" t="n">
        <v>222.497</v>
      </c>
      <c r="E24" s="3" t="n">
        <v>2028</v>
      </c>
      <c r="F24" s="31" t="n">
        <v>400</v>
      </c>
      <c r="G24" s="32">
        <f>D24*F24</f>
        <v/>
      </c>
      <c r="H24" s="33">
        <f>B24*D24</f>
        <v/>
      </c>
    </row>
    <row r="25" ht="15.75" customHeight="1" thickBot="1">
      <c r="A25" s="8" t="inlineStr">
        <is>
          <t>JIGOTT - Snail Reparing Cream [100ml] / Крем для лица увлажняющий антивозрастной с муцином улитки</t>
        </is>
      </c>
      <c r="B25" s="26">
        <f>C25-F25</f>
        <v/>
      </c>
      <c r="C25" s="21" t="n">
        <v>500</v>
      </c>
      <c r="D25" s="9" t="n">
        <v>204.446</v>
      </c>
      <c r="E25" s="3" t="n">
        <v>2028</v>
      </c>
      <c r="F25" s="31" t="n">
        <v>500</v>
      </c>
      <c r="G25" s="32">
        <f>D25*F25</f>
        <v/>
      </c>
      <c r="H25" s="33">
        <f>B25*D25</f>
        <v/>
      </c>
    </row>
    <row r="26" ht="15.75" customHeight="1" thickBot="1">
      <c r="A26" s="8" t="inlineStr">
        <is>
          <t>JIGOTT - Birds Nest Firming Cream [70ml] / Антивозрастной крем с экстрактом ласточкиного гнезда</t>
        </is>
      </c>
      <c r="B26" s="26">
        <f>C26-F26</f>
        <v/>
      </c>
      <c r="C26" s="21" t="n">
        <v>1614</v>
      </c>
      <c r="D26" s="9" t="n">
        <v>222.497</v>
      </c>
      <c r="E26" s="3" t="n">
        <v>2028</v>
      </c>
      <c r="F26" s="31" t="n">
        <v>800</v>
      </c>
      <c r="G26" s="32">
        <f>D26*F26</f>
        <v/>
      </c>
      <c r="H26" s="33">
        <f>B26*D26</f>
        <v/>
      </c>
    </row>
    <row r="27" ht="15.75" customHeight="1" thickBot="1">
      <c r="A27" s="17" t="inlineStr">
        <is>
          <t>JIGOTT - Aloe Real Ampoule Mask [27ml] / Ампульная маска с экстрактом алое</t>
        </is>
      </c>
      <c r="B27" s="26">
        <f>C27-F27</f>
        <v/>
      </c>
      <c r="C27" s="21" t="n">
        <v>1190</v>
      </c>
      <c r="D27" s="9" t="n">
        <v>25</v>
      </c>
      <c r="E27" s="3" t="n">
        <v>2028</v>
      </c>
      <c r="F27" s="31" t="n"/>
      <c r="G27" s="32">
        <f>D27*F27</f>
        <v/>
      </c>
      <c r="H27" s="33">
        <f>B27*D27</f>
        <v/>
      </c>
    </row>
    <row r="28" ht="15.75" customHeight="1" thickBot="1">
      <c r="A28" s="1" t="inlineStr">
        <is>
          <t>JIGOTT - Black Snail Real Ampoule Mask [27ml] / Ампульная маска с экстрактом слизи черной улитки</t>
        </is>
      </c>
      <c r="B28" s="26">
        <f>C28-F28</f>
        <v/>
      </c>
      <c r="C28" s="21" t="n">
        <v>1190</v>
      </c>
      <c r="D28" s="9" t="n">
        <v>25</v>
      </c>
      <c r="E28" s="3" t="n">
        <v>2028</v>
      </c>
      <c r="F28" s="31" t="n"/>
      <c r="G28" s="32">
        <f>D28*F28</f>
        <v/>
      </c>
      <c r="H28" s="33">
        <f>B28*D28</f>
        <v/>
      </c>
    </row>
    <row r="29" ht="15.75" customHeight="1" thickBot="1">
      <c r="A29" s="1" t="inlineStr">
        <is>
          <t>JIGOTT - Camellia Real Ampoule Mask [27ml] / Ампульная маска с экстрактом камелии</t>
        </is>
      </c>
      <c r="B29" s="26">
        <f>C29-F29</f>
        <v/>
      </c>
      <c r="C29" s="21" t="n">
        <v>1190</v>
      </c>
      <c r="D29" s="9" t="n">
        <v>25</v>
      </c>
      <c r="E29" s="3" t="n">
        <v>2028</v>
      </c>
      <c r="F29" s="31" t="n"/>
      <c r="G29" s="32">
        <f>D29*F29</f>
        <v/>
      </c>
      <c r="H29" s="33">
        <f>B29*D29</f>
        <v/>
      </c>
    </row>
    <row r="30" ht="15.75" customHeight="1" thickBot="1">
      <c r="A30" s="1" t="inlineStr">
        <is>
          <t>JIGOTT - Caviar Real Ampoule Mask [27ml] / Ампульная маска с экстрактом икры</t>
        </is>
      </c>
      <c r="B30" s="26">
        <f>C30-F30</f>
        <v/>
      </c>
      <c r="C30" s="21" t="n">
        <v>1190</v>
      </c>
      <c r="D30" s="9" t="n">
        <v>25</v>
      </c>
      <c r="E30" s="3" t="n">
        <v>2028</v>
      </c>
      <c r="F30" s="31" t="n"/>
      <c r="G30" s="32">
        <f>D30*F30</f>
        <v/>
      </c>
      <c r="H30" s="33">
        <f>B30*D30</f>
        <v/>
      </c>
    </row>
    <row r="31" ht="15.75" customHeight="1" thickBot="1">
      <c r="A31" s="1" t="inlineStr">
        <is>
          <t>JIGOTT - Collagen Real Ampoule Mask [27ml] / Ампульная маска с коллагеном</t>
        </is>
      </c>
      <c r="B31" s="26">
        <f>C31-F31</f>
        <v/>
      </c>
      <c r="C31" s="21" t="n">
        <v>1190</v>
      </c>
      <c r="D31" s="9" t="n">
        <v>25</v>
      </c>
      <c r="E31" s="3" t="n">
        <v>2028</v>
      </c>
      <c r="F31" s="31" t="n"/>
      <c r="G31" s="32">
        <f>D31*F31</f>
        <v/>
      </c>
      <c r="H31" s="33">
        <f>B31*D31</f>
        <v/>
      </c>
    </row>
    <row r="32" ht="15.75" customHeight="1" thickBot="1">
      <c r="A32" s="1" t="inlineStr">
        <is>
          <t>JIGOTT - Cucumber Real Ampoule Mask [27ml] / Тканевая маска с экстрактом огурца</t>
        </is>
      </c>
      <c r="B32" s="26">
        <f>C32-F32</f>
        <v/>
      </c>
      <c r="C32" s="21" t="n">
        <v>1190</v>
      </c>
      <c r="D32" s="9" t="n">
        <v>25</v>
      </c>
      <c r="E32" s="3" t="n">
        <v>2028</v>
      </c>
      <c r="F32" s="31" t="n"/>
      <c r="G32" s="32">
        <f>D32*F32</f>
        <v/>
      </c>
      <c r="H32" s="33">
        <f>B32*D32</f>
        <v/>
      </c>
    </row>
    <row r="33" ht="15.75" customHeight="1" thickBot="1">
      <c r="A33" s="1" t="inlineStr">
        <is>
          <t>JIGOTT - Green Tea Real Ampoule Mask [27ml] / Ампульная маска с экстрактом зеленого чая</t>
        </is>
      </c>
      <c r="B33" s="26">
        <f>C33-F33</f>
        <v/>
      </c>
      <c r="C33" s="21" t="n">
        <v>1190</v>
      </c>
      <c r="D33" s="9" t="n">
        <v>25</v>
      </c>
      <c r="E33" s="3" t="n">
        <v>2028</v>
      </c>
      <c r="F33" s="31" t="n"/>
      <c r="G33" s="32">
        <f>D33*F33</f>
        <v/>
      </c>
      <c r="H33" s="33">
        <f>B33*D33</f>
        <v/>
      </c>
    </row>
    <row r="34" ht="15.75" customHeight="1" thickBot="1">
      <c r="A34" s="1" t="inlineStr">
        <is>
          <t>JIGOTT - Honey Real Ampoule Mask [27ml] / Ампульная маска с экстрактом меда</t>
        </is>
      </c>
      <c r="B34" s="26">
        <f>C34-F34</f>
        <v/>
      </c>
      <c r="C34" s="21" t="n">
        <v>1190</v>
      </c>
      <c r="D34" s="9" t="n">
        <v>25</v>
      </c>
      <c r="E34" s="3" t="n">
        <v>2028</v>
      </c>
      <c r="F34" s="31" t="n"/>
      <c r="G34" s="32">
        <f>D34*F34</f>
        <v/>
      </c>
      <c r="H34" s="33">
        <f>B34*D34</f>
        <v/>
      </c>
    </row>
    <row r="35" ht="15.75" customHeight="1" thickBot="1">
      <c r="A35" s="1" t="inlineStr">
        <is>
          <t>JIGOTT - Hyaluronic Acid Real Ampoule Mask [27ml] / Ампульная маска с гиалуроновой кислотой</t>
        </is>
      </c>
      <c r="B35" s="26">
        <f>C35-F35</f>
        <v/>
      </c>
      <c r="C35" s="21" t="n">
        <v>1190</v>
      </c>
      <c r="D35" s="9" t="n">
        <v>25</v>
      </c>
      <c r="E35" s="3" t="n">
        <v>2028</v>
      </c>
      <c r="F35" s="31" t="n"/>
      <c r="G35" s="32">
        <f>D35*F35</f>
        <v/>
      </c>
      <c r="H35" s="33">
        <f>B35*D35</f>
        <v/>
      </c>
    </row>
    <row r="36" ht="15.75" customHeight="1" thickBot="1">
      <c r="A36" s="1" t="inlineStr">
        <is>
          <t>JIGOTT - Lotus Real Ampoule Mask [27ml] / Ампульная маска с экстрактом лотоса</t>
        </is>
      </c>
      <c r="B36" s="26">
        <f>C36-F36</f>
        <v/>
      </c>
      <c r="C36" s="21" t="n">
        <v>1190</v>
      </c>
      <c r="D36" s="9" t="n">
        <v>25</v>
      </c>
      <c r="E36" s="3" t="n">
        <v>2028</v>
      </c>
      <c r="F36" s="31" t="n"/>
      <c r="G36" s="32">
        <f>D36*F36</f>
        <v/>
      </c>
      <c r="H36" s="33">
        <f>B36*D36</f>
        <v/>
      </c>
    </row>
    <row r="37" ht="15.75" customHeight="1" thickBot="1">
      <c r="A37" s="1" t="inlineStr">
        <is>
          <t>JIGOTT - Pearl Real Ampoule Mask [27ml] / ампульная маска для лица с жемчугом</t>
        </is>
      </c>
      <c r="B37" s="26">
        <f>C37-F37</f>
        <v/>
      </c>
      <c r="C37" s="21" t="n">
        <v>1190</v>
      </c>
      <c r="D37" s="9" t="n">
        <v>25</v>
      </c>
      <c r="E37" s="3" t="n">
        <v>2028</v>
      </c>
      <c r="F37" s="31" t="n"/>
      <c r="G37" s="32">
        <f>D37*F37</f>
        <v/>
      </c>
      <c r="H37" s="33">
        <f>B37*D37</f>
        <v/>
      </c>
    </row>
    <row r="38" ht="15.75" customHeight="1" thickBot="1">
      <c r="A38" s="1" t="inlineStr">
        <is>
          <t>JIGOTT - Placenta Real Ampoule Mask [27ml] / Ампульная маска с плацентой</t>
        </is>
      </c>
      <c r="B38" s="26">
        <f>C38-F38</f>
        <v/>
      </c>
      <c r="C38" s="21" t="n">
        <v>1190</v>
      </c>
      <c r="D38" s="9" t="n">
        <v>25</v>
      </c>
      <c r="E38" s="3" t="n">
        <v>2028</v>
      </c>
      <c r="F38" s="31" t="n"/>
      <c r="G38" s="32">
        <f>D38*F38</f>
        <v/>
      </c>
      <c r="H38" s="33">
        <f>B38*D38</f>
        <v/>
      </c>
    </row>
    <row r="39" ht="15.75" customHeight="1" thickBot="1">
      <c r="A39" s="1" t="inlineStr">
        <is>
          <t>JIGOTT - Pomegranate Real Ampoule Mask [27ml] / Ампульная маска с экстрактом граната</t>
        </is>
      </c>
      <c r="B39" s="26">
        <f>C39-F39</f>
        <v/>
      </c>
      <c r="C39" s="21" t="n">
        <v>1190</v>
      </c>
      <c r="D39" s="9" t="n">
        <v>25</v>
      </c>
      <c r="E39" s="3" t="n">
        <v>2028</v>
      </c>
      <c r="F39" s="31" t="n"/>
      <c r="G39" s="32">
        <f>D39*F39</f>
        <v/>
      </c>
      <c r="H39" s="33">
        <f>B39*D39</f>
        <v/>
      </c>
    </row>
    <row r="40" ht="15.75" customHeight="1" thickBot="1">
      <c r="A40" s="1" t="inlineStr">
        <is>
          <t>JIGOTT - Potato Real Ampoule Mask [27ml] / Ампульная маска с экстрактом картофеля</t>
        </is>
      </c>
      <c r="B40" s="26">
        <f>C40-F40</f>
        <v/>
      </c>
      <c r="C40" s="21" t="n">
        <v>1190</v>
      </c>
      <c r="D40" s="9" t="n">
        <v>25</v>
      </c>
      <c r="E40" s="3" t="n">
        <v>2028</v>
      </c>
      <c r="F40" s="31" t="n"/>
      <c r="G40" s="32">
        <f>D40*F40</f>
        <v/>
      </c>
      <c r="H40" s="33">
        <f>B40*D40</f>
        <v/>
      </c>
    </row>
    <row r="41" ht="15.75" customHeight="1" thickBot="1">
      <c r="A41" s="1" t="inlineStr">
        <is>
          <t>JIGOTT - Red Ginseng Real Ampoule Mask [27ml] / Ампульная маска с красным женьшенем</t>
        </is>
      </c>
      <c r="B41" s="26">
        <f>C41-F41</f>
        <v/>
      </c>
      <c r="C41" s="21" t="n">
        <v>1190</v>
      </c>
      <c r="D41" s="9" t="n">
        <v>25</v>
      </c>
      <c r="E41" s="3" t="n">
        <v>2028</v>
      </c>
      <c r="F41" s="31" t="n"/>
      <c r="G41" s="32">
        <f>D41*F41</f>
        <v/>
      </c>
      <c r="H41" s="33">
        <f>B41*D41</f>
        <v/>
      </c>
    </row>
    <row r="42" ht="15.75" customHeight="1" thickBot="1">
      <c r="A42" s="1" t="inlineStr">
        <is>
          <t>JIGOTT - Vitamin Real Ampoule Mask [27ml] / Ампульная маска с витаминами</t>
        </is>
      </c>
      <c r="B42" s="26">
        <f>C42-F42</f>
        <v/>
      </c>
      <c r="C42" s="21" t="n">
        <v>1190</v>
      </c>
      <c r="D42" s="9" t="n">
        <v>25</v>
      </c>
      <c r="E42" s="3" t="n">
        <v>2028</v>
      </c>
      <c r="F42" s="31" t="n"/>
      <c r="G42" s="32">
        <f>D42*F42</f>
        <v/>
      </c>
      <c r="H42" s="33">
        <f>B42*D42</f>
        <v/>
      </c>
    </row>
    <row r="43" ht="15.75" customHeight="1" thickBot="1">
      <c r="A43" s="8" t="inlineStr">
        <is>
          <t>JIGOTT - Ultimate Real Collagen Toner [300ml] / тонер с коллагеном антивозрастной</t>
        </is>
      </c>
      <c r="B43" s="26">
        <f>C43-F43</f>
        <v/>
      </c>
      <c r="C43" s="21" t="n">
        <v>800</v>
      </c>
      <c r="D43" s="9" t="n">
        <v>291.896</v>
      </c>
      <c r="E43" s="3" t="n">
        <v>2028</v>
      </c>
      <c r="F43" s="31" t="n">
        <v>200</v>
      </c>
      <c r="G43" s="32">
        <f>D43*F43</f>
        <v/>
      </c>
      <c r="H43" s="33">
        <f>B43*D43</f>
        <v/>
      </c>
    </row>
    <row r="44" ht="15.75" customHeight="1" thickBot="1">
      <c r="A44" s="8" t="inlineStr">
        <is>
          <t>JIGOTT - Daily Real Cica Toner [300ml] / Тонер для лица с центеллой азиатской</t>
        </is>
      </c>
      <c r="B44" s="26">
        <f>C44-F44</f>
        <v/>
      </c>
      <c r="C44" s="21" t="n">
        <v>800</v>
      </c>
      <c r="D44" s="9" t="n">
        <v>291.896</v>
      </c>
      <c r="E44" s="3" t="n">
        <v>2028</v>
      </c>
      <c r="F44" s="31" t="n">
        <v>200</v>
      </c>
      <c r="G44" s="32">
        <f>D44*F44</f>
        <v/>
      </c>
      <c r="H44" s="33">
        <f>B44*D44</f>
        <v/>
      </c>
    </row>
    <row r="45" ht="15.75" customHeight="1" thickBot="1">
      <c r="A45" s="10" t="inlineStr">
        <is>
          <t>JIGOTT - Moisture Real Aloe Vera Toner [300ml] / Тонер для лица увлажняющий с экстрактом алоэ</t>
        </is>
      </c>
      <c r="B45" s="26">
        <f>C45-F45</f>
        <v/>
      </c>
      <c r="C45" s="22" t="n">
        <v>100</v>
      </c>
      <c r="D45" s="11" t="n">
        <v>291.896</v>
      </c>
      <c r="E45" s="3" t="n">
        <v>2028</v>
      </c>
      <c r="F45" s="31" t="n">
        <v>100</v>
      </c>
      <c r="G45" s="32">
        <f>D45*F45</f>
        <v/>
      </c>
      <c r="H45" s="33">
        <f>B45*D45</f>
        <v/>
      </c>
    </row>
    <row r="46" ht="15.75" customHeight="1" thickBot="1">
      <c r="A46" s="18" t="inlineStr">
        <is>
          <t>JMSOLUTION ACTIVE BLACK CAVIAR MASK [30ml*10ea] / Ультратонкая тканевая маска с черной икрой</t>
        </is>
      </c>
      <c r="B46" s="26">
        <f>C46-F46</f>
        <v/>
      </c>
      <c r="C46" s="23" t="n">
        <v>110</v>
      </c>
      <c r="D46" s="12" t="n">
        <v>376.497</v>
      </c>
      <c r="E46" s="3" t="n">
        <v>2028</v>
      </c>
      <c r="F46" s="31" t="n">
        <v>40</v>
      </c>
      <c r="G46" s="32">
        <f>D46*F46</f>
        <v/>
      </c>
      <c r="H46" s="33">
        <f>B46*D46</f>
        <v/>
      </c>
    </row>
    <row r="47" ht="15.75" customHeight="1" thickBot="1">
      <c r="A47" s="19" t="inlineStr">
        <is>
          <t>JMSOLUTION - Active Golden Caviar Nourishing Mask [30ml*10ea] / Ультратонкая тканевая маска с золотом и икрой</t>
        </is>
      </c>
      <c r="B47" s="26">
        <f>C47-F47</f>
        <v/>
      </c>
      <c r="C47" s="23" t="n">
        <v>110</v>
      </c>
      <c r="D47" s="13" t="n">
        <v>376.497</v>
      </c>
      <c r="E47" s="3" t="n">
        <v>2028</v>
      </c>
      <c r="F47" s="31" t="n">
        <v>40</v>
      </c>
      <c r="G47" s="32">
        <f>D47*F47</f>
        <v/>
      </c>
      <c r="H47" s="33">
        <f>B47*D47</f>
        <v/>
      </c>
    </row>
    <row r="48" ht="15.75" customHeight="1" thickBot="1">
      <c r="A48" s="19" t="inlineStr">
        <is>
          <t>JMSOLUTION - Active Jellyfish Vital Mask [30ml*10ea] / Ультратонкая тканевая маска с экстрактом медузы</t>
        </is>
      </c>
      <c r="B48" s="26">
        <f>C48-F48</f>
        <v/>
      </c>
      <c r="C48" s="23" t="n">
        <v>110</v>
      </c>
      <c r="D48" s="13" t="n">
        <v>376.497</v>
      </c>
      <c r="E48" s="3" t="n">
        <v>2028</v>
      </c>
      <c r="F48" s="31" t="n">
        <v>40</v>
      </c>
      <c r="G48" s="32">
        <f>D48*F48</f>
        <v/>
      </c>
      <c r="H48" s="33">
        <f>B48*D48</f>
        <v/>
      </c>
    </row>
    <row r="49" ht="15.75" customHeight="1" thickBot="1">
      <c r="A49" s="19" t="inlineStr">
        <is>
          <t>JMSOLUTION - Active Birds Nest Moisture Mask [30ml*10ea] / Ультратонкая тканевая маска с ласточкиным гнездом</t>
        </is>
      </c>
      <c r="B49" s="26">
        <f>C49-F49</f>
        <v/>
      </c>
      <c r="C49" s="23" t="n">
        <v>110</v>
      </c>
      <c r="D49" s="13" t="n">
        <v>376.497</v>
      </c>
      <c r="E49" s="3" t="n">
        <v>2028</v>
      </c>
      <c r="F49" s="31" t="n">
        <v>40</v>
      </c>
      <c r="G49" s="32">
        <f>D49*F49</f>
        <v/>
      </c>
      <c r="H49" s="33">
        <f>B49*D49</f>
        <v/>
      </c>
    </row>
    <row r="50" ht="15.75" customHeight="1" thickBot="1">
      <c r="A50" s="19" t="inlineStr">
        <is>
          <t>JMSOLUTION GLORY AQUA FULLERENE MASK DELUXE</t>
        </is>
      </c>
      <c r="B50" s="26">
        <f>C50-F50</f>
        <v/>
      </c>
      <c r="C50" s="23" t="n">
        <v>110</v>
      </c>
      <c r="D50" s="13" t="n">
        <v>495.385</v>
      </c>
      <c r="E50" s="3" t="n">
        <v>2028</v>
      </c>
      <c r="F50" s="31" t="n">
        <v>40</v>
      </c>
      <c r="G50" s="32">
        <f>D50*F50</f>
        <v/>
      </c>
      <c r="H50" s="33">
        <f>B50*D50</f>
        <v/>
      </c>
    </row>
    <row r="51" ht="15.75" customHeight="1" thickBot="1">
      <c r="A51" s="19" t="inlineStr">
        <is>
          <t>JMSOLUTION  JMSOLUTION - Glory Aqua TOCOPHEROL VITAMIN C MASK PLUS [30ml*10ea] / Тканевая маска</t>
        </is>
      </c>
      <c r="B51" s="26">
        <f>C51-F51</f>
        <v/>
      </c>
      <c r="C51" s="23" t="n">
        <v>110</v>
      </c>
      <c r="D51" s="13" t="n">
        <v>495.385</v>
      </c>
      <c r="E51" s="3" t="n">
        <v>2028</v>
      </c>
      <c r="F51" s="31" t="n">
        <v>40</v>
      </c>
      <c r="G51" s="32">
        <f>D51*F51</f>
        <v/>
      </c>
      <c r="H51" s="33">
        <f>B51*D51</f>
        <v/>
      </c>
    </row>
    <row r="52" ht="15.75" customHeight="1" thickBot="1">
      <c r="A52" s="19" t="inlineStr">
        <is>
          <t>JMSOLUTION PANTHELENE INTENSIVE BARRIER MASK</t>
        </is>
      </c>
      <c r="B52" s="26">
        <f>C52-F52</f>
        <v/>
      </c>
      <c r="C52" s="23" t="n">
        <v>110</v>
      </c>
      <c r="D52" s="13" t="n">
        <v>495.385</v>
      </c>
      <c r="E52" s="3" t="n">
        <v>2028</v>
      </c>
      <c r="F52" s="31" t="n">
        <v>40</v>
      </c>
      <c r="G52" s="32">
        <f>D52*F52</f>
        <v/>
      </c>
      <c r="H52" s="33">
        <f>B52*D52</f>
        <v/>
      </c>
    </row>
    <row r="53" ht="24" customHeight="1" thickBot="1">
      <c r="A53" s="19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B53" s="26">
        <f>C53-F53</f>
        <v/>
      </c>
      <c r="C53" s="23" t="n">
        <v>110</v>
      </c>
      <c r="D53" s="13" t="n">
        <v>350.295</v>
      </c>
      <c r="E53" s="3" t="n">
        <v>2028</v>
      </c>
      <c r="F53" s="31" t="n">
        <v>40</v>
      </c>
      <c r="G53" s="32">
        <f>D53*F53</f>
        <v/>
      </c>
      <c r="H53" s="33">
        <f>B53*D53</f>
        <v/>
      </c>
    </row>
    <row r="54" ht="15.75" customHeight="1" thickBot="1">
      <c r="A54" s="19" t="inlineStr">
        <is>
          <t>JMSOLUTION - Water Luminous S.O.S. Ringer Mask Black [35ml*10ea] / Ультраувлажняющая тканевая маска</t>
        </is>
      </c>
      <c r="B54" s="26">
        <f>C54-F54</f>
        <v/>
      </c>
      <c r="C54" s="23" t="n">
        <v>110</v>
      </c>
      <c r="D54" s="13" t="n">
        <v>495.385</v>
      </c>
      <c r="E54" s="3" t="n">
        <v>2028</v>
      </c>
      <c r="F54" s="31" t="n">
        <v>40</v>
      </c>
      <c r="G54" s="32">
        <f>D54*F54</f>
        <v/>
      </c>
      <c r="H54" s="33">
        <f>B54*D54</f>
        <v/>
      </c>
    </row>
    <row r="55" ht="15.75" customHeight="1" thickBot="1">
      <c r="A55" s="20" t="inlineStr">
        <is>
          <t>JMSOLUTION GREEN DEAR TIGER CICA MASK PURE 30ml*10ea / Регенерирующая маска для лица с центеллой</t>
        </is>
      </c>
      <c r="B55" s="26">
        <f>C55-F55</f>
        <v/>
      </c>
      <c r="C55" s="23" t="n">
        <v>110</v>
      </c>
      <c r="D55" s="14" t="n">
        <v>376.497</v>
      </c>
      <c r="E55" s="3" t="n">
        <v>2028</v>
      </c>
      <c r="F55" s="31" t="n">
        <v>40</v>
      </c>
      <c r="G55" s="32">
        <f>D55*F55</f>
        <v/>
      </c>
      <c r="H55" s="33">
        <f>B55*D55</f>
        <v/>
      </c>
    </row>
    <row r="56" ht="15.75" customHeight="1" thickBot="1">
      <c r="A56" s="15" t="inlineStr">
        <is>
          <t>JMSOLUTION - MASK PACK DISNEY [30ml*10ea] - ассорти набор из 10шт</t>
        </is>
      </c>
      <c r="B56" s="26">
        <f>C56-F56</f>
        <v/>
      </c>
      <c r="C56" s="24" t="n">
        <v>832</v>
      </c>
      <c r="D56" s="16" t="n">
        <v>509.52</v>
      </c>
      <c r="E56" s="3" t="n">
        <v>2028</v>
      </c>
      <c r="F56" s="31" t="n">
        <v>400</v>
      </c>
      <c r="G56" s="32">
        <f>D56*F56</f>
        <v/>
      </c>
      <c r="H56" s="33">
        <f>B56*D56</f>
        <v/>
      </c>
    </row>
    <row r="57" ht="15.75" customHeight="1" thickBot="1">
      <c r="A57" s="8" t="inlineStr">
        <is>
          <t>LEBELAGE - Dr. Peptide Derma Eye Cream [40ml] / Крем для глаз антивозрастной с пептидами</t>
        </is>
      </c>
      <c r="B57" s="26">
        <f>C57-F57</f>
        <v/>
      </c>
      <c r="C57" s="21" t="n">
        <v>400</v>
      </c>
      <c r="D57" s="9" t="n">
        <v>118.965</v>
      </c>
      <c r="E57" s="3" t="inlineStr">
        <is>
          <t>02,2028</t>
        </is>
      </c>
      <c r="F57" s="31" t="n">
        <v>200</v>
      </c>
      <c r="G57" s="32">
        <f>D57*F57</f>
        <v/>
      </c>
      <c r="H57" s="33">
        <f>B57*D57</f>
        <v/>
      </c>
    </row>
    <row r="58" ht="15.75" customHeight="1" thickBot="1">
      <c r="A58" s="8" t="inlineStr">
        <is>
          <t>MANYO - Bifida Biome Complex Ampoule [50ml] / Антивозрастная сыворотка для лица</t>
        </is>
      </c>
      <c r="B58" s="26">
        <f>C58-F58</f>
        <v/>
      </c>
      <c r="C58" s="21" t="n">
        <v>1355</v>
      </c>
      <c r="D58" s="9" t="n">
        <v>989.7579999999999</v>
      </c>
      <c r="E58" s="3" t="n">
        <v>2028</v>
      </c>
      <c r="F58" s="31" t="n">
        <v>1355</v>
      </c>
      <c r="G58" s="32">
        <f>D58*F58</f>
        <v/>
      </c>
      <c r="H58" s="33">
        <f>B58*D58</f>
        <v/>
      </c>
    </row>
    <row r="59" ht="15.75" customHeight="1" thickBot="1">
      <c r="A59" s="8" t="inlineStr">
        <is>
          <t>MANYO - Galac Whitening Vita Serum [50ml] / Осветляющая сыворотка с Витамином C</t>
        </is>
      </c>
      <c r="B59" s="26">
        <f>C59-F59</f>
        <v/>
      </c>
      <c r="C59" s="21" t="n">
        <v>759</v>
      </c>
      <c r="D59" s="9" t="n">
        <v>711.513</v>
      </c>
      <c r="E59" s="3" t="n">
        <v>2028</v>
      </c>
      <c r="F59" s="31" t="n">
        <v>759</v>
      </c>
      <c r="G59" s="32">
        <f>D59*F59</f>
        <v/>
      </c>
      <c r="H59" s="33">
        <f>B59*D59</f>
        <v/>
      </c>
    </row>
    <row r="60" ht="15.75" customHeight="1" thickBot="1">
      <c r="A60" s="8" t="inlineStr">
        <is>
          <t>MANYO - Bifida Biome Ampoule Lotion [300ml] / Укрепляющий лосьон с бифидобактериями</t>
        </is>
      </c>
      <c r="B60" s="26">
        <f>C60-F60</f>
        <v/>
      </c>
      <c r="C60" s="21" t="n">
        <v>624</v>
      </c>
      <c r="D60" s="9" t="n">
        <v>808.874</v>
      </c>
      <c r="E60" s="3" t="n">
        <v>2028</v>
      </c>
      <c r="F60" s="31" t="n">
        <v>624</v>
      </c>
      <c r="G60" s="32">
        <f>D60*F60</f>
        <v/>
      </c>
      <c r="H60" s="33">
        <f>B60*D60</f>
        <v/>
      </c>
    </row>
    <row r="61" ht="15.75" customHeight="1" thickBot="1">
      <c r="A61" s="8" t="inlineStr">
        <is>
          <t>MANYO - Pure Cleansing Oil [200ml] / Гидрофильное масло для глубокого очищения</t>
        </is>
      </c>
      <c r="B61" s="26">
        <f>C61-F61</f>
        <v/>
      </c>
      <c r="C61" s="21" t="n">
        <v>80</v>
      </c>
      <c r="D61" s="9" t="n">
        <v>938.3</v>
      </c>
      <c r="E61" s="3" t="n">
        <v>2028</v>
      </c>
      <c r="F61" s="31" t="n">
        <v>80</v>
      </c>
      <c r="G61" s="32">
        <f>D61*F61</f>
        <v/>
      </c>
      <c r="H61" s="33">
        <f>B61*D61</f>
        <v/>
      </c>
    </row>
    <row r="62" ht="15.75" customHeight="1" thickBot="1">
      <c r="A62" s="8" t="inlineStr">
        <is>
          <t>MANYO BIFIDA COMPLEX AMPOULE GEL CLEANSER [400ml] / Гель для умывания с бифидобактериями</t>
        </is>
      </c>
      <c r="B62" s="26">
        <f>C62-F62</f>
        <v/>
      </c>
      <c r="C62" s="21" t="n">
        <v>650</v>
      </c>
      <c r="D62" s="9" t="n">
        <v>813.901</v>
      </c>
      <c r="E62" s="3" t="n">
        <v>2028</v>
      </c>
      <c r="F62" s="31" t="n">
        <v>650</v>
      </c>
      <c r="G62" s="32">
        <f>D62*F62</f>
        <v/>
      </c>
      <c r="H62" s="33">
        <f>B62*D62</f>
        <v/>
      </c>
    </row>
    <row r="63" ht="15.75" customHeight="1" thickBot="1">
      <c r="A63" s="8" t="inlineStr">
        <is>
          <t>MANYO BIFIDA INFUSION SHOT AMPOULE 1DX [50ml] / Сыворотка с микроиглами и пробиотиками</t>
        </is>
      </c>
      <c r="B63" s="26">
        <f>C63-F63</f>
        <v/>
      </c>
      <c r="C63" s="21" t="n">
        <v>614</v>
      </c>
      <c r="D63" s="9" t="n">
        <v>1096.425</v>
      </c>
      <c r="E63" s="3" t="n">
        <v>2028</v>
      </c>
      <c r="F63" s="31" t="n"/>
      <c r="G63" s="32">
        <f>D63*F63</f>
        <v/>
      </c>
      <c r="H63" s="33">
        <f>B63*D63</f>
        <v/>
      </c>
    </row>
    <row r="64" ht="15.75" customHeight="1" thickBot="1">
      <c r="A64" s="8" t="inlineStr">
        <is>
          <t>PETITFEE - Collagen &amp; CoQ10 Hydrogel Eye Patch [60ea] / Гидрогелевые патчи для глаз с коллагеном и коэнзимом Q10</t>
        </is>
      </c>
      <c r="B64" s="26">
        <f>C64-F64</f>
        <v/>
      </c>
      <c r="C64" s="21" t="n">
        <v>360</v>
      </c>
      <c r="D64" s="9" t="n">
        <v>423.555</v>
      </c>
      <c r="E64" s="3" t="n">
        <v>2028</v>
      </c>
      <c r="F64" s="31" t="n">
        <v>360</v>
      </c>
      <c r="G64" s="32">
        <f>D64*F64</f>
        <v/>
      </c>
      <c r="H64" s="33">
        <f>B64*D64</f>
        <v/>
      </c>
    </row>
    <row r="65" ht="15.75" customHeight="1" thickBot="1">
      <c r="A65" s="8" t="inlineStr">
        <is>
          <t>PETITFEE - Bera Glucan Deep Firming Eye Patch [60ea] / Тканевые патчи для век увлажняющие</t>
        </is>
      </c>
      <c r="B65" s="26">
        <f>C65-F65</f>
        <v/>
      </c>
      <c r="C65" s="21" t="n">
        <v>180</v>
      </c>
      <c r="D65" s="9" t="n">
        <v>535.359</v>
      </c>
      <c r="E65" s="3" t="n">
        <v>2028</v>
      </c>
      <c r="F65" s="31" t="n">
        <v>180</v>
      </c>
      <c r="G65" s="32">
        <f>D65*F65</f>
        <v/>
      </c>
      <c r="H65" s="33">
        <f>B65*D65</f>
        <v/>
      </c>
    </row>
    <row r="66" ht="15.75" customHeight="1" thickBot="1">
      <c r="A66" s="8" t="inlineStr">
        <is>
          <t>PETITFEE - Artichoke Soothing Hydrogel Eye Patch [60ea] / Смягчающие гидрогелевые патчи для глаз с экстрактом артишока</t>
        </is>
      </c>
      <c r="B66" s="26">
        <f>C66-F66</f>
        <v/>
      </c>
      <c r="C66" s="21" t="n">
        <v>156</v>
      </c>
      <c r="D66" s="9" t="n">
        <v>457.0059999999999</v>
      </c>
      <c r="E66" s="3" t="n">
        <v>2028</v>
      </c>
      <c r="F66" s="31" t="n">
        <v>156</v>
      </c>
      <c r="G66" s="32">
        <f>D66*F66</f>
        <v/>
      </c>
      <c r="H66" s="33">
        <f>B66*D66</f>
        <v/>
      </c>
    </row>
    <row r="67" ht="15.75" customHeight="1" thickBot="1">
      <c r="A67" s="8" t="inlineStr">
        <is>
          <t>PETITFEE - Aura Quartz Hydrogel Eye Patch [60ea]</t>
        </is>
      </c>
      <c r="B67" s="26">
        <f>C67-F67</f>
        <v/>
      </c>
      <c r="C67" s="21" t="n">
        <v>89</v>
      </c>
      <c r="D67" s="9" t="n">
        <v>650.419</v>
      </c>
      <c r="E67" s="3" t="n">
        <v>2028</v>
      </c>
      <c r="F67" s="31" t="n">
        <v>89</v>
      </c>
      <c r="G67" s="32">
        <f>D67*F67</f>
        <v/>
      </c>
      <c r="H67" s="33">
        <f>B67*D67</f>
        <v/>
      </c>
    </row>
    <row r="68" ht="15.75" customHeight="1" thickBot="1">
      <c r="A68" s="8" t="inlineStr">
        <is>
          <t>PETITFEE - Cacao Energizing Hydrogel Eye Patch [60ea] / Тонизирующие гидрогелевые патчи для глаз с экстрактом какао</t>
        </is>
      </c>
      <c r="B68" s="26">
        <f>C68-F68</f>
        <v/>
      </c>
      <c r="C68" s="21" t="n">
        <v>72</v>
      </c>
      <c r="D68" s="9" t="n">
        <v>457.0059999999999</v>
      </c>
      <c r="E68" s="3" t="n">
        <v>2028</v>
      </c>
      <c r="F68" s="31" t="n">
        <v>72</v>
      </c>
      <c r="G68" s="32">
        <f>D68*F68</f>
        <v/>
      </c>
      <c r="H68" s="33">
        <f>B68*D68</f>
        <v/>
      </c>
    </row>
    <row r="69" ht="15.75" customHeight="1" thickBot="1">
      <c r="A69" s="8" t="inlineStr">
        <is>
          <t>PETITFEE - Chamomile Lightening Hydrogel Eye Patch [60ea] / Успокаивающие гидрогелевые патчи для глаз с экстрактом ромашки</t>
        </is>
      </c>
      <c r="B69" s="26">
        <f>C69-F69</f>
        <v/>
      </c>
      <c r="C69" s="21" t="n">
        <v>0</v>
      </c>
      <c r="D69" s="9" t="n">
        <v>457.0059999999999</v>
      </c>
      <c r="E69" s="3" t="n">
        <v>2028</v>
      </c>
      <c r="F69" s="31" t="n"/>
      <c r="G69" s="32">
        <f>D69*F69</f>
        <v/>
      </c>
      <c r="H69" s="33">
        <f>B69*D69</f>
        <v/>
      </c>
    </row>
    <row r="70" ht="15.75" customHeight="1" thickBot="1">
      <c r="A70" s="8" t="inlineStr">
        <is>
          <t>PETITFEE - Gold &amp; EGF Hydrogel Eye &amp; Spot Patch [60ea]/ гидрогелевые патчи с золотом и EGF</t>
        </is>
      </c>
      <c r="B70" s="26">
        <f>C70-F70</f>
        <v/>
      </c>
      <c r="C70" s="21" t="n">
        <v>0</v>
      </c>
      <c r="D70" s="9" t="n">
        <v>423.555</v>
      </c>
      <c r="E70" s="3" t="n">
        <v>2028</v>
      </c>
      <c r="F70" s="31" t="n"/>
      <c r="G70" s="32">
        <f>D70*F70</f>
        <v/>
      </c>
      <c r="H70" s="33">
        <f>B70*D70</f>
        <v/>
      </c>
    </row>
    <row r="71" ht="15.75" customHeight="1" thickBot="1">
      <c r="A71" s="8" t="inlineStr">
        <is>
          <t>PETITFEE - Pink Vita Brightening Eye Patch [60ea] / Тканевые патчи для век увлажняющие</t>
        </is>
      </c>
      <c r="B71" s="26">
        <f>C71-F71</f>
        <v/>
      </c>
      <c r="C71" s="21" t="n">
        <v>117</v>
      </c>
      <c r="D71" s="9" t="n">
        <v>535.359</v>
      </c>
      <c r="E71" s="3" t="n">
        <v>2028</v>
      </c>
      <c r="F71" s="31" t="n">
        <v>117</v>
      </c>
      <c r="G71" s="32">
        <f>D71*F71</f>
        <v/>
      </c>
      <c r="H71" s="33">
        <f>B71*D71</f>
        <v/>
      </c>
    </row>
    <row r="72" ht="15.75" customHeight="1" thickBot="1">
      <c r="A72" s="8" t="inlineStr">
        <is>
          <t>PETITFEE - Black Pearl &amp; Gold Hydrogel Eye Patch [60ea] / Гидрогелевые патчи для глаз с черным жемчугом и золотом</t>
        </is>
      </c>
      <c r="B72" s="26">
        <f>C72-F72</f>
        <v/>
      </c>
      <c r="C72" s="21" t="n">
        <v>216</v>
      </c>
      <c r="D72" s="9" t="n">
        <v>426.437</v>
      </c>
      <c r="E72" s="3" t="n">
        <v>2028</v>
      </c>
      <c r="F72" s="31" t="n">
        <v>216</v>
      </c>
      <c r="G72" s="32">
        <f>D72*F72</f>
        <v/>
      </c>
      <c r="H72" s="33">
        <f>B72*D72</f>
        <v/>
      </c>
    </row>
    <row r="73" ht="15.75" customHeight="1" thickBot="1">
      <c r="A73" s="8" t="inlineStr">
        <is>
          <t>PETITFEE - Agave Cooling Hydrogel Eye Patch [60ea] / Охлаждающие гидрогелевые патчи для глаз с экстрактом агавы</t>
        </is>
      </c>
      <c r="B73" s="26">
        <f>C73-F73</f>
        <v/>
      </c>
      <c r="C73" s="21" t="n">
        <v>360</v>
      </c>
      <c r="D73" s="9" t="n">
        <v>457.0059999999999</v>
      </c>
      <c r="E73" s="3" t="n">
        <v>2028</v>
      </c>
      <c r="F73" s="31" t="n">
        <v>360</v>
      </c>
      <c r="G73" s="32">
        <f>D73*F73</f>
        <v/>
      </c>
      <c r="H73" s="33">
        <f>B73*D73</f>
        <v/>
      </c>
    </row>
    <row r="74" ht="15.75" customHeight="1" thickBot="1">
      <c r="A74" s="8" t="inlineStr">
        <is>
          <t>PETITFEE - Gold &amp; Snail Hydrogel Eye Patch [60ea] / Гидрогелевые патчи для глаз с золотом и улиткой</t>
        </is>
      </c>
      <c r="B74" s="26">
        <f>C74-F74</f>
        <v/>
      </c>
      <c r="C74" s="21" t="n">
        <v>144</v>
      </c>
      <c r="D74" s="9" t="n">
        <v>457.0059999999999</v>
      </c>
      <c r="E74" s="3" t="n">
        <v>2028</v>
      </c>
      <c r="F74" s="31" t="n">
        <v>144</v>
      </c>
      <c r="G74" s="32">
        <f>D74*F74</f>
        <v/>
      </c>
      <c r="H74" s="33">
        <f>B74*D74</f>
        <v/>
      </c>
    </row>
    <row r="75" ht="15.75" customHeight="1" thickBot="1">
      <c r="A75" s="8" t="inlineStr">
        <is>
          <t>PETITFEE - Gold Hydrogel Eye Patch [60ea] / гидрогелевые патчи для глаз с золотом</t>
        </is>
      </c>
      <c r="B75" s="26">
        <f>C75-F75</f>
        <v/>
      </c>
      <c r="C75" s="21" t="n">
        <v>405</v>
      </c>
      <c r="D75" s="9" t="n">
        <v>457.0059999999999</v>
      </c>
      <c r="E75" s="3" t="n">
        <v>2028</v>
      </c>
      <c r="F75" s="31" t="n">
        <v>405</v>
      </c>
      <c r="G75" s="32">
        <f>D75*F75</f>
        <v/>
      </c>
      <c r="H75" s="33">
        <f>B75*D75</f>
        <v/>
      </c>
    </row>
    <row r="76" ht="15.75" customHeight="1" thickBot="1">
      <c r="A76" s="8" t="inlineStr">
        <is>
          <t>PETITFEE - Black Pearl &amp; Gold Hydrogel Eye Patch [1 pairs]/ Гидрогелевые патчи для глаз с черным жемчугом и золотом 1 пара</t>
        </is>
      </c>
      <c r="B76" s="26">
        <f>C76-F76</f>
        <v/>
      </c>
      <c r="C76" s="21" t="n">
        <v>320</v>
      </c>
      <c r="D76" s="9" t="n">
        <v>78.36399999999999</v>
      </c>
      <c r="E76" s="3" t="n">
        <v>2028</v>
      </c>
      <c r="F76" s="31" t="n">
        <v>320</v>
      </c>
      <c r="G76" s="32">
        <f>D76*F76</f>
        <v/>
      </c>
      <c r="H76" s="33">
        <f>B76*D76</f>
        <v/>
      </c>
    </row>
    <row r="77" ht="15.75" customHeight="1" thickBot="1">
      <c r="A77" s="8" t="inlineStr">
        <is>
          <t>PETITFEE - Gold Hydrogel Eye Patch [1 Pairs] / гидрогелевые патчи для глаз с золотом 1 пара</t>
        </is>
      </c>
      <c r="B77" s="26">
        <f>C77-F77</f>
        <v/>
      </c>
      <c r="C77" s="21" t="n">
        <v>428</v>
      </c>
      <c r="D77" s="9" t="n">
        <v>78.36399999999999</v>
      </c>
      <c r="E77" s="3" t="n">
        <v>2028</v>
      </c>
      <c r="F77" s="31" t="n">
        <v>428</v>
      </c>
      <c r="G77" s="32">
        <f>D77*F77</f>
        <v/>
      </c>
      <c r="H77" s="33">
        <f>B77*D77</f>
        <v/>
      </c>
    </row>
    <row r="78" ht="15.75" customHeight="1" thickBot="1">
      <c r="A78" s="8" t="inlineStr">
        <is>
          <t>PETITFEE - Agave Cooling Hydrogel Face Mask [5pcs] / Охлаждающая гидрогелевая маска для лица с экстрактом агавы</t>
        </is>
      </c>
      <c r="B78" s="26">
        <f>C78-F78</f>
        <v/>
      </c>
      <c r="C78" s="21" t="n">
        <v>600</v>
      </c>
      <c r="D78" s="9" t="n">
        <v>535.051</v>
      </c>
      <c r="E78" s="3" t="n">
        <v>2028</v>
      </c>
      <c r="F78" s="31" t="n">
        <v>600</v>
      </c>
      <c r="G78" s="32">
        <f>D78*F78</f>
        <v/>
      </c>
      <c r="H78" s="33">
        <f>B78*D78</f>
        <v/>
      </c>
    </row>
    <row r="79" ht="15.75" customHeight="1" thickBot="1">
      <c r="A79" s="8" t="inlineStr">
        <is>
          <t>PETITFEE - Gold Hydrogel Mask Pack [5pcs] / Гидрогелевая маска для лица с золотом</t>
        </is>
      </c>
      <c r="B79" s="26">
        <f>C79-F79</f>
        <v/>
      </c>
      <c r="C79" s="21" t="n">
        <v>390</v>
      </c>
      <c r="D79" s="9" t="n">
        <v>557.876</v>
      </c>
      <c r="E79" s="3" t="n">
        <v>2028</v>
      </c>
      <c r="F79" s="31" t="n">
        <v>390</v>
      </c>
      <c r="G79" s="32">
        <f>D79*F79</f>
        <v/>
      </c>
      <c r="H79" s="33">
        <f>B79*D79</f>
        <v/>
      </c>
    </row>
    <row r="80" ht="15.75" customHeight="1" thickBot="1">
      <c r="A80" s="8" t="inlineStr">
        <is>
          <t>PETITFEE - Cacao Energizing Hydrogel Mask Pack [5pcs] / Тонизирующая гидрогелевая маска для лица с экстрактом какао</t>
        </is>
      </c>
      <c r="B80" s="26">
        <f>C80-F80</f>
        <v/>
      </c>
      <c r="C80" s="21" t="n">
        <v>90</v>
      </c>
      <c r="D80" s="9" t="n">
        <v>546.546</v>
      </c>
      <c r="E80" s="3" t="n">
        <v>2028</v>
      </c>
      <c r="F80" s="31" t="n">
        <v>90</v>
      </c>
      <c r="G80" s="32">
        <f>D80*F80</f>
        <v/>
      </c>
      <c r="H80" s="33">
        <f>B80*D80</f>
        <v/>
      </c>
    </row>
    <row r="81" ht="15.75" customHeight="1" thickBot="1">
      <c r="A81" s="8" t="inlineStr">
        <is>
          <t>PETITFEE - Artichoke Soothing Hydrogel Face Mask [5pcs] / Смягчающая гидрогелевая маска для лица с экстрактом артишока</t>
        </is>
      </c>
      <c r="B81" s="26">
        <f>C81-F81</f>
        <v/>
      </c>
      <c r="C81" s="21" t="n">
        <v>60</v>
      </c>
      <c r="D81" s="9" t="n">
        <v>548.394</v>
      </c>
      <c r="E81" s="3" t="n">
        <v>2028</v>
      </c>
      <c r="F81" s="31" t="n">
        <v>60</v>
      </c>
      <c r="G81" s="32">
        <f>D81*F81</f>
        <v/>
      </c>
      <c r="H81" s="33">
        <f>B81*D81</f>
        <v/>
      </c>
    </row>
    <row r="82" ht="15.75" customHeight="1" thickBot="1">
      <c r="A82" s="8" t="inlineStr">
        <is>
          <t>PETITFEE - Gold &amp; Snail Hydrogel Mask Pack [5pcs] / Гидрогелевая маска для лица с золотом и экстрактом улитки</t>
        </is>
      </c>
      <c r="B82" s="26">
        <f>C82-F82</f>
        <v/>
      </c>
      <c r="C82" s="21" t="n">
        <v>150</v>
      </c>
      <c r="D82" s="9" t="n">
        <v>525.987</v>
      </c>
      <c r="E82" s="3" t="n">
        <v>2028</v>
      </c>
      <c r="F82" s="31" t="n">
        <v>150</v>
      </c>
      <c r="G82" s="32">
        <f>D82*F82</f>
        <v/>
      </c>
      <c r="H82" s="33">
        <f>B82*D82</f>
        <v/>
      </c>
    </row>
    <row r="83" ht="15.75" customHeight="1" thickBot="1">
      <c r="A83" s="8" t="inlineStr">
        <is>
          <t>PETITFEE - Black Pearl &amp; Gold Hydrogel Mask Pack [5pcs] / Гидрогелевая маска для лица с черным жемчугом и золотом</t>
        </is>
      </c>
      <c r="B83" s="26">
        <f>C83-F83</f>
        <v/>
      </c>
      <c r="C83" s="21" t="n">
        <v>90</v>
      </c>
      <c r="D83" s="9" t="n">
        <v>525.855</v>
      </c>
      <c r="E83" s="3" t="n">
        <v>2028</v>
      </c>
      <c r="F83" s="31" t="n">
        <v>90</v>
      </c>
      <c r="G83" s="32">
        <f>D83*F83</f>
        <v/>
      </c>
      <c r="H83" s="33">
        <f>B83*D83</f>
        <v/>
      </c>
    </row>
    <row r="84" ht="15.75" customHeight="1" thickBot="1">
      <c r="A84" s="8" t="inlineStr">
        <is>
          <t>ROUND LAB 1025 DOKDO CLEANSER_150ml - Увлажняющая пенка для умывания лица</t>
        </is>
      </c>
      <c r="B84" s="26">
        <f>C84-F84</f>
        <v/>
      </c>
      <c r="C84" s="21" t="n">
        <v>7126</v>
      </c>
      <c r="D84" s="9" t="n">
        <v>509.509</v>
      </c>
      <c r="E84" s="3" t="n">
        <v>2028</v>
      </c>
      <c r="F84" s="31" t="n">
        <v>1000</v>
      </c>
      <c r="G84" s="32">
        <f>D84*F84</f>
        <v/>
      </c>
      <c r="H84" s="33">
        <f>B84*D84</f>
        <v/>
      </c>
    </row>
    <row r="85" ht="15.75" customHeight="1" thickBot="1">
      <c r="A85" s="8" t="inlineStr">
        <is>
          <t>ROUND LAB BIRCH JUICE MOISTURIZING CREAM_80ml -Увлажняющий крем с березовым соком</t>
        </is>
      </c>
      <c r="B85" s="26">
        <f>C85-F85</f>
        <v/>
      </c>
      <c r="C85" s="21" t="n">
        <v>259</v>
      </c>
      <c r="D85" s="9" t="n">
        <v>1202.256</v>
      </c>
      <c r="E85" s="3" t="n">
        <v>2028</v>
      </c>
      <c r="F85" s="31" t="n">
        <v>259</v>
      </c>
      <c r="G85" s="32">
        <f>D85*F85</f>
        <v/>
      </c>
      <c r="H85" s="33">
        <f>B85*D85</f>
        <v/>
      </c>
    </row>
    <row r="86" ht="15.75" customHeight="1" thickBot="1">
      <c r="A86" s="8" t="inlineStr">
        <is>
          <t>ROUND LAB MUGWORT CALMING CLEANSER_150ml - Очищающая пенка для умывания лица от прыщей и акне</t>
        </is>
      </c>
      <c r="B86" s="26">
        <f>C86-F86</f>
        <v/>
      </c>
      <c r="C86" s="21" t="n">
        <v>1422</v>
      </c>
      <c r="D86" s="9" t="n">
        <v>563.552</v>
      </c>
      <c r="E86" s="3" t="n">
        <v>2028</v>
      </c>
      <c r="F86" s="31" t="n">
        <v>600</v>
      </c>
      <c r="G86" s="32">
        <f>D86*F86</f>
        <v/>
      </c>
      <c r="H86" s="33">
        <f>B86*D86</f>
        <v/>
      </c>
    </row>
    <row r="87" ht="15.75" customHeight="1" thickBot="1">
      <c r="A87" s="8" t="inlineStr">
        <is>
          <t>ROUND LAB PINE CALMING CICA AMPOULE_30ml - Сыворотка для жирной кожи лица увлажняющая с центеллой</t>
        </is>
      </c>
      <c r="B87" s="26">
        <f>C87-F87</f>
        <v/>
      </c>
      <c r="C87" s="21" t="n">
        <v>32</v>
      </c>
      <c r="D87" s="9" t="n">
        <v>901.692</v>
      </c>
      <c r="E87" s="3" t="n">
        <v>2028</v>
      </c>
      <c r="F87" s="31" t="n">
        <v>32</v>
      </c>
      <c r="G87" s="32">
        <f>D87*F87</f>
        <v/>
      </c>
      <c r="H87" s="33">
        <f>B87*D87</f>
        <v/>
      </c>
    </row>
    <row r="88" ht="15.75" customHeight="1" thickBot="1">
      <c r="A88" s="8" t="inlineStr">
        <is>
          <t>ROUND LAB 1025 DOKDO TONER_200ml / Отшелушивающий тоник с морской водой</t>
        </is>
      </c>
      <c r="B88" s="26">
        <f>C88-F88</f>
        <v/>
      </c>
      <c r="C88" s="21" t="n">
        <v>966</v>
      </c>
      <c r="D88" s="9" t="n">
        <v>533.423</v>
      </c>
      <c r="E88" s="3" t="n">
        <v>2028</v>
      </c>
      <c r="F88" s="31" t="n">
        <v>400</v>
      </c>
      <c r="G88" s="32">
        <f>D88*F88</f>
        <v/>
      </c>
      <c r="H88" s="33">
        <f>B88*D88</f>
        <v/>
      </c>
    </row>
    <row r="89" ht="15.75" customHeight="1" thickBot="1">
      <c r="A89" s="8" t="inlineStr">
        <is>
          <t>SKIN1004 - Madagascar Centella Ampoule [30ml] / Сыворотка для лица успокаивающая из экстракта центеллы.</t>
        </is>
      </c>
      <c r="B89" s="26">
        <f>C89-F89</f>
        <v/>
      </c>
      <c r="C89" s="21" t="n">
        <v>30</v>
      </c>
      <c r="D89" s="9" t="n">
        <v>404.679</v>
      </c>
      <c r="E89" s="3" t="inlineStr">
        <is>
          <t>09,2028</t>
        </is>
      </c>
      <c r="F89" s="31" t="n">
        <v>30</v>
      </c>
      <c r="G89" s="32">
        <f>D89*F89</f>
        <v/>
      </c>
      <c r="H89" s="33">
        <f>B89*D89</f>
        <v/>
      </c>
    </row>
    <row r="90" ht="15.75" customHeight="1" thickBot="1">
      <c r="A90" s="8" t="inlineStr">
        <is>
          <t>SOME BY MI - AHA-BHA-PHA 30 Days Miracle Cream [60g] / Крем для лица</t>
        </is>
      </c>
      <c r="B90" s="26">
        <f>C90-F90</f>
        <v/>
      </c>
      <c r="C90" s="21" t="n">
        <v>55</v>
      </c>
      <c r="D90" s="9" t="n">
        <v>1162.92</v>
      </c>
      <c r="E90" s="3" t="inlineStr">
        <is>
          <t>12,2026</t>
        </is>
      </c>
      <c r="F90" s="31" t="n"/>
      <c r="G90" s="32">
        <f>D90*F90</f>
        <v/>
      </c>
      <c r="H90" s="33">
        <f>B90*D90</f>
        <v/>
      </c>
    </row>
    <row r="91" ht="15.75" customHeight="1" thickBot="1">
      <c r="A91" s="8" t="inlineStr">
        <is>
          <t>THE ORDINARY - Glycolic Acid 7% Toning Solution [KOR] [240ml] / Тоник с гликолевой кислотой 7%</t>
        </is>
      </c>
      <c r="B91" s="26">
        <f>C91-F91</f>
        <v/>
      </c>
      <c r="C91" s="21" t="n">
        <v>31</v>
      </c>
      <c r="D91" s="9" t="n">
        <v>930.039</v>
      </c>
      <c r="E91" s="3" t="inlineStr">
        <is>
          <t>12,2026</t>
        </is>
      </c>
      <c r="F91" s="31" t="n"/>
      <c r="G91" s="32">
        <f>D91*F91</f>
        <v/>
      </c>
      <c r="H91" s="33">
        <f>B91*D91</f>
        <v/>
      </c>
    </row>
    <row r="92" ht="15.75" customHeight="1" thickBot="1">
      <c r="A92" s="8" t="inlineStr">
        <is>
          <t>Celimax Dual Barrier Creamy Toner, тонер 150 мл</t>
        </is>
      </c>
      <c r="B92" s="26">
        <f>C92-F92</f>
        <v/>
      </c>
      <c r="C92" s="21" t="n">
        <v>4520</v>
      </c>
      <c r="D92" s="9" t="n">
        <v>730.246</v>
      </c>
      <c r="E92" s="3" t="n">
        <v>2028</v>
      </c>
      <c r="F92" s="31" t="n">
        <v>3000</v>
      </c>
      <c r="G92" s="32">
        <f>D92*F92</f>
        <v/>
      </c>
      <c r="H92" s="33">
        <f>B92*D92</f>
        <v/>
      </c>
    </row>
    <row r="93" ht="15.75" customHeight="1" thickBot="1">
      <c r="A93" s="8" t="inlineStr">
        <is>
          <t>CELIMAX THE VITA-A RETINAL SHOT TIGHTENING BOOSTER [15ml]/Подтягивающий бустер-крем с ретинолом для лица</t>
        </is>
      </c>
      <c r="B93" s="26">
        <f>C93-F93</f>
        <v/>
      </c>
      <c r="C93" s="21" t="n">
        <v>9493</v>
      </c>
      <c r="D93" s="9" t="n">
        <v>563.3979999999999</v>
      </c>
      <c r="E93" s="3" t="n">
        <v>2028</v>
      </c>
      <c r="F93" s="31" t="n">
        <v>3000</v>
      </c>
      <c r="G93" s="32">
        <f>D93*F93</f>
        <v/>
      </c>
      <c r="H93" s="33">
        <f>B93*D93</f>
        <v/>
      </c>
    </row>
    <row r="94" ht="15.75" customHeight="1" thickBot="1">
      <c r="A94" s="8" t="inlineStr">
        <is>
          <t>CELIMAX THE VITA-A RETINOL SHOT TIGHTENING SERUM [30ml]/Сыворотка с ретинолом и микроиглами для лица</t>
        </is>
      </c>
      <c r="B94" s="26">
        <f>C94-F94</f>
        <v/>
      </c>
      <c r="C94" s="21" t="n">
        <v>3112</v>
      </c>
      <c r="D94" s="9" t="n">
        <v>585.3100000000001</v>
      </c>
      <c r="E94" s="3" t="n">
        <v>2028</v>
      </c>
      <c r="F94" s="31" t="n">
        <v>3000</v>
      </c>
      <c r="G94" s="32">
        <f>D94*F94</f>
        <v/>
      </c>
      <c r="H94" s="33">
        <f>B94*D94</f>
        <v/>
      </c>
    </row>
    <row r="95" ht="15.75" customHeight="1" thickBot="1">
      <c r="A95" s="8" t="inlineStr">
        <is>
          <t>CELIMAX JI WOO GAE CICA BHA BLEMISH TONER PAD_10EA [30ml]/успокаивающие тонер-пэды</t>
        </is>
      </c>
      <c r="B95" s="26">
        <f>C95-F95</f>
        <v/>
      </c>
      <c r="C95" s="21" t="n">
        <v>1000</v>
      </c>
      <c r="D95" s="9" t="n">
        <v>106.634</v>
      </c>
      <c r="E95" s="3" t="n">
        <v>2028</v>
      </c>
      <c r="F95" s="31" t="n">
        <v>1000</v>
      </c>
      <c r="G95" s="32">
        <f>D95*F95</f>
        <v/>
      </c>
      <c r="H95" s="33">
        <f>B95*D95</f>
        <v/>
      </c>
    </row>
    <row r="96" ht="15.75" customHeight="1" thickBot="1">
      <c r="A96" s="8" t="inlineStr">
        <is>
          <t>CELIMAX PORE+DARK SPOT BRIGHTENING CREAM [35ml]/Крем для выравнивания тона и рельефа кожи лица</t>
        </is>
      </c>
      <c r="B96" s="26">
        <f>C96-F96</f>
        <v/>
      </c>
      <c r="C96" s="21" t="n">
        <v>13</v>
      </c>
      <c r="D96" s="9" t="n">
        <v>685.7729999999999</v>
      </c>
      <c r="E96" s="3" t="n">
        <v>2028</v>
      </c>
      <c r="F96" s="31" t="n">
        <v>13</v>
      </c>
      <c r="G96" s="32">
        <f>D96*F96</f>
        <v/>
      </c>
      <c r="H96" s="33">
        <f>B96*D96</f>
        <v/>
      </c>
    </row>
    <row r="97" ht="15.75" customHeight="1" thickBot="1">
      <c r="A97" s="8" t="inlineStr">
        <is>
          <t>CELIMAX DUAL BARRIER SKIN WEARABLE CREAM [50ml]/Крем для восстановления защитного барьера кожи лица</t>
        </is>
      </c>
      <c r="B97" s="26">
        <f>C97-F97</f>
        <v/>
      </c>
      <c r="C97" s="21" t="n">
        <v>90</v>
      </c>
      <c r="D97" s="9" t="n">
        <v>950.521</v>
      </c>
      <c r="E97" s="3" t="n">
        <v>12.2027</v>
      </c>
      <c r="F97" s="31" t="n"/>
      <c r="G97" s="32">
        <f>D97*F97</f>
        <v/>
      </c>
      <c r="H97" s="33">
        <f>B97*D97</f>
        <v/>
      </c>
    </row>
    <row r="98" ht="15.75" customHeight="1" thickBot="1">
      <c r="A98" s="8" t="inlineStr">
        <is>
          <t>CELIMAX JI WOO GAE CICA BHA BLEMISH TONER PAD [170ml / 60pads]/Тонер-пэды от воспалений</t>
        </is>
      </c>
      <c r="B98" s="26">
        <f>C98-F98</f>
        <v/>
      </c>
      <c r="C98" s="21" t="n">
        <v>1500</v>
      </c>
      <c r="D98" s="9" t="n">
        <v>778.668</v>
      </c>
      <c r="E98" s="3" t="n">
        <v>2028</v>
      </c>
      <c r="F98" s="31" t="n"/>
      <c r="G98" s="32">
        <f>D98*F98</f>
        <v/>
      </c>
      <c r="H98" s="33">
        <f>B98*D98</f>
        <v/>
      </c>
    </row>
    <row r="99" ht="15.75" customHeight="1" thickBot="1">
      <c r="A99" s="8" t="inlineStr">
        <is>
          <t>CELIMAX THE REAL NONI ENERGY AMPOULE_30ML (NEW) [30ml]/Восстанавливающая сыворотка с экстрактом нони для лица</t>
        </is>
      </c>
      <c r="B99" s="26">
        <f>C99-F99</f>
        <v/>
      </c>
      <c r="C99" s="21" t="n">
        <v>57</v>
      </c>
      <c r="D99" s="9" t="n">
        <v>840.213</v>
      </c>
      <c r="E99" s="3" t="n">
        <v>2028</v>
      </c>
      <c r="F99" s="31" t="n"/>
      <c r="G99" s="32">
        <f>D99*F99</f>
        <v/>
      </c>
      <c r="H99" s="33">
        <f>B99*D99</f>
        <v/>
      </c>
    </row>
    <row r="100" ht="15.75" customHeight="1" thickBot="1">
      <c r="A100" s="8" t="inlineStr">
        <is>
          <t>CELIMAX PORE+DARK SPOT BRIGHTENING PAD [100ml / 40pads]/Тонер-пэды для выравнивания тона и рельефа кожи</t>
        </is>
      </c>
      <c r="B100" s="26">
        <f>C100-F100</f>
        <v/>
      </c>
      <c r="C100" s="21" t="n">
        <v>1375</v>
      </c>
      <c r="D100" s="9" t="n">
        <v>611.798</v>
      </c>
      <c r="E100" s="3" t="n">
        <v>2028</v>
      </c>
      <c r="F100" s="31" t="n">
        <v>300</v>
      </c>
      <c r="G100" s="32">
        <f>D100*F100</f>
        <v/>
      </c>
      <c r="H100" s="33">
        <f>B100*D100</f>
        <v/>
      </c>
    </row>
    <row r="101" ht="15.75" customHeight="1" thickBot="1">
      <c r="A101" s="8" t="inlineStr">
        <is>
          <t>CELIMAX PORE+DARK SPOT BRIGHTENING SERUM_30ml [30ml]/Сыворотка для выравнивания тона и рельефа кожи лица</t>
        </is>
      </c>
      <c r="B101" s="26">
        <f>C101-F101</f>
        <v/>
      </c>
      <c r="C101" s="21" t="n">
        <v>70</v>
      </c>
      <c r="D101" s="9" t="n">
        <v>756.3380000000001</v>
      </c>
      <c r="E101" s="3" t="n">
        <v>11.2027</v>
      </c>
      <c r="F101" s="31" t="n">
        <v>70</v>
      </c>
      <c r="G101" s="32">
        <f>D101*F101</f>
        <v/>
      </c>
      <c r="H101" s="33">
        <f>B101*D101</f>
        <v/>
      </c>
    </row>
    <row r="102" ht="15.75" customHeight="1" thickBot="1">
      <c r="A102" s="8" t="inlineStr">
        <is>
          <t>CELIMAX THE REAL NONI MOISTURE BALANCING TONER (NEW) [150ml]/Восстанавливающий тонер с экстрактом нони</t>
        </is>
      </c>
      <c r="B102" s="26">
        <f>C102-F102</f>
        <v/>
      </c>
      <c r="C102" s="21" t="n">
        <v>23</v>
      </c>
      <c r="D102" s="9" t="n">
        <v>791.538</v>
      </c>
      <c r="E102" s="3" t="n">
        <v>2028</v>
      </c>
      <c r="F102" s="31" t="n">
        <v>23</v>
      </c>
      <c r="G102" s="32">
        <f>D102*F102</f>
        <v/>
      </c>
      <c r="H102" s="33">
        <f>B102*D102</f>
        <v/>
      </c>
    </row>
    <row r="103" ht="15.75" customHeight="1" thickBot="1">
      <c r="A103" s="8" t="inlineStr">
        <is>
          <t>VT PDRN ESSENCE 100 / Укрепляющая бустер-эссенция с ПДРН</t>
        </is>
      </c>
      <c r="B103" s="26">
        <f>C103-F103</f>
        <v/>
      </c>
      <c r="C103" s="21" t="n">
        <v>1009</v>
      </c>
      <c r="D103" s="9" t="n">
        <v>1469.545</v>
      </c>
      <c r="E103" s="3" t="n">
        <v>2028</v>
      </c>
      <c r="F103" s="31" t="n">
        <v>400</v>
      </c>
      <c r="G103" s="32">
        <f>D103*F103</f>
        <v/>
      </c>
      <c r="H103" s="33">
        <f>B103*D103</f>
        <v/>
      </c>
    </row>
    <row r="104" ht="15.75" customHeight="1" thickBot="1">
      <c r="A104" s="8" t="inlineStr">
        <is>
          <t>VT REEDLE SHOT 100 / Бустер-сыворотка с микроиглами</t>
        </is>
      </c>
      <c r="B104" s="26">
        <f>C104-F104</f>
        <v/>
      </c>
      <c r="C104" s="21" t="n">
        <v>397</v>
      </c>
      <c r="D104" s="9" t="n">
        <v>1071.444</v>
      </c>
      <c r="E104" s="3" t="n">
        <v>2028</v>
      </c>
      <c r="F104" s="31" t="n">
        <v>397</v>
      </c>
      <c r="G104" s="32">
        <f>D104*F104</f>
        <v/>
      </c>
      <c r="H104" s="33">
        <f>B104*D104</f>
        <v/>
      </c>
    </row>
    <row r="105">
      <c r="G105" s="28">
        <f>SUM(G3:G104)</f>
        <v/>
      </c>
      <c r="H105" s="29">
        <f>SUM(H2:H104)</f>
        <v/>
      </c>
    </row>
  </sheetData>
  <autoFilter ref="A1:G109"/>
  <pageMargins left="0.7" right="0.7" top="0.75" bottom="0.75" header="0.3" footer="0.3"/>
  <pageSetup orientation="portrait" paperSize="257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2026-08-05T12:44:14Z</dcterms:created>
  <dcterms:modified xmlns:dcterms="http://purl.org/dc/terms/" xmlns:xsi="http://www.w3.org/2001/XMLSchema-instance" xsi:type="dcterms:W3CDTF">2026-09-01T00:19:28Z</dcterms:modified>
  <cp:lastModifiedBy>arteomovsus@mail.ru</cp:lastModifiedBy>
  <cp:lastPrinted>2026-08-25T13:43:14Z</cp:lastPrinted>
</cp:coreProperties>
</file>
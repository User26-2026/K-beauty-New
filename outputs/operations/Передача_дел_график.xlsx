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по дням" sheetId="1" state="visible" r:id="rId1"/>
    <sheet name="Написать инструкции" sheetId="2" state="visible" r:id="rId2"/>
    <sheet name="Чек-лист приемки" sheetId="3" state="visible" r:id="rId3"/>
  </sheets>
  <definedNames>
    <definedName name="_xlnm._FilterDatabase" localSheetId="0" hidden="1">'График по дням'!$A$4:$G$39</definedName>
    <definedName name="_xlnm._FilterDatabase" localSheetId="2" hidden="1">'Чек-лист приемки'!$A$4:$E$34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C0000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FCE4E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9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66" customWidth="1" min="3" max="3"/>
    <col width="20" customWidth="1" min="4" max="4"/>
    <col width="13" customWidth="1" min="5" max="5"/>
    <col width="11" customWidth="1" min="6" max="6"/>
    <col width="34" customWidth="1" min="7" max="7"/>
  </cols>
  <sheetData>
    <row r="1">
      <c r="A1" s="1" t="inlineStr">
        <is>
          <t>Передача дел: график на две недели</t>
        </is>
      </c>
    </row>
    <row r="2">
      <c r="A2" s="2" t="inlineStr">
        <is>
          <t>Последний рабочий день — 23 сентября. Главная задача — привести остатки в порядок: только вы знаете, что отгружено с июня 2025. Новому человеку передаем уже выверенный склад.</t>
        </is>
      </c>
    </row>
    <row r="4" ht="28" customHeight="1">
      <c r="A4" s="3" t="inlineStr">
        <is>
          <t>День</t>
        </is>
      </c>
      <c r="B4" s="3" t="inlineStr">
        <is>
          <t>Дата</t>
        </is>
      </c>
      <c r="C4" s="3" t="inlineStr">
        <is>
          <t>Что передать</t>
        </is>
      </c>
      <c r="D4" s="3" t="inlineStr">
        <is>
          <t>Кому</t>
        </is>
      </c>
      <c r="E4" s="3" t="inlineStr">
        <is>
          <t>Важность</t>
        </is>
      </c>
      <c r="F4" s="3" t="inlineStr">
        <is>
          <t>Сделано</t>
        </is>
      </c>
      <c r="G4" s="3" t="inlineStr">
        <is>
          <t>Комментарий</t>
        </is>
      </c>
    </row>
    <row r="5">
      <c r="A5" s="4" t="n">
        <v>1</v>
      </c>
      <c r="B5" s="4" t="inlineStr">
        <is>
          <t>10.09 Чт</t>
        </is>
      </c>
      <c r="C5" s="5" t="inlineStr">
        <is>
          <t>Логины и пароли: личные кабинеты ДЭК и Водоканала</t>
        </is>
      </c>
      <c r="D5" s="6" t="inlineStr">
        <is>
          <t>Москва</t>
        </is>
      </c>
      <c r="E5" s="7" t="inlineStr">
        <is>
          <t>критично</t>
        </is>
      </c>
      <c r="F5" s="8" t="inlineStr">
        <is>
          <t>Нет</t>
        </is>
      </c>
      <c r="G5" s="9" t="inlineStr"/>
    </row>
    <row r="6">
      <c r="A6" s="4" t="n">
        <v>1</v>
      </c>
      <c r="B6" s="4" t="inlineStr">
        <is>
          <t>10.09 Чт</t>
        </is>
      </c>
      <c r="C6" s="5" t="inlineStr">
        <is>
          <t>Логины и пароли: рабочая почта, Фарпост, площадки объявлений</t>
        </is>
      </c>
      <c r="D6" s="6" t="inlineStr">
        <is>
          <t>Москва</t>
        </is>
      </c>
      <c r="E6" s="7" t="inlineStr">
        <is>
          <t>критично</t>
        </is>
      </c>
      <c r="F6" s="8" t="inlineStr">
        <is>
          <t>Нет</t>
        </is>
      </c>
      <c r="G6" s="9" t="inlineStr"/>
    </row>
    <row r="7">
      <c r="A7" s="4" t="n">
        <v>1</v>
      </c>
      <c r="B7" s="4" t="inlineStr">
        <is>
          <t>10.09 Чт</t>
        </is>
      </c>
      <c r="C7" s="5" t="inlineStr">
        <is>
          <t>Лицевые счета по всем четырем объектам</t>
        </is>
      </c>
      <c r="D7" s="6" t="inlineStr">
        <is>
          <t>Москва</t>
        </is>
      </c>
      <c r="E7" s="7" t="inlineStr">
        <is>
          <t>критично</t>
        </is>
      </c>
      <c r="F7" s="8" t="inlineStr">
        <is>
          <t>Нет</t>
        </is>
      </c>
      <c r="G7" s="9" t="inlineStr"/>
    </row>
    <row r="8">
      <c r="A8" s="4" t="n">
        <v>1</v>
      </c>
      <c r="B8" s="4" t="inlineStr">
        <is>
          <t>10.09 Чт</t>
        </is>
      </c>
      <c r="C8" s="5" t="inlineStr">
        <is>
          <t>ОСТАТКИ: начать список того, что отгружено с 16.06.2025</t>
        </is>
      </c>
      <c r="D8" s="6" t="inlineStr">
        <is>
          <t>Москва</t>
        </is>
      </c>
      <c r="E8" s="7" t="inlineStr">
        <is>
          <t>критично</t>
        </is>
      </c>
      <c r="F8" s="8" t="inlineStr">
        <is>
          <t>Нет</t>
        </is>
      </c>
      <c r="G8" s="9" t="inlineStr"/>
    </row>
    <row r="9">
      <c r="A9" s="4" t="n">
        <v>2</v>
      </c>
      <c r="B9" s="4" t="inlineStr">
        <is>
          <t>11.09 Пт</t>
        </is>
      </c>
      <c r="C9" s="5" t="inlineStr">
        <is>
          <t>ОСТАТКИ: список отгрузок за 15 месяцев — что, сколько, кому, когда</t>
        </is>
      </c>
      <c r="D9" s="6" t="inlineStr">
        <is>
          <t>Москва</t>
        </is>
      </c>
      <c r="E9" s="7" t="inlineStr">
        <is>
          <t>критично</t>
        </is>
      </c>
      <c r="F9" s="8" t="inlineStr">
        <is>
          <t>Нет</t>
        </is>
      </c>
      <c r="G9" s="9" t="inlineStr"/>
    </row>
    <row r="10">
      <c r="A10" s="4" t="n">
        <v>2</v>
      </c>
      <c r="B10" s="4" t="inlineStr">
        <is>
          <t>11.09 Пт</t>
        </is>
      </c>
      <c r="C10" s="5" t="inlineStr">
        <is>
          <t>Открытые заказы по косметике: что оплачено и еще не отгружено</t>
        </is>
      </c>
      <c r="D10" s="6" t="inlineStr">
        <is>
          <t>Москва</t>
        </is>
      </c>
      <c r="E10" s="7" t="inlineStr">
        <is>
          <t>критично</t>
        </is>
      </c>
      <c r="F10" s="8" t="inlineStr">
        <is>
          <t>Нет</t>
        </is>
      </c>
      <c r="G10" s="9" t="inlineStr"/>
    </row>
    <row r="11">
      <c r="A11" s="4" t="n">
        <v>2</v>
      </c>
      <c r="B11" s="4" t="inlineStr">
        <is>
          <t>11.09 Пт</t>
        </is>
      </c>
      <c r="C11" s="5" t="inlineStr">
        <is>
          <t>Заказы в пути: что едет и когда придет</t>
        </is>
      </c>
      <c r="D11" s="6" t="inlineStr">
        <is>
          <t>Москва</t>
        </is>
      </c>
      <c r="E11" s="7" t="inlineStr">
        <is>
          <t>критично</t>
        </is>
      </c>
      <c r="F11" s="8" t="inlineStr">
        <is>
          <t>Нет</t>
        </is>
      </c>
      <c r="G11" s="9" t="inlineStr"/>
    </row>
    <row r="12">
      <c r="A12" s="4" t="n">
        <v>3</v>
      </c>
      <c r="B12" s="4" t="inlineStr">
        <is>
          <t>14.09 Пн</t>
        </is>
      </c>
      <c r="C12" s="5" t="inlineStr">
        <is>
          <t>ОСТАТКИ: пересчет 79 позиций, дающих 80% стоимости, часть 1</t>
        </is>
      </c>
      <c r="D12" s="6" t="inlineStr">
        <is>
          <t>Москва</t>
        </is>
      </c>
      <c r="E12" s="7" t="inlineStr">
        <is>
          <t>критично</t>
        </is>
      </c>
      <c r="F12" s="8" t="inlineStr">
        <is>
          <t>Нет</t>
        </is>
      </c>
      <c r="G12" s="9" t="inlineStr"/>
    </row>
    <row r="13">
      <c r="A13" s="4" t="n">
        <v>3</v>
      </c>
      <c r="B13" s="4" t="inlineStr">
        <is>
          <t>14.09 Пн</t>
        </is>
      </c>
      <c r="C13" s="5" t="inlineStr">
        <is>
          <t>Опись ключей: от каких помещений, у кого дубликаты</t>
        </is>
      </c>
      <c r="D13" s="6" t="inlineStr">
        <is>
          <t>Москва</t>
        </is>
      </c>
      <c r="E13" s="7" t="inlineStr">
        <is>
          <t>критично</t>
        </is>
      </c>
      <c r="F13" s="8" t="inlineStr">
        <is>
          <t>Нет</t>
        </is>
      </c>
      <c r="G13" s="9" t="inlineStr"/>
    </row>
    <row r="14">
      <c r="A14" s="4" t="n">
        <v>3</v>
      </c>
      <c r="B14" s="4" t="inlineStr">
        <is>
          <t>14.09 Пн</t>
        </is>
      </c>
      <c r="C14" s="5" t="inlineStr">
        <is>
          <t>Подотчетные деньги: остаток и за что платили наличными</t>
        </is>
      </c>
      <c r="D14" s="6" t="inlineStr">
        <is>
          <t>Москва</t>
        </is>
      </c>
      <c r="E14" s="7" t="inlineStr">
        <is>
          <t>критично</t>
        </is>
      </c>
      <c r="F14" s="8" t="inlineStr">
        <is>
          <t>Нет</t>
        </is>
      </c>
      <c r="G14" s="9" t="inlineStr"/>
    </row>
    <row r="15">
      <c r="A15" s="4" t="n">
        <v>4</v>
      </c>
      <c r="B15" s="4" t="inlineStr">
        <is>
          <t>15.09 Вт</t>
        </is>
      </c>
      <c r="C15" s="5" t="inlineStr">
        <is>
          <t>ОСТАТКИ: пересчет 79 позиций, часть 2</t>
        </is>
      </c>
      <c r="D15" s="6" t="inlineStr">
        <is>
          <t>Москва</t>
        </is>
      </c>
      <c r="E15" s="7" t="inlineStr">
        <is>
          <t>критично</t>
        </is>
      </c>
      <c r="F15" s="8" t="inlineStr">
        <is>
          <t>Нет</t>
        </is>
      </c>
      <c r="G15" s="9" t="inlineStr"/>
    </row>
    <row r="16">
      <c r="A16" s="4" t="n">
        <v>4</v>
      </c>
      <c r="B16" s="4" t="inlineStr">
        <is>
          <t>15.09 Вт</t>
        </is>
      </c>
      <c r="C16" s="5" t="inlineStr">
        <is>
          <t>Порядок подачи показаний по Светланской: куда и в какие числа</t>
        </is>
      </c>
      <c r="D16" s="6" t="inlineStr">
        <is>
          <t>Москва</t>
        </is>
      </c>
      <c r="E16" s="7" t="inlineStr">
        <is>
          <t>критично</t>
        </is>
      </c>
      <c r="F16" s="8" t="inlineStr">
        <is>
          <t>Нет</t>
        </is>
      </c>
      <c r="G16" s="9" t="inlineStr"/>
    </row>
    <row r="17">
      <c r="A17" s="4" t="n">
        <v>4</v>
      </c>
      <c r="B17" s="4" t="inlineStr">
        <is>
          <t>15.09 Вт</t>
        </is>
      </c>
      <c r="C17" s="5" t="inlineStr">
        <is>
          <t>Лицевой счет по Аксаковской и ссылка</t>
        </is>
      </c>
      <c r="D17" s="6" t="inlineStr">
        <is>
          <t>Москва</t>
        </is>
      </c>
      <c r="E17" s="7" t="inlineStr">
        <is>
          <t>критично</t>
        </is>
      </c>
      <c r="F17" s="8" t="inlineStr">
        <is>
          <t>Нет</t>
        </is>
      </c>
      <c r="G17" s="9" t="inlineStr"/>
    </row>
    <row r="18">
      <c r="A18" s="4" t="n">
        <v>4</v>
      </c>
      <c r="B18" s="4" t="inlineStr">
        <is>
          <t>15.09 Вт</t>
        </is>
      </c>
      <c r="C18" s="5" t="inlineStr">
        <is>
          <t>Договоры и сканы: энергоснабжение, водоснабжение, аренда</t>
        </is>
      </c>
      <c r="D18" s="6" t="inlineStr">
        <is>
          <t>Москва</t>
        </is>
      </c>
      <c r="E18" s="7" t="inlineStr">
        <is>
          <t>критично</t>
        </is>
      </c>
      <c r="F18" s="8" t="inlineStr">
        <is>
          <t>Нет</t>
        </is>
      </c>
      <c r="G18" s="9" t="inlineStr"/>
    </row>
    <row r="19">
      <c r="A19" s="4" t="n">
        <v>5</v>
      </c>
      <c r="B19" s="4" t="inlineStr">
        <is>
          <t>16.09 Ср</t>
        </is>
      </c>
      <c r="C19" s="5" t="inlineStr">
        <is>
          <t>ОСТАТКИ: свести пересчет и список отгрузок, объяснить расхождения</t>
        </is>
      </c>
      <c r="D19" s="6" t="inlineStr">
        <is>
          <t>Москва</t>
        </is>
      </c>
      <c r="E19" s="7" t="inlineStr">
        <is>
          <t>критично</t>
        </is>
      </c>
      <c r="F19" s="8" t="inlineStr">
        <is>
          <t>Нет</t>
        </is>
      </c>
      <c r="G19" s="9" t="inlineStr"/>
    </row>
    <row r="20">
      <c r="A20" s="4" t="n">
        <v>5</v>
      </c>
      <c r="B20" s="4" t="inlineStr">
        <is>
          <t>16.09 Ср</t>
        </is>
      </c>
      <c r="C20" s="5" t="inlineStr">
        <is>
          <t>Сверка расчетов с поставщиками: кому должны, кто должен нам</t>
        </is>
      </c>
      <c r="D20" s="6" t="inlineStr">
        <is>
          <t>Москва</t>
        </is>
      </c>
      <c r="E20" s="7" t="inlineStr">
        <is>
          <t>критично</t>
        </is>
      </c>
      <c r="F20" s="8" t="inlineStr">
        <is>
          <t>Нет</t>
        </is>
      </c>
      <c r="G20" s="9" t="inlineStr"/>
    </row>
    <row r="21">
      <c r="A21" s="4" t="n">
        <v>6</v>
      </c>
      <c r="B21" s="4" t="inlineStr">
        <is>
          <t>17.09 Чт</t>
        </is>
      </c>
      <c r="C21" s="5" t="inlineStr">
        <is>
          <t>Заполнить реестр контактов: все, с кем общались за год</t>
        </is>
      </c>
      <c r="D21" s="6" t="inlineStr">
        <is>
          <t>Москва</t>
        </is>
      </c>
      <c r="E21" s="7" t="inlineStr">
        <is>
          <t>критично</t>
        </is>
      </c>
      <c r="F21" s="8" t="inlineStr">
        <is>
          <t>Нет</t>
        </is>
      </c>
      <c r="G21" s="9" t="inlineStr"/>
    </row>
    <row r="22">
      <c r="A22" s="4" t="n">
        <v>6</v>
      </c>
      <c r="B22" s="4" t="inlineStr">
        <is>
          <t>17.09 Чт</t>
        </is>
      </c>
      <c r="C22" s="5" t="inlineStr">
        <is>
          <t>Отдельно: мастер по ремонту арматуры, сварщик, электрик</t>
        </is>
      </c>
      <c r="D22" s="6" t="inlineStr">
        <is>
          <t>Москва</t>
        </is>
      </c>
      <c r="E22" s="6" t="inlineStr">
        <is>
          <t>важно</t>
        </is>
      </c>
      <c r="F22" s="8" t="inlineStr">
        <is>
          <t>Нет</t>
        </is>
      </c>
      <c r="G22" s="9" t="inlineStr"/>
    </row>
    <row r="23">
      <c r="A23" s="4" t="n">
        <v>6</v>
      </c>
      <c r="B23" s="4" t="inlineStr">
        <is>
          <t>17.09 Чт</t>
        </is>
      </c>
      <c r="C23" s="5" t="inlineStr">
        <is>
          <t>Отдельно: воровайка, кран, вывоз мусора, приемка металла</t>
        </is>
      </c>
      <c r="D23" s="6" t="inlineStr">
        <is>
          <t>Москва</t>
        </is>
      </c>
      <c r="E23" s="6" t="inlineStr">
        <is>
          <t>важно</t>
        </is>
      </c>
      <c r="F23" s="8" t="inlineStr">
        <is>
          <t>Нет</t>
        </is>
      </c>
      <c r="G23" s="9" t="inlineStr"/>
    </row>
    <row r="24">
      <c r="A24" s="4" t="n">
        <v>6</v>
      </c>
      <c r="B24" s="4" t="inlineStr">
        <is>
          <t>17.09 Чт</t>
        </is>
      </c>
      <c r="C24" s="5" t="inlineStr">
        <is>
          <t>Отдельно: таможенный брокер и перевозчики по контейнерам</t>
        </is>
      </c>
      <c r="D24" s="6" t="inlineStr">
        <is>
          <t>Москва</t>
        </is>
      </c>
      <c r="E24" s="7" t="inlineStr">
        <is>
          <t>критично</t>
        </is>
      </c>
      <c r="F24" s="8" t="inlineStr">
        <is>
          <t>Нет</t>
        </is>
      </c>
      <c r="G24" s="9" t="inlineStr"/>
    </row>
    <row r="25">
      <c r="A25" s="4" t="n">
        <v>7</v>
      </c>
      <c r="B25" s="4" t="inlineStr">
        <is>
          <t>18.09 Пт</t>
        </is>
      </c>
      <c r="C25" s="5" t="inlineStr">
        <is>
          <t>Бренды и заводы по косметике: контакты, цены, скидки, минимальная партия</t>
        </is>
      </c>
      <c r="D25" s="6" t="inlineStr">
        <is>
          <t>Москва</t>
        </is>
      </c>
      <c r="E25" s="7" t="inlineStr">
        <is>
          <t>критично</t>
        </is>
      </c>
      <c r="F25" s="8" t="inlineStr">
        <is>
          <t>Нет</t>
        </is>
      </c>
      <c r="G25" s="9" t="inlineStr"/>
    </row>
    <row r="26">
      <c r="A26" s="4" t="n">
        <v>7</v>
      </c>
      <c r="B26" s="4" t="inlineStr">
        <is>
          <t>18.09 Пт</t>
        </is>
      </c>
      <c r="C26" s="5" t="inlineStr">
        <is>
          <t>Байер, консолидатор, склад в Корее, логистика</t>
        </is>
      </c>
      <c r="D26" s="6" t="inlineStr">
        <is>
          <t>Москва</t>
        </is>
      </c>
      <c r="E26" s="7" t="inlineStr">
        <is>
          <t>критично</t>
        </is>
      </c>
      <c r="F26" s="8" t="inlineStr">
        <is>
          <t>Нет</t>
        </is>
      </c>
      <c r="G26" s="9" t="inlineStr"/>
    </row>
    <row r="27">
      <c r="A27" s="4" t="n">
        <v>7</v>
      </c>
      <c r="B27" s="4" t="inlineStr">
        <is>
          <t>18.09 Пт</t>
        </is>
      </c>
      <c r="C27" s="5" t="inlineStr">
        <is>
          <t>Документы: CPNP, декларации, Честный знак</t>
        </is>
      </c>
      <c r="D27" s="6" t="inlineStr">
        <is>
          <t>Москва</t>
        </is>
      </c>
      <c r="E27" s="6" t="inlineStr">
        <is>
          <t>важно</t>
        </is>
      </c>
      <c r="F27" s="8" t="inlineStr">
        <is>
          <t>Нет</t>
        </is>
      </c>
      <c r="G27" s="9" t="inlineStr"/>
    </row>
    <row r="28">
      <c r="A28" s="4" t="n">
        <v>7</v>
      </c>
      <c r="B28" s="4" t="inlineStr">
        <is>
          <t>18.09 Пт</t>
        </is>
      </c>
      <c r="C28" s="5" t="inlineStr">
        <is>
          <t>Журнал обзвона покупателей со статусами по каждой компании</t>
        </is>
      </c>
      <c r="D28" s="6" t="inlineStr">
        <is>
          <t>Олеся</t>
        </is>
      </c>
      <c r="E28" s="7" t="inlineStr">
        <is>
          <t>критично</t>
        </is>
      </c>
      <c r="F28" s="8" t="inlineStr">
        <is>
          <t>Нет</t>
        </is>
      </c>
      <c r="G28" s="9" t="inlineStr"/>
    </row>
    <row r="29">
      <c r="A29" s="4" t="n">
        <v>7</v>
      </c>
      <c r="B29" s="4" t="inlineStr">
        <is>
          <t>18.09 Пт</t>
        </is>
      </c>
      <c r="C29" s="5" t="inlineStr">
        <is>
          <t>Кому отправлены КП и фото, кто что просил, кто в переговорах</t>
        </is>
      </c>
      <c r="D29" s="6" t="inlineStr">
        <is>
          <t>Олеся</t>
        </is>
      </c>
      <c r="E29" s="7" t="inlineStr">
        <is>
          <t>критично</t>
        </is>
      </c>
      <c r="F29" s="8" t="inlineStr">
        <is>
          <t>Нет</t>
        </is>
      </c>
      <c r="G29" s="9" t="inlineStr"/>
    </row>
    <row r="30">
      <c r="A30" s="4" t="n">
        <v>8</v>
      </c>
      <c r="B30" s="4" t="inlineStr">
        <is>
          <t>21.09 Пн</t>
        </is>
      </c>
      <c r="C30" s="5" t="inlineStr">
        <is>
          <t>Обход Калинина вместе с новым сотрудником: счетчики, ключи, склад</t>
        </is>
      </c>
      <c r="D30" s="6" t="inlineStr">
        <is>
          <t>новый сотрудник</t>
        </is>
      </c>
      <c r="E30" s="7" t="inlineStr">
        <is>
          <t>критично</t>
        </is>
      </c>
      <c r="F30" s="8" t="inlineStr">
        <is>
          <t>Нет</t>
        </is>
      </c>
      <c r="G30" s="9" t="inlineStr"/>
    </row>
    <row r="31">
      <c r="A31" s="4" t="n">
        <v>8</v>
      </c>
      <c r="B31" s="4" t="inlineStr">
        <is>
          <t>21.09 Пн</t>
        </is>
      </c>
      <c r="C31" s="5" t="inlineStr">
        <is>
          <t>Показать новому, где что лежит по выверенным остаткам</t>
        </is>
      </c>
      <c r="D31" s="6" t="inlineStr">
        <is>
          <t>новый сотрудник</t>
        </is>
      </c>
      <c r="E31" s="7" t="inlineStr">
        <is>
          <t>критично</t>
        </is>
      </c>
      <c r="F31" s="8" t="inlineStr">
        <is>
          <t>Нет</t>
        </is>
      </c>
      <c r="G31" s="9" t="inlineStr"/>
    </row>
    <row r="32">
      <c r="A32" s="4" t="n">
        <v>8</v>
      </c>
      <c r="B32" s="4" t="inlineStr">
        <is>
          <t>21.09 Пн</t>
        </is>
      </c>
      <c r="C32" s="5" t="inlineStr">
        <is>
          <t>Знакомство со сторожами, порядок приема смены и оплаты</t>
        </is>
      </c>
      <c r="D32" s="6" t="inlineStr">
        <is>
          <t>новый сотрудник</t>
        </is>
      </c>
      <c r="E32" s="7" t="inlineStr">
        <is>
          <t>критично</t>
        </is>
      </c>
      <c r="F32" s="8" t="inlineStr">
        <is>
          <t>Нет</t>
        </is>
      </c>
      <c r="G32" s="9" t="inlineStr"/>
    </row>
    <row r="33">
      <c r="A33" s="4" t="n">
        <v>9</v>
      </c>
      <c r="B33" s="4" t="inlineStr">
        <is>
          <t>22.09 Вт</t>
        </is>
      </c>
      <c r="C33" s="5" t="inlineStr">
        <is>
          <t>Обход Светланской, Фокино, Аксаковской: где счетчики</t>
        </is>
      </c>
      <c r="D33" s="6" t="inlineStr">
        <is>
          <t>новый сотрудник</t>
        </is>
      </c>
      <c r="E33" s="7" t="inlineStr">
        <is>
          <t>критично</t>
        </is>
      </c>
      <c r="F33" s="8" t="inlineStr">
        <is>
          <t>Нет</t>
        </is>
      </c>
      <c r="G33" s="9" t="inlineStr"/>
    </row>
    <row r="34">
      <c r="A34" s="4" t="n">
        <v>9</v>
      </c>
      <c r="B34" s="4" t="inlineStr">
        <is>
          <t>22.09 Вт</t>
        </is>
      </c>
      <c r="C34" s="5" t="inlineStr">
        <is>
          <t>Новый сотрудник сам снимает показания, вы проверяете</t>
        </is>
      </c>
      <c r="D34" s="6" t="inlineStr">
        <is>
          <t>новый сотрудник</t>
        </is>
      </c>
      <c r="E34" s="7" t="inlineStr">
        <is>
          <t>критично</t>
        </is>
      </c>
      <c r="F34" s="8" t="inlineStr">
        <is>
          <t>Нет</t>
        </is>
      </c>
      <c r="G34" s="9" t="inlineStr"/>
    </row>
    <row r="35">
      <c r="A35" s="4" t="n">
        <v>9</v>
      </c>
      <c r="B35" s="4" t="inlineStr">
        <is>
          <t>22.09 Вт</t>
        </is>
      </c>
      <c r="C35" s="5" t="inlineStr">
        <is>
          <t>Знакомство с подрядчиками и с экономистом ДЭК</t>
        </is>
      </c>
      <c r="D35" s="6" t="inlineStr">
        <is>
          <t>новый сотрудник</t>
        </is>
      </c>
      <c r="E35" s="6" t="inlineStr">
        <is>
          <t>важно</t>
        </is>
      </c>
      <c r="F35" s="8" t="inlineStr">
        <is>
          <t>Нет</t>
        </is>
      </c>
      <c r="G35" s="9" t="inlineStr"/>
    </row>
    <row r="36">
      <c r="A36" s="4" t="n">
        <v>9</v>
      </c>
      <c r="B36" s="4" t="inlineStr">
        <is>
          <t>22.09 Вт</t>
        </is>
      </c>
      <c r="C36" s="5" t="inlineStr">
        <is>
          <t>Совместные звонки покупателям, представить Олесю</t>
        </is>
      </c>
      <c r="D36" s="6" t="inlineStr">
        <is>
          <t>Олеся</t>
        </is>
      </c>
      <c r="E36" s="6" t="inlineStr">
        <is>
          <t>важно</t>
        </is>
      </c>
      <c r="F36" s="8" t="inlineStr">
        <is>
          <t>Нет</t>
        </is>
      </c>
      <c r="G36" s="9" t="inlineStr"/>
    </row>
    <row r="37">
      <c r="A37" s="4" t="n">
        <v>10</v>
      </c>
      <c r="B37" s="4" t="inlineStr">
        <is>
          <t>23.09 Ср</t>
        </is>
      </c>
      <c r="C37" s="5" t="inlineStr">
        <is>
          <t>Новый сотрудник сам оплачивает воду по четырем объектам</t>
        </is>
      </c>
      <c r="D37" s="6" t="inlineStr">
        <is>
          <t>новый сотрудник</t>
        </is>
      </c>
      <c r="E37" s="7" t="inlineStr">
        <is>
          <t>критично</t>
        </is>
      </c>
      <c r="F37" s="8" t="inlineStr">
        <is>
          <t>Нет</t>
        </is>
      </c>
      <c r="G37" s="9" t="inlineStr"/>
    </row>
    <row r="38">
      <c r="A38" s="4" t="n">
        <v>10</v>
      </c>
      <c r="B38" s="4" t="inlineStr">
        <is>
          <t>23.09 Ср</t>
        </is>
      </c>
      <c r="C38" s="5" t="inlineStr">
        <is>
          <t>Подписать акт сверки остатков: что числится, что есть по факту</t>
        </is>
      </c>
      <c r="D38" s="6" t="inlineStr">
        <is>
          <t>Москва</t>
        </is>
      </c>
      <c r="E38" s="7" t="inlineStr">
        <is>
          <t>критично</t>
        </is>
      </c>
      <c r="F38" s="8" t="inlineStr">
        <is>
          <t>Нет</t>
        </is>
      </c>
      <c r="G38" s="9" t="inlineStr"/>
    </row>
    <row r="39">
      <c r="A39" s="4" t="n">
        <v>10</v>
      </c>
      <c r="B39" s="4" t="inlineStr">
        <is>
          <t>23.09 Ср</t>
        </is>
      </c>
      <c r="C39" s="5" t="inlineStr">
        <is>
          <t>Акт приема-передачи, передача ключей</t>
        </is>
      </c>
      <c r="D39" s="6" t="inlineStr">
        <is>
          <t>Москва</t>
        </is>
      </c>
      <c r="E39" s="7" t="inlineStr">
        <is>
          <t>критично</t>
        </is>
      </c>
      <c r="F39" s="8" t="inlineStr">
        <is>
          <t>Нет</t>
        </is>
      </c>
      <c r="G39" s="9" t="inlineStr"/>
    </row>
    <row r="41">
      <c r="C41" s="10" t="inlineStr">
        <is>
          <t>Всего пунктов</t>
        </is>
      </c>
      <c r="D41" s="10">
        <f>COUNTA(C5:C39)</f>
        <v/>
      </c>
    </row>
    <row r="42">
      <c r="C42" s="10" t="inlineStr">
        <is>
          <t>Сделано</t>
        </is>
      </c>
      <c r="D42" s="10">
        <f>COUNTIF(F5:F39,"Да")</f>
        <v/>
      </c>
    </row>
    <row r="43">
      <c r="C43" s="10" t="inlineStr">
        <is>
          <t>Осталось критичных</t>
        </is>
      </c>
      <c r="D43" s="11">
        <f>COUNTIFS(E5:E39,"критично",F5:F39,"Нет")</f>
        <v/>
      </c>
    </row>
    <row r="44">
      <c r="C44" s="10" t="inlineStr">
        <is>
          <t>Готовность</t>
        </is>
      </c>
      <c r="D44" s="12">
        <f>IFERROR(D42/D41,0)</f>
        <v/>
      </c>
    </row>
  </sheetData>
  <autoFilter ref="A4:G39"/>
  <dataValidations count="1">
    <dataValidation sqref="F5:F39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12" customWidth="1" min="3" max="3"/>
    <col width="34" customWidth="1" min="4" max="4"/>
  </cols>
  <sheetData>
    <row r="1">
      <c r="A1" s="1" t="inlineStr">
        <is>
          <t>Инструкции, которые нужно написать</t>
        </is>
      </c>
    </row>
    <row r="2">
      <c r="A2" s="2" t="inlineStr">
        <is>
          <t>Устная передача на расстоянии не работает. По каждому пункту нужна короткая инструкция на страницу: что делать по шагам.</t>
        </is>
      </c>
    </row>
    <row r="4" ht="28" customHeight="1">
      <c r="A4" s="3" t="inlineStr">
        <is>
          <t>№</t>
        </is>
      </c>
      <c r="B4" s="3" t="inlineStr">
        <is>
          <t>Про что инструкция</t>
        </is>
      </c>
      <c r="C4" s="3" t="inlineStr">
        <is>
          <t>Написана</t>
        </is>
      </c>
      <c r="D4" s="3" t="inlineStr">
        <is>
          <t>Где лежит</t>
        </is>
      </c>
    </row>
    <row r="5">
      <c r="A5" s="6" t="n">
        <v>1</v>
      </c>
      <c r="B5" s="5" t="inlineStr">
        <is>
          <t>Как ведется учет отгрузок: где отмечать, что продано и кому</t>
        </is>
      </c>
      <c r="C5" s="8" t="inlineStr">
        <is>
          <t>Нет</t>
        </is>
      </c>
      <c r="D5" s="8" t="inlineStr"/>
    </row>
    <row r="6">
      <c r="A6" s="6" t="n">
        <v>2</v>
      </c>
      <c r="B6" s="5" t="inlineStr">
        <is>
          <t>Как снять показания на каждом объекте: где стоит счетчик, что записывать</t>
        </is>
      </c>
      <c r="C6" s="8" t="inlineStr">
        <is>
          <t>Нет</t>
        </is>
      </c>
      <c r="D6" s="8" t="inlineStr"/>
    </row>
    <row r="7">
      <c r="A7" s="6" t="n">
        <v>3</v>
      </c>
      <c r="B7" s="5" t="inlineStr">
        <is>
          <t>Куда и в какие числа передавать показания, по каждому объекту отдельно</t>
        </is>
      </c>
      <c r="C7" s="8" t="inlineStr">
        <is>
          <t>Нет</t>
        </is>
      </c>
      <c r="D7" s="8" t="inlineStr"/>
    </row>
    <row r="8">
      <c r="A8" s="6" t="n">
        <v>4</v>
      </c>
      <c r="B8" s="5" t="inlineStr">
        <is>
          <t>Как оплатить воду и свет: с какого счета, где брать квитанции</t>
        </is>
      </c>
      <c r="C8" s="8" t="inlineStr">
        <is>
          <t>Нет</t>
        </is>
      </c>
      <c r="D8" s="8" t="inlineStr"/>
    </row>
    <row r="9">
      <c r="A9" s="6" t="n">
        <v>5</v>
      </c>
      <c r="B9" s="5" t="inlineStr">
        <is>
          <t>Как принять смену сторожа и как ему платят</t>
        </is>
      </c>
      <c r="C9" s="8" t="inlineStr">
        <is>
          <t>Нет</t>
        </is>
      </c>
      <c r="D9" s="8" t="inlineStr"/>
    </row>
    <row r="10">
      <c r="A10" s="6" t="n">
        <v>6</v>
      </c>
      <c r="B10" s="5" t="inlineStr">
        <is>
          <t>Кому звонить при аварии на каждом объекте</t>
        </is>
      </c>
      <c r="C10" s="8" t="inlineStr">
        <is>
          <t>Нет</t>
        </is>
      </c>
      <c r="D10" s="8" t="inlineStr"/>
    </row>
    <row r="11">
      <c r="A11" s="6" t="n">
        <v>7</v>
      </c>
      <c r="B11" s="5" t="inlineStr">
        <is>
          <t>Порядок работы с ДЭК и Водоканалом, если в счете расхождение</t>
        </is>
      </c>
      <c r="C11" s="8" t="inlineStr">
        <is>
          <t>Нет</t>
        </is>
      </c>
      <c r="D11" s="8" t="inlineStr"/>
    </row>
    <row r="12">
      <c r="A12" s="6" t="n">
        <v>8</v>
      </c>
      <c r="B12" s="5" t="inlineStr">
        <is>
          <t>Как размещается заказ на косметику: от заявки до отгрузки</t>
        </is>
      </c>
      <c r="C12" s="8" t="inlineStr">
        <is>
          <t>Нет</t>
        </is>
      </c>
      <c r="D12" s="8" t="inlineStr"/>
    </row>
    <row r="13">
      <c r="A13" s="6" t="n">
        <v>9</v>
      </c>
      <c r="B13" s="5" t="inlineStr">
        <is>
          <t>Как проходит растаможка контейнера: кто что делает и в какие сроки</t>
        </is>
      </c>
      <c r="C13" s="8" t="inlineStr">
        <is>
          <t>Нет</t>
        </is>
      </c>
      <c r="D13" s="8" t="inlineStr"/>
    </row>
    <row r="15">
      <c r="B15" s="10" t="inlineStr">
        <is>
          <t>Написано инструкций</t>
        </is>
      </c>
      <c r="C15" s="10">
        <f>COUNTIF(C5:C13,"Да")</f>
        <v/>
      </c>
    </row>
  </sheetData>
  <dataValidations count="1">
    <dataValidation sqref="C5:C13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2" customWidth="1" min="3" max="3"/>
    <col width="12" customWidth="1" min="4" max="4"/>
    <col width="22" customWidth="1" min="5" max="5"/>
  </cols>
  <sheetData>
    <row r="1">
      <c r="A1" s="1" t="inlineStr">
        <is>
          <t>Что должно быть передано к 23 сентября</t>
        </is>
      </c>
    </row>
    <row r="2">
      <c r="A2" s="2" t="inlineStr">
        <is>
          <t>Итоговая сверка перед подписанием акта приема-передачи.</t>
        </is>
      </c>
    </row>
    <row r="4" ht="28" customHeight="1">
      <c r="A4" s="3" t="inlineStr">
        <is>
          <t>№</t>
        </is>
      </c>
      <c r="B4" s="3" t="inlineStr">
        <is>
          <t>Блок</t>
        </is>
      </c>
      <c r="C4" s="3" t="inlineStr">
        <is>
          <t>Что передано</t>
        </is>
      </c>
      <c r="D4" s="3" t="inlineStr">
        <is>
          <t>Передано</t>
        </is>
      </c>
      <c r="E4" s="3" t="inlineStr">
        <is>
          <t>Принял</t>
        </is>
      </c>
    </row>
    <row r="5">
      <c r="A5" s="6" t="n">
        <v>1</v>
      </c>
      <c r="B5" s="6" t="inlineStr">
        <is>
          <t>Остатки</t>
        </is>
      </c>
      <c r="C5" s="5" t="inlineStr">
        <is>
          <t>Список отгрузок с 16.06.2025: что, сколько, кому, когда</t>
        </is>
      </c>
      <c r="D5" s="8" t="inlineStr">
        <is>
          <t>Нет</t>
        </is>
      </c>
      <c r="E5" s="8" t="inlineStr"/>
    </row>
    <row r="6">
      <c r="A6" s="6" t="n">
        <v>2</v>
      </c>
      <c r="B6" s="6" t="inlineStr">
        <is>
          <t>Остатки</t>
        </is>
      </c>
      <c r="C6" s="5" t="inlineStr">
        <is>
          <t>Пересчитаны 79 позиций, дающих 80% стоимости</t>
        </is>
      </c>
      <c r="D6" s="8" t="inlineStr">
        <is>
          <t>Нет</t>
        </is>
      </c>
      <c r="E6" s="8" t="inlineStr"/>
    </row>
    <row r="7">
      <c r="A7" s="6" t="n">
        <v>3</v>
      </c>
      <c r="B7" s="6" t="inlineStr">
        <is>
          <t>Остатки</t>
        </is>
      </c>
      <c r="C7" s="5" t="inlineStr">
        <is>
          <t>Расхождения объяснены: продано, списано, не найдено</t>
        </is>
      </c>
      <c r="D7" s="8" t="inlineStr">
        <is>
          <t>Нет</t>
        </is>
      </c>
      <c r="E7" s="8" t="inlineStr"/>
    </row>
    <row r="8">
      <c r="A8" s="6" t="n">
        <v>4</v>
      </c>
      <c r="B8" s="6" t="inlineStr">
        <is>
          <t>Остатки</t>
        </is>
      </c>
      <c r="C8" s="5" t="inlineStr">
        <is>
          <t>Акт сверки остатков подписан</t>
        </is>
      </c>
      <c r="D8" s="8" t="inlineStr">
        <is>
          <t>Нет</t>
        </is>
      </c>
      <c r="E8" s="8" t="inlineStr"/>
    </row>
    <row r="9">
      <c r="A9" s="6" t="n">
        <v>5</v>
      </c>
      <c r="B9" s="6" t="inlineStr">
        <is>
          <t>Доступы</t>
        </is>
      </c>
      <c r="C9" s="5" t="inlineStr">
        <is>
          <t>Личные кабинеты ДЭК и Водоканала</t>
        </is>
      </c>
      <c r="D9" s="8" t="inlineStr">
        <is>
          <t>Нет</t>
        </is>
      </c>
      <c r="E9" s="8" t="inlineStr"/>
    </row>
    <row r="10">
      <c r="A10" s="6" t="n">
        <v>6</v>
      </c>
      <c r="B10" s="6" t="inlineStr">
        <is>
          <t>Доступы</t>
        </is>
      </c>
      <c r="C10" s="5" t="inlineStr">
        <is>
          <t>Рабочая почта</t>
        </is>
      </c>
      <c r="D10" s="8" t="inlineStr">
        <is>
          <t>Нет</t>
        </is>
      </c>
      <c r="E10" s="8" t="inlineStr"/>
    </row>
    <row r="11">
      <c r="A11" s="6" t="n">
        <v>7</v>
      </c>
      <c r="B11" s="6" t="inlineStr">
        <is>
          <t>Доступы</t>
        </is>
      </c>
      <c r="C11" s="5" t="inlineStr">
        <is>
          <t>Фарпост и другие площадки объявлений</t>
        </is>
      </c>
      <c r="D11" s="8" t="inlineStr">
        <is>
          <t>Нет</t>
        </is>
      </c>
      <c r="E11" s="8" t="inlineStr"/>
    </row>
    <row r="12">
      <c r="A12" s="6" t="n">
        <v>8</v>
      </c>
      <c r="B12" s="6" t="inlineStr">
        <is>
          <t>Доступы</t>
        </is>
      </c>
      <c r="C12" s="5" t="inlineStr">
        <is>
          <t>Лицевые счета по четырем объектам</t>
        </is>
      </c>
      <c r="D12" s="8" t="inlineStr">
        <is>
          <t>Нет</t>
        </is>
      </c>
      <c r="E12" s="8" t="inlineStr"/>
    </row>
    <row r="13">
      <c r="A13" s="6" t="n">
        <v>9</v>
      </c>
      <c r="B13" s="6" t="inlineStr">
        <is>
          <t>Документы</t>
        </is>
      </c>
      <c r="C13" s="5" t="inlineStr">
        <is>
          <t>Договоры энергоснабжения и водоснабжения</t>
        </is>
      </c>
      <c r="D13" s="8" t="inlineStr">
        <is>
          <t>Нет</t>
        </is>
      </c>
      <c r="E13" s="8" t="inlineStr"/>
    </row>
    <row r="14">
      <c r="A14" s="6" t="n">
        <v>10</v>
      </c>
      <c r="B14" s="6" t="inlineStr">
        <is>
          <t>Документы</t>
        </is>
      </c>
      <c r="C14" s="5" t="inlineStr">
        <is>
          <t>Договоры аренды и документы на объекты</t>
        </is>
      </c>
      <c r="D14" s="8" t="inlineStr">
        <is>
          <t>Нет</t>
        </is>
      </c>
      <c r="E14" s="8" t="inlineStr"/>
    </row>
    <row r="15">
      <c r="A15" s="6" t="n">
        <v>11</v>
      </c>
      <c r="B15" s="6" t="inlineStr">
        <is>
          <t>Документы</t>
        </is>
      </c>
      <c r="C15" s="5" t="inlineStr">
        <is>
          <t>Последние показания и оплаты</t>
        </is>
      </c>
      <c r="D15" s="8" t="inlineStr">
        <is>
          <t>Нет</t>
        </is>
      </c>
      <c r="E15" s="8" t="inlineStr"/>
    </row>
    <row r="16">
      <c r="A16" s="6" t="n">
        <v>12</v>
      </c>
      <c r="B16" s="6" t="inlineStr">
        <is>
          <t>Деньги</t>
        </is>
      </c>
      <c r="C16" s="5" t="inlineStr">
        <is>
          <t>Подотчетные средства: остаток</t>
        </is>
      </c>
      <c r="D16" s="8" t="inlineStr">
        <is>
          <t>Нет</t>
        </is>
      </c>
      <c r="E16" s="8" t="inlineStr"/>
    </row>
    <row r="17">
      <c r="A17" s="6" t="n">
        <v>13</v>
      </c>
      <c r="B17" s="6" t="inlineStr">
        <is>
          <t>Деньги</t>
        </is>
      </c>
      <c r="C17" s="5" t="inlineStr">
        <is>
          <t>Сверка расчетов с поставщиками косметики</t>
        </is>
      </c>
      <c r="D17" s="8" t="inlineStr">
        <is>
          <t>Нет</t>
        </is>
      </c>
      <c r="E17" s="8" t="inlineStr"/>
    </row>
    <row r="18">
      <c r="A18" s="6" t="n">
        <v>14</v>
      </c>
      <c r="B18" s="6" t="inlineStr">
        <is>
          <t>Деньги</t>
        </is>
      </c>
      <c r="C18" s="5" t="inlineStr">
        <is>
          <t>Кому мы должны и кто должен нам</t>
        </is>
      </c>
      <c r="D18" s="8" t="inlineStr">
        <is>
          <t>Нет</t>
        </is>
      </c>
      <c r="E18" s="8" t="inlineStr"/>
    </row>
    <row r="19">
      <c r="A19" s="6" t="n">
        <v>15</v>
      </c>
      <c r="B19" s="6" t="inlineStr">
        <is>
          <t>Ключи</t>
        </is>
      </c>
      <c r="C19" s="5" t="inlineStr">
        <is>
          <t>Ключи от помещений, гаража, контейнеров, будки</t>
        </is>
      </c>
      <c r="D19" s="8" t="inlineStr">
        <is>
          <t>Нет</t>
        </is>
      </c>
      <c r="E19" s="8" t="inlineStr"/>
    </row>
    <row r="20">
      <c r="A20" s="6" t="n">
        <v>16</v>
      </c>
      <c r="B20" s="6" t="inlineStr">
        <is>
          <t>Ключи</t>
        </is>
      </c>
      <c r="C20" s="5" t="inlineStr">
        <is>
          <t>Список: у кого еще есть ключи и дубликаты</t>
        </is>
      </c>
      <c r="D20" s="8" t="inlineStr">
        <is>
          <t>Нет</t>
        </is>
      </c>
      <c r="E20" s="8" t="inlineStr"/>
    </row>
    <row r="21">
      <c r="A21" s="6" t="n">
        <v>17</v>
      </c>
      <c r="B21" s="6" t="inlineStr">
        <is>
          <t>Контакты</t>
        </is>
      </c>
      <c r="C21" s="5" t="inlineStr">
        <is>
          <t>Реестр контактов заполнен полностью</t>
        </is>
      </c>
      <c r="D21" s="8" t="inlineStr">
        <is>
          <t>Нет</t>
        </is>
      </c>
      <c r="E21" s="8" t="inlineStr"/>
    </row>
    <row r="22">
      <c r="A22" s="6" t="n">
        <v>18</v>
      </c>
      <c r="B22" s="6" t="inlineStr">
        <is>
          <t>Контакты</t>
        </is>
      </c>
      <c r="C22" s="5" t="inlineStr">
        <is>
          <t>Мастер по ремонту арматуры</t>
        </is>
      </c>
      <c r="D22" s="8" t="inlineStr">
        <is>
          <t>Нет</t>
        </is>
      </c>
      <c r="E22" s="8" t="inlineStr"/>
    </row>
    <row r="23">
      <c r="A23" s="6" t="n">
        <v>19</v>
      </c>
      <c r="B23" s="6" t="inlineStr">
        <is>
          <t>Контакты</t>
        </is>
      </c>
      <c r="C23" s="5" t="inlineStr">
        <is>
          <t>Подрядчики: воровайка, кран, мусор, металл, сварщик, электрик</t>
        </is>
      </c>
      <c r="D23" s="8" t="inlineStr">
        <is>
          <t>Нет</t>
        </is>
      </c>
      <c r="E23" s="8" t="inlineStr"/>
    </row>
    <row r="24">
      <c r="A24" s="6" t="n">
        <v>20</v>
      </c>
      <c r="B24" s="6" t="inlineStr">
        <is>
          <t>Контакты</t>
        </is>
      </c>
      <c r="C24" s="5" t="inlineStr">
        <is>
          <t>Сторожа: график и порядок оплаты</t>
        </is>
      </c>
      <c r="D24" s="8" t="inlineStr">
        <is>
          <t>Нет</t>
        </is>
      </c>
      <c r="E24" s="8" t="inlineStr"/>
    </row>
    <row r="25">
      <c r="A25" s="6" t="n">
        <v>21</v>
      </c>
      <c r="B25" s="6" t="inlineStr">
        <is>
          <t>Контакты</t>
        </is>
      </c>
      <c r="C25" s="5" t="inlineStr">
        <is>
          <t>Таможенный брокер и перевозчики</t>
        </is>
      </c>
      <c r="D25" s="8" t="inlineStr">
        <is>
          <t>Нет</t>
        </is>
      </c>
      <c r="E25" s="8" t="inlineStr"/>
    </row>
    <row r="26">
      <c r="A26" s="6" t="n">
        <v>22</v>
      </c>
      <c r="B26" s="6" t="inlineStr">
        <is>
          <t>Косметика</t>
        </is>
      </c>
      <c r="C26" s="5" t="inlineStr">
        <is>
          <t>Открытые заказы: оплачено и не отгружено</t>
        </is>
      </c>
      <c r="D26" s="8" t="inlineStr">
        <is>
          <t>Нет</t>
        </is>
      </c>
      <c r="E26" s="8" t="inlineStr"/>
    </row>
    <row r="27">
      <c r="A27" s="6" t="n">
        <v>23</v>
      </c>
      <c r="B27" s="6" t="inlineStr">
        <is>
          <t>Косметика</t>
        </is>
      </c>
      <c r="C27" s="5" t="inlineStr">
        <is>
          <t>Заказы в пути</t>
        </is>
      </c>
      <c r="D27" s="8" t="inlineStr">
        <is>
          <t>Нет</t>
        </is>
      </c>
      <c r="E27" s="8" t="inlineStr"/>
    </row>
    <row r="28">
      <c r="A28" s="6" t="n">
        <v>24</v>
      </c>
      <c r="B28" s="6" t="inlineStr">
        <is>
          <t>Косметика</t>
        </is>
      </c>
      <c r="C28" s="5" t="inlineStr">
        <is>
          <t>Бренды и заводы: условия, цены, минимальные партии</t>
        </is>
      </c>
      <c r="D28" s="8" t="inlineStr">
        <is>
          <t>Нет</t>
        </is>
      </c>
      <c r="E28" s="8" t="inlineStr"/>
    </row>
    <row r="29">
      <c r="A29" s="6" t="n">
        <v>25</v>
      </c>
      <c r="B29" s="6" t="inlineStr">
        <is>
          <t>Косметика</t>
        </is>
      </c>
      <c r="C29" s="5" t="inlineStr">
        <is>
          <t>Байер, консолидатор, склад в Корее</t>
        </is>
      </c>
      <c r="D29" s="8" t="inlineStr">
        <is>
          <t>Нет</t>
        </is>
      </c>
      <c r="E29" s="8" t="inlineStr"/>
    </row>
    <row r="30">
      <c r="A30" s="6" t="n">
        <v>26</v>
      </c>
      <c r="B30" s="6" t="inlineStr">
        <is>
          <t>Косметика</t>
        </is>
      </c>
      <c r="C30" s="5" t="inlineStr">
        <is>
          <t>Сертификация: CPNP, декларации, Честный знак</t>
        </is>
      </c>
      <c r="D30" s="8" t="inlineStr">
        <is>
          <t>Нет</t>
        </is>
      </c>
      <c r="E30" s="8" t="inlineStr"/>
    </row>
    <row r="31">
      <c r="A31" s="6" t="n">
        <v>27</v>
      </c>
      <c r="B31" s="6" t="inlineStr">
        <is>
          <t>Оборудование</t>
        </is>
      </c>
      <c r="C31" s="5" t="inlineStr">
        <is>
          <t>Журнал обзвона со статусами</t>
        </is>
      </c>
      <c r="D31" s="8" t="inlineStr">
        <is>
          <t>Нет</t>
        </is>
      </c>
      <c r="E31" s="8" t="inlineStr"/>
    </row>
    <row r="32">
      <c r="A32" s="6" t="n">
        <v>28</v>
      </c>
      <c r="B32" s="6" t="inlineStr">
        <is>
          <t>Оборудование</t>
        </is>
      </c>
      <c r="C32" s="5" t="inlineStr">
        <is>
          <t>Кому отправлены КП, кто в переговорах</t>
        </is>
      </c>
      <c r="D32" s="8" t="inlineStr">
        <is>
          <t>Нет</t>
        </is>
      </c>
      <c r="E32" s="8" t="inlineStr"/>
    </row>
    <row r="33">
      <c r="A33" s="6" t="n">
        <v>29</v>
      </c>
      <c r="B33" s="6" t="inlineStr">
        <is>
          <t>Оборудование</t>
        </is>
      </c>
      <c r="C33" s="5" t="inlineStr">
        <is>
          <t>Фотоархив</t>
        </is>
      </c>
      <c r="D33" s="8" t="inlineStr">
        <is>
          <t>Нет</t>
        </is>
      </c>
      <c r="E33" s="8" t="inlineStr"/>
    </row>
    <row r="34">
      <c r="A34" s="6" t="n">
        <v>30</v>
      </c>
      <c r="B34" s="6" t="inlineStr">
        <is>
          <t>Инструкции</t>
        </is>
      </c>
      <c r="C34" s="5" t="inlineStr">
        <is>
          <t>Написаны все инструкции со второго листа</t>
        </is>
      </c>
      <c r="D34" s="8" t="inlineStr">
        <is>
          <t>Нет</t>
        </is>
      </c>
      <c r="E34" s="8" t="inlineStr"/>
    </row>
    <row r="36">
      <c r="C36" s="10" t="inlineStr">
        <is>
          <t>Передано пунктов</t>
        </is>
      </c>
      <c r="D36" s="10">
        <f>COUNTIF(D5:D34,"Да")</f>
        <v/>
      </c>
    </row>
    <row r="37">
      <c r="C37" s="10" t="inlineStr">
        <is>
          <t>Всего пунктов</t>
        </is>
      </c>
      <c r="D37" s="10">
        <f>COUNTA(C5:C34)</f>
        <v/>
      </c>
    </row>
  </sheetData>
  <autoFilter ref="A4:E34"/>
  <dataValidations count="1">
    <dataValidation sqref="D5:D34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2026-09-10T20:27:55Z</dcterms:created>
  <dcterms:modified xsi:type="dcterms:W3CDTF">2026-09-10T20:27:55Z</dcterms:modified>
</cp:coreProperties>
</file>
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действий" sheetId="1" state="visible" r:id="rId1"/>
    <sheet name="Успеть до 23 сентября" sheetId="2" state="visible" r:id="rId2"/>
    <sheet name="Итоги по складу" sheetId="3" state="visible" r:id="rId3"/>
    <sheet name="Передача дел" sheetId="4" state="visible" r:id="rId4"/>
    <sheet name="Склад и здание" sheetId="5" state="visible" r:id="rId5"/>
    <sheet name="Решения и риски" sheetId="6" state="visible" r:id="rId6"/>
    <sheet name="Кто нужен в команду" sheetId="7" state="visible" r:id="rId7"/>
  </sheets>
  <definedNames>
    <definedName name="_xlnm._FilterDatabase" localSheetId="0" hidden="1">'План действий'!$A$4:$H$87</definedName>
    <definedName name="_xlnm._FilterDatabase" localSheetId="1" hidden="1">'Успеть до 23 сентября'!$A$4:$F$25</definedName>
    <definedName name="_xlnm._FilterDatabase" localSheetId="3" hidden="1">'Передача дел'!$A$4:$F$35</definedName>
    <definedName name="_xlnm._FilterDatabase" localSheetId="4" hidden="1">'Склад и здание'!$A$4:$F$23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C00000"/>
    </font>
    <font>
      <name val="Arial"/>
      <b val="1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FFF00"/>
      </patternFill>
    </fill>
    <fill>
      <patternFill patternType="solid">
        <fgColor rgb="00EAF3EA"/>
      </patternFill>
    </fill>
    <fill>
      <patternFill patternType="solid">
        <fgColor rgb="00FDF2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5" fillId="0" borderId="1" pivotButton="0" quotePrefix="0" xfId="0"/>
    <xf numFmtId="3" fontId="5" fillId="0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7" customWidth="1" min="4" max="4"/>
    <col width="58" customWidth="1" min="5" max="5"/>
    <col width="20" customWidth="1" min="6" max="6"/>
    <col width="14" customWidth="1" min="7" max="7"/>
    <col width="46" customWidth="1" min="8" max="8"/>
  </cols>
  <sheetData>
    <row r="1">
      <c r="A1" s="1" t="inlineStr">
        <is>
          <t>План действий, сентябрь-октябрь 2026</t>
        </is>
      </c>
    </row>
    <row r="2">
      <c r="A2" s="2" t="inlineStr">
        <is>
          <t>Заполняйте только желтую колонку «Статус» — выбор из списка. Остальное собирается генератором build_plan_xlsx.py.</t>
        </is>
      </c>
    </row>
    <row r="4" ht="30" customHeight="1">
      <c r="A4" s="3" t="inlineStr">
        <is>
          <t>№</t>
        </is>
      </c>
      <c r="B4" s="3" t="inlineStr">
        <is>
          <t>Неделя</t>
        </is>
      </c>
      <c r="C4" s="3" t="inlineStr">
        <is>
          <t>Срок</t>
        </is>
      </c>
      <c r="D4" s="3" t="inlineStr">
        <is>
          <t>Направление</t>
        </is>
      </c>
      <c r="E4" s="3" t="inlineStr">
        <is>
          <t>Задача</t>
        </is>
      </c>
      <c r="F4" s="3" t="inlineStr">
        <is>
          <t>Ответственный</t>
        </is>
      </c>
      <c r="G4" s="3" t="inlineStr">
        <is>
          <t>Статус</t>
        </is>
      </c>
      <c r="H4" s="3" t="inlineStr">
        <is>
          <t>Комментарий</t>
        </is>
      </c>
    </row>
    <row r="5">
      <c r="A5" s="4" t="n">
        <v>1</v>
      </c>
      <c r="B5" s="4" t="inlineStr">
        <is>
          <t>Неделя 1</t>
        </is>
      </c>
      <c r="C5" s="4" t="inlineStr">
        <is>
          <t>10-16 сен</t>
        </is>
      </c>
      <c r="D5" s="4" t="inlineStr">
        <is>
          <t>Люди</t>
        </is>
      </c>
      <c r="E5" s="5" t="inlineStr">
        <is>
          <t>Опубликовать вакансию администратора во Владивостоке</t>
        </is>
      </c>
      <c r="F5" s="6" t="inlineStr">
        <is>
          <t>Москва</t>
        </is>
      </c>
      <c r="G5" s="7" t="inlineStr">
        <is>
          <t>Не начато</t>
        </is>
      </c>
      <c r="H5" s="5" t="inlineStr">
        <is>
          <t>1100 руб за 20 дней, публиковать в первый день</t>
        </is>
      </c>
    </row>
    <row r="6">
      <c r="A6" s="4" t="n">
        <v>2</v>
      </c>
      <c r="B6" s="4" t="inlineStr">
        <is>
          <t>Неделя 1</t>
        </is>
      </c>
      <c r="C6" s="4" t="inlineStr">
        <is>
          <t>10-16 сен</t>
        </is>
      </c>
      <c r="D6" s="4" t="inlineStr">
        <is>
          <t>Люди</t>
        </is>
      </c>
      <c r="E6" s="5" t="inlineStr">
        <is>
          <t>Согласовать дату последнего дня и график передачи дел</t>
        </is>
      </c>
      <c r="F6" s="6" t="inlineStr">
        <is>
          <t>Москва</t>
        </is>
      </c>
      <c r="G6" s="7" t="inlineStr">
        <is>
          <t>Не начато</t>
        </is>
      </c>
      <c r="H6" s="5" t="inlineStr">
        <is>
          <t>по 2 часа в день на передачу</t>
        </is>
      </c>
    </row>
    <row r="7">
      <c r="A7" s="4" t="n">
        <v>3</v>
      </c>
      <c r="B7" s="4" t="inlineStr">
        <is>
          <t>Неделя 1</t>
        </is>
      </c>
      <c r="C7" s="4" t="inlineStr">
        <is>
          <t>10-12 сен</t>
        </is>
      </c>
      <c r="D7" s="4" t="inlineStr">
        <is>
          <t>Люди</t>
        </is>
      </c>
      <c r="E7" s="5" t="inlineStr">
        <is>
          <t>Забрать логины и пароли: ДЭК, Водоканал, почта, Фарпост</t>
        </is>
      </c>
      <c r="F7" s="6" t="inlineStr">
        <is>
          <t>сотрудница</t>
        </is>
      </c>
      <c r="G7" s="7" t="inlineStr">
        <is>
          <t>Не начато</t>
        </is>
      </c>
      <c r="H7" s="5" t="inlineStr">
        <is>
          <t>доступы забираем в первые три дня</t>
        </is>
      </c>
    </row>
    <row r="8">
      <c r="A8" s="4" t="n">
        <v>4</v>
      </c>
      <c r="B8" s="4" t="inlineStr">
        <is>
          <t>Неделя 1</t>
        </is>
      </c>
      <c r="C8" s="4" t="inlineStr">
        <is>
          <t>10-12 сен</t>
        </is>
      </c>
      <c r="D8" s="4" t="inlineStr">
        <is>
          <t>Люди</t>
        </is>
      </c>
      <c r="E8" s="5" t="inlineStr">
        <is>
          <t>Забрать лицевые счета по четырем объектам</t>
        </is>
      </c>
      <c r="F8" s="6" t="inlineStr">
        <is>
          <t>сотрудница</t>
        </is>
      </c>
      <c r="G8" s="7" t="inlineStr">
        <is>
          <t>Не начато</t>
        </is>
      </c>
      <c r="H8" s="5" t="inlineStr">
        <is>
          <t>по Аксаковской л/с в файле пустой</t>
        </is>
      </c>
    </row>
    <row r="9">
      <c r="A9" s="4" t="n">
        <v>5</v>
      </c>
      <c r="B9" s="4" t="inlineStr">
        <is>
          <t>Неделя 1</t>
        </is>
      </c>
      <c r="C9" s="4" t="inlineStr">
        <is>
          <t>11 сен</t>
        </is>
      </c>
      <c r="D9" s="4" t="inlineStr">
        <is>
          <t>Люди</t>
        </is>
      </c>
      <c r="E9" s="5" t="inlineStr">
        <is>
          <t>Закрыть пробелы: порядок подачи по Светланской, л/с по Аксаковской</t>
        </is>
      </c>
      <c r="F9" s="6" t="inlineStr">
        <is>
          <t>сотрудница</t>
        </is>
      </c>
      <c r="G9" s="7" t="inlineStr">
        <is>
          <t>Не начато</t>
        </is>
      </c>
      <c r="H9" s="5" t="inlineStr">
        <is>
          <t>она сама отметила их в своем файле</t>
        </is>
      </c>
    </row>
    <row r="10">
      <c r="A10" s="4" t="n">
        <v>6</v>
      </c>
      <c r="B10" s="4" t="inlineStr">
        <is>
          <t>Неделя 1</t>
        </is>
      </c>
      <c r="C10" s="4" t="inlineStr">
        <is>
          <t>11-12 сен</t>
        </is>
      </c>
      <c r="D10" s="4" t="inlineStr">
        <is>
          <t>Люди</t>
        </is>
      </c>
      <c r="E10" s="5" t="inlineStr">
        <is>
          <t>Опись ключей, договоры, сканы, подотчетные деньги</t>
        </is>
      </c>
      <c r="F10" s="6" t="inlineStr">
        <is>
          <t>сотрудница</t>
        </is>
      </c>
      <c r="G10" s="7" t="inlineStr">
        <is>
          <t>Не начато</t>
        </is>
      </c>
      <c r="H10" s="5" t="inlineStr">
        <is>
          <t>кто еще имеет ключи и дубликаты</t>
        </is>
      </c>
    </row>
    <row r="11">
      <c r="A11" s="4" t="n">
        <v>7</v>
      </c>
      <c r="B11" s="4" t="inlineStr">
        <is>
          <t>Неделя 1</t>
        </is>
      </c>
      <c r="C11" s="4" t="inlineStr">
        <is>
          <t>12-13 сен</t>
        </is>
      </c>
      <c r="D11" s="4" t="inlineStr">
        <is>
          <t>Люди</t>
        </is>
      </c>
      <c r="E11" s="5" t="inlineStr">
        <is>
          <t>Видеообход четырех объектов с описью</t>
        </is>
      </c>
      <c r="F11" s="6" t="inlineStr">
        <is>
          <t>сотрудница</t>
        </is>
      </c>
      <c r="G11" s="7" t="inlineStr">
        <is>
          <t>Не начато</t>
        </is>
      </c>
      <c r="H11" s="5" t="inlineStr">
        <is>
          <t>запись сохранить</t>
        </is>
      </c>
    </row>
    <row r="12">
      <c r="A12" s="4" t="n">
        <v>8</v>
      </c>
      <c r="B12" s="4" t="inlineStr">
        <is>
          <t>Неделя 1</t>
        </is>
      </c>
      <c r="C12" s="4" t="inlineStr">
        <is>
          <t>12-13 сен</t>
        </is>
      </c>
      <c r="D12" s="4" t="inlineStr">
        <is>
          <t>Люди</t>
        </is>
      </c>
      <c r="E12" s="5" t="inlineStr">
        <is>
          <t>Заполнить реестр контактов по всем вопросам</t>
        </is>
      </c>
      <c r="F12" s="6" t="inlineStr">
        <is>
          <t>сотрудница</t>
        </is>
      </c>
      <c r="G12" s="7" t="inlineStr">
        <is>
          <t>Не начато</t>
        </is>
      </c>
      <c r="H12" s="5" t="inlineStr">
        <is>
          <t>шаблон reestr_kontaktov_shablon.tsv</t>
        </is>
      </c>
    </row>
    <row r="13">
      <c r="A13" s="4" t="n">
        <v>9</v>
      </c>
      <c r="B13" s="4" t="inlineStr">
        <is>
          <t>Неделя 1</t>
        </is>
      </c>
      <c r="C13" s="4" t="inlineStr">
        <is>
          <t>13-14 сен</t>
        </is>
      </c>
      <c r="D13" s="4" t="inlineStr">
        <is>
          <t>Люди</t>
        </is>
      </c>
      <c r="E13" s="5" t="inlineStr">
        <is>
          <t>Передать журнал обзвона и статусы покупателей</t>
        </is>
      </c>
      <c r="F13" s="6" t="inlineStr">
        <is>
          <t>сотрудница</t>
        </is>
      </c>
      <c r="G13" s="7" t="inlineStr">
        <is>
          <t>Не начато</t>
        </is>
      </c>
      <c r="H13" s="5" t="inlineStr">
        <is>
          <t>передает Олесе</t>
        </is>
      </c>
    </row>
    <row r="14">
      <c r="A14" s="4" t="n">
        <v>10</v>
      </c>
      <c r="B14" s="4" t="inlineStr">
        <is>
          <t>Неделя 1</t>
        </is>
      </c>
      <c r="C14" s="4" t="inlineStr">
        <is>
          <t>14-15 сен</t>
        </is>
      </c>
      <c r="D14" s="4" t="inlineStr">
        <is>
          <t>Люди</t>
        </is>
      </c>
      <c r="E14" s="5" t="inlineStr">
        <is>
          <t>Собеседования с кандидатами</t>
        </is>
      </c>
      <c r="F14" s="6" t="inlineStr">
        <is>
          <t>Москва</t>
        </is>
      </c>
      <c r="G14" s="7" t="inlineStr">
        <is>
          <t>Не начато</t>
        </is>
      </c>
      <c r="H14" s="5" t="inlineStr"/>
    </row>
    <row r="15">
      <c r="A15" s="4" t="n">
        <v>11</v>
      </c>
      <c r="B15" s="4" t="inlineStr">
        <is>
          <t>Неделя 1</t>
        </is>
      </c>
      <c r="C15" s="4" t="inlineStr">
        <is>
          <t>15-16 сен</t>
        </is>
      </c>
      <c r="D15" s="4" t="inlineStr">
        <is>
          <t>Люди</t>
        </is>
      </c>
      <c r="E15" s="5" t="inlineStr">
        <is>
          <t>Выход нового администратора</t>
        </is>
      </c>
      <c r="F15" s="6" t="inlineStr">
        <is>
          <t>Москва</t>
        </is>
      </c>
      <c r="G15" s="7" t="inlineStr">
        <is>
          <t>Не начато</t>
        </is>
      </c>
      <c r="H15" s="5" t="inlineStr">
        <is>
          <t>если не нашли — план Б</t>
        </is>
      </c>
    </row>
    <row r="16">
      <c r="A16" s="4" t="n">
        <v>12</v>
      </c>
      <c r="B16" s="4" t="inlineStr">
        <is>
          <t>Неделя 1</t>
        </is>
      </c>
      <c r="C16" s="4" t="inlineStr">
        <is>
          <t>10-16 сен</t>
        </is>
      </c>
      <c r="D16" s="4" t="inlineStr">
        <is>
          <t>Закуп косметики</t>
        </is>
      </c>
      <c r="E16" s="5" t="inlineStr">
        <is>
          <t>Выяснить открытые заказы: что оплачено и не отгружено</t>
        </is>
      </c>
      <c r="F16" s="6" t="inlineStr">
        <is>
          <t>сотрудница</t>
        </is>
      </c>
      <c r="G16" s="7" t="inlineStr">
        <is>
          <t>Не начато</t>
        </is>
      </c>
      <c r="H16" s="5" t="inlineStr">
        <is>
          <t>это живые деньги, первым делом</t>
        </is>
      </c>
    </row>
    <row r="17">
      <c r="A17" s="4" t="n">
        <v>13</v>
      </c>
      <c r="B17" s="4" t="inlineStr">
        <is>
          <t>Неделя 1</t>
        </is>
      </c>
      <c r="C17" s="4" t="inlineStr">
        <is>
          <t>10-16 сен</t>
        </is>
      </c>
      <c r="D17" s="4" t="inlineStr">
        <is>
          <t>Закуп косметики</t>
        </is>
      </c>
      <c r="E17" s="5" t="inlineStr">
        <is>
          <t>Выяснить заказы в пути: что едет и когда придет</t>
        </is>
      </c>
      <c r="F17" s="6" t="inlineStr">
        <is>
          <t>сотрудница</t>
        </is>
      </c>
      <c r="G17" s="7" t="inlineStr">
        <is>
          <t>Не начато</t>
        </is>
      </c>
      <c r="H17" s="5" t="inlineStr"/>
    </row>
    <row r="18">
      <c r="A18" s="4" t="n">
        <v>14</v>
      </c>
      <c r="B18" s="4" t="inlineStr">
        <is>
          <t>Неделя 1</t>
        </is>
      </c>
      <c r="C18" s="4" t="inlineStr">
        <is>
          <t>10-16 сен</t>
        </is>
      </c>
      <c r="D18" s="4" t="inlineStr">
        <is>
          <t>Закуп косметики</t>
        </is>
      </c>
      <c r="E18" s="5" t="inlineStr">
        <is>
          <t>Список брендов и заводов с условиями, ценами, MOQ</t>
        </is>
      </c>
      <c r="F18" s="6" t="inlineStr">
        <is>
          <t>сотрудница</t>
        </is>
      </c>
      <c r="G18" s="7" t="inlineStr">
        <is>
          <t>Не начато</t>
        </is>
      </c>
      <c r="H18" s="5" t="inlineStr"/>
    </row>
    <row r="19">
      <c r="A19" s="4" t="n">
        <v>15</v>
      </c>
      <c r="B19" s="4" t="inlineStr">
        <is>
          <t>Неделя 1</t>
        </is>
      </c>
      <c r="C19" s="4" t="inlineStr">
        <is>
          <t>10-16 сен</t>
        </is>
      </c>
      <c r="D19" s="4" t="inlineStr">
        <is>
          <t>Закуп косметики</t>
        </is>
      </c>
      <c r="E19" s="5" t="inlineStr">
        <is>
          <t>Контакты: байер, консолидатор, склад в Корее, брокер</t>
        </is>
      </c>
      <c r="F19" s="6" t="inlineStr">
        <is>
          <t>сотрудница</t>
        </is>
      </c>
      <c r="G19" s="7" t="inlineStr">
        <is>
          <t>Не начато</t>
        </is>
      </c>
      <c r="H19" s="5" t="inlineStr"/>
    </row>
    <row r="20">
      <c r="A20" s="4" t="n">
        <v>16</v>
      </c>
      <c r="B20" s="4" t="inlineStr">
        <is>
          <t>Неделя 1</t>
        </is>
      </c>
      <c r="C20" s="4" t="inlineStr">
        <is>
          <t>10-16 сен</t>
        </is>
      </c>
      <c r="D20" s="4" t="inlineStr">
        <is>
          <t>Закуп косметики</t>
        </is>
      </c>
      <c r="E20" s="5" t="inlineStr">
        <is>
          <t>Сверка взаиморасчетов с каждым поставщиком</t>
        </is>
      </c>
      <c r="F20" s="6" t="inlineStr">
        <is>
          <t>Москва</t>
        </is>
      </c>
      <c r="G20" s="7" t="inlineStr">
        <is>
          <t>Не начато</t>
        </is>
      </c>
      <c r="H20" s="5" t="inlineStr">
        <is>
          <t>неотработанные предоплаты</t>
        </is>
      </c>
    </row>
    <row r="21">
      <c r="A21" s="4" t="n">
        <v>17</v>
      </c>
      <c r="B21" s="4" t="inlineStr">
        <is>
          <t>Неделя 1</t>
        </is>
      </c>
      <c r="C21" s="4" t="inlineStr">
        <is>
          <t>10-16 сен</t>
        </is>
      </c>
      <c r="D21" s="4" t="inlineStr">
        <is>
          <t>Закуп косметики</t>
        </is>
      </c>
      <c r="E21" s="5" t="inlineStr">
        <is>
          <t>Документы: CPNP, декларации, Честный знак</t>
        </is>
      </c>
      <c r="F21" s="6" t="inlineStr">
        <is>
          <t>сотрудница</t>
        </is>
      </c>
      <c r="G21" s="7" t="inlineStr">
        <is>
          <t>Не начато</t>
        </is>
      </c>
      <c r="H21" s="5" t="inlineStr"/>
    </row>
    <row r="22">
      <c r="A22" s="4" t="n">
        <v>18</v>
      </c>
      <c r="B22" s="4" t="inlineStr">
        <is>
          <t>Неделя 1</t>
        </is>
      </c>
      <c r="C22" s="4" t="inlineStr">
        <is>
          <t>срочно</t>
        </is>
      </c>
      <c r="D22" s="4" t="inlineStr">
        <is>
          <t>Логистика</t>
        </is>
      </c>
      <c r="E22" s="5" t="inlineStr">
        <is>
          <t>Косметика: растаможка контейнера, отправка на склад к Анне</t>
        </is>
      </c>
      <c r="F22" s="6" t="inlineStr">
        <is>
          <t>Москва</t>
        </is>
      </c>
      <c r="G22" s="7" t="inlineStr">
        <is>
          <t>Не начато</t>
        </is>
      </c>
      <c r="H22" s="5" t="inlineStr">
        <is>
          <t>простой контейнера считается по дням</t>
        </is>
      </c>
    </row>
    <row r="23">
      <c r="A23" s="4" t="n">
        <v>19</v>
      </c>
      <c r="B23" s="4" t="inlineStr">
        <is>
          <t>Неделя 1</t>
        </is>
      </c>
      <c r="C23" s="4" t="inlineStr">
        <is>
          <t>срочно</t>
        </is>
      </c>
      <c r="D23" s="4" t="inlineStr">
        <is>
          <t>Логистика</t>
        </is>
      </c>
      <c r="E23" s="5" t="inlineStr">
        <is>
          <t>Дед Мороз: растаможка контейнера, отправка в Дедовск</t>
        </is>
      </c>
      <c r="F23" s="6" t="inlineStr">
        <is>
          <t>Москва</t>
        </is>
      </c>
      <c r="G23" s="7" t="inlineStr">
        <is>
          <t>Не начато</t>
        </is>
      </c>
      <c r="H23" s="5" t="inlineStr">
        <is>
          <t>товар сезонный</t>
        </is>
      </c>
    </row>
    <row r="24">
      <c r="A24" s="4" t="n">
        <v>20</v>
      </c>
      <c r="B24" s="4" t="inlineStr">
        <is>
          <t>Неделя 1</t>
        </is>
      </c>
      <c r="C24" s="4" t="inlineStr">
        <is>
          <t>10-15 сен</t>
        </is>
      </c>
      <c r="D24" s="4" t="inlineStr">
        <is>
          <t>Остатки</t>
        </is>
      </c>
      <c r="E24" s="5" t="inlineStr">
        <is>
          <t>Пересчитать 79 позиций, дающих 80% стоимости</t>
        </is>
      </c>
      <c r="F24" s="6" t="inlineStr">
        <is>
          <t>сотрудница</t>
        </is>
      </c>
      <c r="G24" s="7" t="inlineStr">
        <is>
          <t>Не начато</t>
        </is>
      </c>
      <c r="H24" s="5" t="inlineStr">
        <is>
          <t>лист «Считать первыми», начинать с самого дорогого</t>
        </is>
      </c>
    </row>
    <row r="25">
      <c r="A25" s="4" t="n">
        <v>21</v>
      </c>
      <c r="B25" s="4" t="inlineStr">
        <is>
          <t>Неделя 1</t>
        </is>
      </c>
      <c r="C25" s="4" t="inlineStr">
        <is>
          <t>16 сен</t>
        </is>
      </c>
      <c r="D25" s="4" t="inlineStr">
        <is>
          <t>Остатки</t>
        </is>
      </c>
      <c r="E25" s="5" t="inlineStr">
        <is>
          <t>Зафиксировать факт: что пересчитано, что нет</t>
        </is>
      </c>
      <c r="F25" s="6" t="inlineStr">
        <is>
          <t>сотрудница</t>
        </is>
      </c>
      <c r="G25" s="7" t="inlineStr">
        <is>
          <t>Не начато</t>
        </is>
      </c>
      <c r="H25" s="5" t="inlineStr">
        <is>
          <t>расхождения не расследуем, склад вели 10 лет</t>
        </is>
      </c>
    </row>
    <row r="26">
      <c r="A26" s="4" t="n">
        <v>22</v>
      </c>
      <c r="B26" s="4" t="inlineStr">
        <is>
          <t>Неделя 1</t>
        </is>
      </c>
      <c r="C26" s="4" t="inlineStr">
        <is>
          <t>16 сен</t>
        </is>
      </c>
      <c r="D26" s="4" t="inlineStr">
        <is>
          <t>Остатки</t>
        </is>
      </c>
      <c r="E26" s="5" t="inlineStr">
        <is>
          <t>Пересчитать столько позиций сверх 79, сколько успеет</t>
        </is>
      </c>
      <c r="F26" s="6" t="inlineStr">
        <is>
          <t>сотрудница</t>
        </is>
      </c>
      <c r="G26" s="7" t="inlineStr">
        <is>
          <t>Не начато</t>
        </is>
      </c>
      <c r="H26" s="5" t="inlineStr">
        <is>
          <t>по убыванию стоимости</t>
        </is>
      </c>
    </row>
    <row r="27">
      <c r="A27" s="4" t="n">
        <v>23</v>
      </c>
      <c r="B27" s="4" t="inlineStr">
        <is>
          <t>Неделя 1</t>
        </is>
      </c>
      <c r="C27" s="4" t="inlineStr">
        <is>
          <t>10-16 сен</t>
        </is>
      </c>
      <c r="D27" s="4" t="inlineStr">
        <is>
          <t>Остатки</t>
        </is>
      </c>
      <c r="E27" s="5" t="inlineStr">
        <is>
          <t>Завести правило: каждая отгрузка отмечается в тот же день</t>
        </is>
      </c>
      <c r="F27" s="6" t="inlineStr">
        <is>
          <t>Олеся</t>
        </is>
      </c>
      <c r="G27" s="7" t="inlineStr">
        <is>
          <t>Не начато</t>
        </is>
      </c>
      <c r="H27" s="5" t="inlineStr">
        <is>
          <t>иначе через год остатки снова разойдутся</t>
        </is>
      </c>
    </row>
    <row r="28">
      <c r="A28" s="4" t="n">
        <v>24</v>
      </c>
      <c r="B28" s="4" t="inlineStr">
        <is>
          <t>Неделя 1</t>
        </is>
      </c>
      <c r="C28" s="4" t="inlineStr">
        <is>
          <t>10-13 сен</t>
        </is>
      </c>
      <c r="D28" s="4" t="inlineStr">
        <is>
          <t>Продажи</t>
        </is>
      </c>
      <c r="E28" s="5" t="inlineStr">
        <is>
          <t>Оценить улицу: брашпили Б3 и Б4, лебедки ЛЭ74, ПУ-130, трал</t>
        </is>
      </c>
      <c r="F28" s="6" t="inlineStr">
        <is>
          <t>Олеся</t>
        </is>
      </c>
      <c r="G28" s="7" t="inlineStr">
        <is>
          <t>Не начато</t>
        </is>
      </c>
      <c r="H28" s="5" t="inlineStr">
        <is>
          <t>брашпили уже спрашивал покупатель, цены нет</t>
        </is>
      </c>
    </row>
    <row r="29">
      <c r="A29" s="4" t="n">
        <v>25</v>
      </c>
      <c r="B29" s="4" t="inlineStr">
        <is>
          <t>Неделя 1</t>
        </is>
      </c>
      <c r="C29" s="4" t="inlineStr">
        <is>
          <t>10-13 сен</t>
        </is>
      </c>
      <c r="D29" s="4" t="inlineStr">
        <is>
          <t>Продажи</t>
        </is>
      </c>
      <c r="E29" s="5" t="inlineStr">
        <is>
          <t>Проверить три спорные цифры: СУНДУК, иллюминатор Ф300, РТНД-150</t>
        </is>
      </c>
      <c r="F29" s="6" t="inlineStr">
        <is>
          <t>Олеся</t>
        </is>
      </c>
      <c r="G29" s="7" t="inlineStr">
        <is>
          <t>Не начато</t>
        </is>
      </c>
      <c r="H29" s="5" t="inlineStr">
        <is>
          <t>24 млн под вопросом</t>
        </is>
      </c>
    </row>
    <row r="30">
      <c r="A30" s="4" t="n">
        <v>26</v>
      </c>
      <c r="B30" s="4" t="inlineStr">
        <is>
          <t>Неделя 1</t>
        </is>
      </c>
      <c r="C30" s="4" t="inlineStr">
        <is>
          <t>10-14 сен</t>
        </is>
      </c>
      <c r="D30" s="4" t="inlineStr">
        <is>
          <t>Продажи</t>
        </is>
      </c>
      <c r="E30" s="5" t="inlineStr">
        <is>
          <t>Оценить ЗИП двигателей: Пилстик 6ЧН40/46, VD26/20, 6NVD26 А3</t>
        </is>
      </c>
      <c r="F30" s="6" t="inlineStr">
        <is>
          <t>Олеся</t>
        </is>
      </c>
      <c r="G30" s="7" t="inlineStr">
        <is>
          <t>Не начато</t>
        </is>
      </c>
      <c r="H30" s="5" t="inlineStr">
        <is>
          <t>249 позиций без цены, самое дорогое из неоцененного</t>
        </is>
      </c>
    </row>
    <row r="31">
      <c r="A31" s="4" t="n">
        <v>27</v>
      </c>
      <c r="B31" s="4" t="inlineStr">
        <is>
          <t>Неделя 1</t>
        </is>
      </c>
      <c r="C31" s="4" t="inlineStr">
        <is>
          <t>10-14 сен</t>
        </is>
      </c>
      <c r="D31" s="4" t="inlineStr">
        <is>
          <t>Продажи</t>
        </is>
      </c>
      <c r="E31" s="5" t="inlineStr">
        <is>
          <t>Проставить цены на остальные позиции без цены</t>
        </is>
      </c>
      <c r="F31" s="6" t="inlineStr">
        <is>
          <t>Олеся</t>
        </is>
      </c>
      <c r="G31" s="7" t="inlineStr">
        <is>
          <t>Не начато</t>
        </is>
      </c>
      <c r="H31" s="5" t="inlineStr">
        <is>
          <t>начать с тех, что нужны для КП</t>
        </is>
      </c>
    </row>
    <row r="32">
      <c r="A32" s="4" t="n">
        <v>28</v>
      </c>
      <c r="B32" s="4" t="inlineStr">
        <is>
          <t>Неделя 1</t>
        </is>
      </c>
      <c r="C32" s="4" t="inlineStr">
        <is>
          <t>10-14 сен</t>
        </is>
      </c>
      <c r="D32" s="4" t="inlineStr">
        <is>
          <t>Продажи</t>
        </is>
      </c>
      <c r="E32" s="5" t="inlineStr">
        <is>
          <t>Спросить мастера: взаимозаменяемы ли VD26/20 и 6NVD26 А3</t>
        </is>
      </c>
      <c r="F32" s="6" t="inlineStr">
        <is>
          <t>Олеся</t>
        </is>
      </c>
      <c r="G32" s="7" t="inlineStr">
        <is>
          <t>Не начато</t>
        </is>
      </c>
      <c r="H32" s="5" t="inlineStr">
        <is>
          <t>одна серия SKL 260/200, тогда это один лот</t>
        </is>
      </c>
    </row>
    <row r="33">
      <c r="A33" s="4" t="n">
        <v>29</v>
      </c>
      <c r="B33" s="4" t="inlineStr">
        <is>
          <t>Неделя 1</t>
        </is>
      </c>
      <c r="C33" s="4" t="inlineStr">
        <is>
          <t>10-14 сен</t>
        </is>
      </c>
      <c r="D33" s="4" t="inlineStr">
        <is>
          <t>Продажи</t>
        </is>
      </c>
      <c r="E33" s="5" t="inlineStr">
        <is>
          <t>Свести к одной цене 10 наименований с разной ценой</t>
        </is>
      </c>
      <c r="F33" s="6" t="inlineStr">
        <is>
          <t>Олеся</t>
        </is>
      </c>
      <c r="G33" s="7" t="inlineStr">
        <is>
          <t>Не начато</t>
        </is>
      </c>
      <c r="H33" s="5" t="inlineStr"/>
    </row>
    <row r="34">
      <c r="A34" s="4" t="n">
        <v>30</v>
      </c>
      <c r="B34" s="4" t="inlineStr">
        <is>
          <t>Неделя 1</t>
        </is>
      </c>
      <c r="C34" s="4" t="inlineStr">
        <is>
          <t>13-16 сен</t>
        </is>
      </c>
      <c r="D34" s="4" t="inlineStr">
        <is>
          <t>Продажи</t>
        </is>
      </c>
      <c r="E34" s="5" t="inlineStr">
        <is>
          <t>Разобрать фотоархив по позициям</t>
        </is>
      </c>
      <c r="F34" s="6" t="inlineStr">
        <is>
          <t>Олеся</t>
        </is>
      </c>
      <c r="G34" s="7" t="inlineStr">
        <is>
          <t>Не начато</t>
        </is>
      </c>
      <c r="H34" s="5" t="inlineStr">
        <is>
          <t>папка Фото на Google Drive</t>
        </is>
      </c>
    </row>
    <row r="35">
      <c r="A35" s="8" t="n">
        <v>31</v>
      </c>
      <c r="B35" s="8" t="inlineStr">
        <is>
          <t>Неделя 2</t>
        </is>
      </c>
      <c r="C35" s="8" t="inlineStr">
        <is>
          <t>17-23 сен</t>
        </is>
      </c>
      <c r="D35" s="8" t="inlineStr">
        <is>
          <t>Люди</t>
        </is>
      </c>
      <c r="E35" s="5" t="inlineStr">
        <is>
          <t>Совместный обход Калинина: счетчики, ключи, что где лежит</t>
        </is>
      </c>
      <c r="F35" s="6" t="inlineStr">
        <is>
          <t>сотрудница + новый</t>
        </is>
      </c>
      <c r="G35" s="7" t="inlineStr">
        <is>
          <t>Не начато</t>
        </is>
      </c>
      <c r="H35" s="5" t="inlineStr">
        <is>
          <t>новому передаем уже выверенные остатки</t>
        </is>
      </c>
    </row>
    <row r="36">
      <c r="A36" s="8" t="n">
        <v>32</v>
      </c>
      <c r="B36" s="8" t="inlineStr">
        <is>
          <t>Неделя 2</t>
        </is>
      </c>
      <c r="C36" s="8" t="inlineStr">
        <is>
          <t>17-23 сен</t>
        </is>
      </c>
      <c r="D36" s="8" t="inlineStr">
        <is>
          <t>Люди</t>
        </is>
      </c>
      <c r="E36" s="5" t="inlineStr">
        <is>
          <t>Обход Светланской, Фокино, Аксаковской</t>
        </is>
      </c>
      <c r="F36" s="6" t="inlineStr">
        <is>
          <t>сотрудница + новый</t>
        </is>
      </c>
      <c r="G36" s="7" t="inlineStr">
        <is>
          <t>Не начато</t>
        </is>
      </c>
      <c r="H36" s="5" t="inlineStr"/>
    </row>
    <row r="37">
      <c r="A37" s="8" t="n">
        <v>33</v>
      </c>
      <c r="B37" s="8" t="inlineStr">
        <is>
          <t>Неделя 2</t>
        </is>
      </c>
      <c r="C37" s="8" t="inlineStr">
        <is>
          <t>17-23 сен</t>
        </is>
      </c>
      <c r="D37" s="8" t="inlineStr">
        <is>
          <t>Люди</t>
        </is>
      </c>
      <c r="E37" s="5" t="inlineStr">
        <is>
          <t>Знакомство со сторожами, порядок приема смены и оплаты</t>
        </is>
      </c>
      <c r="F37" s="6" t="inlineStr">
        <is>
          <t>сотрудница + новый</t>
        </is>
      </c>
      <c r="G37" s="7" t="inlineStr">
        <is>
          <t>Не начато</t>
        </is>
      </c>
      <c r="H37" s="5" t="inlineStr">
        <is>
          <t>смена 1280 руб</t>
        </is>
      </c>
    </row>
    <row r="38">
      <c r="A38" s="8" t="n">
        <v>34</v>
      </c>
      <c r="B38" s="8" t="inlineStr">
        <is>
          <t>Неделя 2</t>
        </is>
      </c>
      <c r="C38" s="8" t="inlineStr">
        <is>
          <t>17-23 сен</t>
        </is>
      </c>
      <c r="D38" s="8" t="inlineStr">
        <is>
          <t>Люди</t>
        </is>
      </c>
      <c r="E38" s="5" t="inlineStr">
        <is>
          <t>Знакомство с подрядчиками и с экономистом ДЭК</t>
        </is>
      </c>
      <c r="F38" s="6" t="inlineStr">
        <is>
          <t>сотрудница + новый</t>
        </is>
      </c>
      <c r="G38" s="7" t="inlineStr">
        <is>
          <t>Не начато</t>
        </is>
      </c>
      <c r="H38" s="5" t="inlineStr">
        <is>
          <t>включая мастера по ремонту арматуры</t>
        </is>
      </c>
    </row>
    <row r="39">
      <c r="A39" s="8" t="n">
        <v>35</v>
      </c>
      <c r="B39" s="8" t="inlineStr">
        <is>
          <t>Неделя 2</t>
        </is>
      </c>
      <c r="C39" s="8" t="inlineStr">
        <is>
          <t>20-25 сен</t>
        </is>
      </c>
      <c r="D39" s="8" t="inlineStr">
        <is>
          <t>Люди</t>
        </is>
      </c>
      <c r="E39" s="5" t="inlineStr">
        <is>
          <t>Новый сам снимает и передает показания по всем объектам</t>
        </is>
      </c>
      <c r="F39" s="6" t="inlineStr">
        <is>
          <t>новый администратор</t>
        </is>
      </c>
      <c r="G39" s="7" t="inlineStr">
        <is>
          <t>Не начато</t>
        </is>
      </c>
      <c r="H39" s="5" t="inlineStr">
        <is>
          <t>контрольная точка, она рядом и проверяет</t>
        </is>
      </c>
    </row>
    <row r="40">
      <c r="A40" s="8" t="n">
        <v>36</v>
      </c>
      <c r="B40" s="8" t="inlineStr">
        <is>
          <t>Неделя 2</t>
        </is>
      </c>
      <c r="C40" s="8" t="inlineStr">
        <is>
          <t>20-25 сен</t>
        </is>
      </c>
      <c r="D40" s="8" t="inlineStr">
        <is>
          <t>Люди</t>
        </is>
      </c>
      <c r="E40" s="5" t="inlineStr">
        <is>
          <t>Новый сам оплачивает воду по четырем объектам</t>
        </is>
      </c>
      <c r="F40" s="6" t="inlineStr">
        <is>
          <t>новый администратор</t>
        </is>
      </c>
      <c r="G40" s="7" t="inlineStr">
        <is>
          <t>Не начато</t>
        </is>
      </c>
      <c r="H40" s="5" t="inlineStr"/>
    </row>
    <row r="41">
      <c r="A41" s="8" t="n">
        <v>37</v>
      </c>
      <c r="B41" s="8" t="inlineStr">
        <is>
          <t>Неделя 2</t>
        </is>
      </c>
      <c r="C41" s="8" t="inlineStr">
        <is>
          <t>22 сен</t>
        </is>
      </c>
      <c r="D41" s="8" t="inlineStr">
        <is>
          <t>Люди</t>
        </is>
      </c>
      <c r="E41" s="5" t="inlineStr">
        <is>
          <t>Контрольный день: новый работает один</t>
        </is>
      </c>
      <c r="F41" s="6" t="inlineStr">
        <is>
          <t>новый администратор</t>
        </is>
      </c>
      <c r="G41" s="7" t="inlineStr">
        <is>
          <t>Не начато</t>
        </is>
      </c>
      <c r="H41" s="5" t="inlineStr">
        <is>
          <t>она на телефоне</t>
        </is>
      </c>
    </row>
    <row r="42">
      <c r="A42" s="8" t="n">
        <v>38</v>
      </c>
      <c r="B42" s="8" t="inlineStr">
        <is>
          <t>Неделя 2</t>
        </is>
      </c>
      <c r="C42" s="8" t="inlineStr">
        <is>
          <t>23 сен</t>
        </is>
      </c>
      <c r="D42" s="8" t="inlineStr">
        <is>
          <t>Остатки</t>
        </is>
      </c>
      <c r="E42" s="5" t="inlineStr">
        <is>
          <t>Подписать акт сверки по пересчитанным позициям</t>
        </is>
      </c>
      <c r="F42" s="6" t="inlineStr">
        <is>
          <t>Москва</t>
        </is>
      </c>
      <c r="G42" s="7" t="inlineStr">
        <is>
          <t>Не начато</t>
        </is>
      </c>
      <c r="H42" s="5" t="inlineStr">
        <is>
          <t>фиксируем факт на дату, без поиска причин</t>
        </is>
      </c>
    </row>
    <row r="43">
      <c r="A43" s="8" t="n">
        <v>39</v>
      </c>
      <c r="B43" s="8" t="inlineStr">
        <is>
          <t>Неделя 2</t>
        </is>
      </c>
      <c r="C43" s="8" t="inlineStr">
        <is>
          <t>23 сен</t>
        </is>
      </c>
      <c r="D43" s="8" t="inlineStr">
        <is>
          <t>Люди</t>
        </is>
      </c>
      <c r="E43" s="5" t="inlineStr">
        <is>
          <t>Акт приема-передачи, отзыв ключей, смена паролей</t>
        </is>
      </c>
      <c r="F43" s="6" t="inlineStr">
        <is>
          <t>Москва</t>
        </is>
      </c>
      <c r="G43" s="7" t="inlineStr">
        <is>
          <t>Не начато</t>
        </is>
      </c>
      <c r="H43" s="5" t="inlineStr"/>
    </row>
    <row r="44">
      <c r="A44" s="8" t="n">
        <v>40</v>
      </c>
      <c r="B44" s="8" t="inlineStr">
        <is>
          <t>Неделя 2</t>
        </is>
      </c>
      <c r="C44" s="8" t="inlineStr">
        <is>
          <t>17-23 сен</t>
        </is>
      </c>
      <c r="D44" s="8" t="inlineStr">
        <is>
          <t>Продажи</t>
        </is>
      </c>
      <c r="E44" s="5" t="inlineStr">
        <is>
          <t>Выложить на Авито и Фарпост первую волну: 24 объявления</t>
        </is>
      </c>
      <c r="F44" s="6" t="inlineStr">
        <is>
          <t>Олеся</t>
        </is>
      </c>
      <c r="G44" s="7" t="inlineStr">
        <is>
          <t>Не начато</t>
        </is>
      </c>
      <c r="H44" s="5" t="inlineStr">
        <is>
          <t>только после пересчета этих позиций</t>
        </is>
      </c>
    </row>
    <row r="45">
      <c r="A45" s="8" t="n">
        <v>41</v>
      </c>
      <c r="B45" s="8" t="inlineStr">
        <is>
          <t>Неделя 2</t>
        </is>
      </c>
      <c r="C45" s="8" t="inlineStr">
        <is>
          <t>17-23 сен</t>
        </is>
      </c>
      <c r="D45" s="8" t="inlineStr">
        <is>
          <t>Продажи</t>
        </is>
      </c>
      <c r="E45" s="5" t="inlineStr">
        <is>
          <t>Адресные КП тем, кто просил цену и не получил</t>
        </is>
      </c>
      <c r="F45" s="6" t="inlineStr">
        <is>
          <t>сотрудница</t>
        </is>
      </c>
      <c r="G45" s="7" t="inlineStr">
        <is>
          <t>Не начато</t>
        </is>
      </c>
      <c r="H45" s="5" t="inlineStr">
        <is>
          <t>количества в КП — только по пересчитанным позициям</t>
        </is>
      </c>
    </row>
    <row r="46">
      <c r="A46" s="8" t="n">
        <v>42</v>
      </c>
      <c r="B46" s="8" t="inlineStr">
        <is>
          <t>Неделя 2</t>
        </is>
      </c>
      <c r="C46" s="8" t="inlineStr">
        <is>
          <t>17-23 сен</t>
        </is>
      </c>
      <c r="D46" s="8" t="inlineStr">
        <is>
          <t>Продажи</t>
        </is>
      </c>
      <c r="E46" s="5" t="inlineStr">
        <is>
          <t>Предложение по светильникам СС328 одним лотом</t>
        </is>
      </c>
      <c r="F46" s="6" t="inlineStr">
        <is>
          <t>Олеся</t>
        </is>
      </c>
      <c r="G46" s="7" t="inlineStr">
        <is>
          <t>Не начато</t>
        </is>
      </c>
      <c r="H46" s="5" t="inlineStr">
        <is>
          <t>4512 единиц, главный объем</t>
        </is>
      </c>
    </row>
    <row r="47">
      <c r="A47" s="8" t="n">
        <v>43</v>
      </c>
      <c r="B47" s="8" t="inlineStr">
        <is>
          <t>Неделя 2</t>
        </is>
      </c>
      <c r="C47" s="8" t="inlineStr">
        <is>
          <t>17-23 сен</t>
        </is>
      </c>
      <c r="D47" s="8" t="inlineStr">
        <is>
          <t>Продажи</t>
        </is>
      </c>
      <c r="E47" s="5" t="inlineStr">
        <is>
          <t>Собрать лот ЗИП на Пилстик 6ЧН40/46</t>
        </is>
      </c>
      <c r="F47" s="6" t="inlineStr">
        <is>
          <t>Олеся</t>
        </is>
      </c>
      <c r="G47" s="7" t="inlineStr">
        <is>
          <t>Не начато</t>
        </is>
      </c>
      <c r="H47" s="5" t="inlineStr">
        <is>
          <t>57 позиций, 1222 единицы, искать судно с этим двигателем</t>
        </is>
      </c>
    </row>
    <row r="48">
      <c r="A48" s="8" t="n">
        <v>44</v>
      </c>
      <c r="B48" s="8" t="inlineStr">
        <is>
          <t>Неделя 2</t>
        </is>
      </c>
      <c r="C48" s="8" t="inlineStr">
        <is>
          <t>17-23 сен</t>
        </is>
      </c>
      <c r="D48" s="8" t="inlineStr">
        <is>
          <t>Продажи</t>
        </is>
      </c>
      <c r="E48" s="5" t="inlineStr">
        <is>
          <t>Собрать лот ЗИП на VD26/20 и 6NVD26 А3</t>
        </is>
      </c>
      <c r="F48" s="6" t="inlineStr">
        <is>
          <t>Олеся</t>
        </is>
      </c>
      <c r="G48" s="7" t="inlineStr">
        <is>
          <t>Не начато</t>
        </is>
      </c>
      <c r="H48" s="5" t="inlineStr">
        <is>
          <t>28 позиций, 254 единицы</t>
        </is>
      </c>
    </row>
    <row r="49">
      <c r="A49" s="8" t="n">
        <v>45</v>
      </c>
      <c r="B49" s="8" t="inlineStr">
        <is>
          <t>Неделя 2</t>
        </is>
      </c>
      <c r="C49" s="8" t="inlineStr">
        <is>
          <t>17-23 сен</t>
        </is>
      </c>
      <c r="D49" s="8" t="inlineStr">
        <is>
          <t>Продажи</t>
        </is>
      </c>
      <c r="E49" s="5" t="inlineStr">
        <is>
          <t>Связать ремкомплекты сепараторов с самими сепараторами в КП</t>
        </is>
      </c>
      <c r="F49" s="6" t="inlineStr">
        <is>
          <t>Олеся</t>
        </is>
      </c>
      <c r="G49" s="7" t="inlineStr">
        <is>
          <t>Не начато</t>
        </is>
      </c>
      <c r="H49" s="5" t="inlineStr">
        <is>
          <t>кулачки СЦ-1,5 55 шт, СЦ-3 36 шт, ремкомплекты</t>
        </is>
      </c>
    </row>
    <row r="50">
      <c r="A50" s="8" t="n">
        <v>46</v>
      </c>
      <c r="B50" s="8" t="inlineStr">
        <is>
          <t>Неделя 2</t>
        </is>
      </c>
      <c r="C50" s="8" t="inlineStr">
        <is>
          <t>17-23 сен</t>
        </is>
      </c>
      <c r="D50" s="8" t="inlineStr">
        <is>
          <t>Продажи</t>
        </is>
      </c>
      <c r="E50" s="5" t="inlineStr">
        <is>
          <t>Запрос встречных предложений на склад лотом у 3-5 перекупщиков</t>
        </is>
      </c>
      <c r="F50" s="6" t="inlineStr">
        <is>
          <t>Олеся</t>
        </is>
      </c>
      <c r="G50" s="7" t="inlineStr">
        <is>
          <t>Не начато</t>
        </is>
      </c>
      <c r="H50" s="5" t="inlineStr">
        <is>
          <t>цель — узнать цену рынка</t>
        </is>
      </c>
    </row>
    <row r="51">
      <c r="A51" s="8" t="n">
        <v>47</v>
      </c>
      <c r="B51" s="8" t="inlineStr">
        <is>
          <t>Неделя 2</t>
        </is>
      </c>
      <c r="C51" s="8" t="inlineStr">
        <is>
          <t>17-23 сен</t>
        </is>
      </c>
      <c r="D51" s="8" t="inlineStr">
        <is>
          <t>Продажи</t>
        </is>
      </c>
      <c r="E51" s="5" t="inlineStr">
        <is>
          <t>Выставить на Фарпост баллоны кислородные и станки</t>
        </is>
      </c>
      <c r="F51" s="6" t="inlineStr">
        <is>
          <t>Олеся</t>
        </is>
      </c>
      <c r="G51" s="7" t="inlineStr">
        <is>
          <t>Не начато</t>
        </is>
      </c>
      <c r="H51" s="5" t="inlineStr">
        <is>
          <t>их нет в реестре, переписать отдельно</t>
        </is>
      </c>
    </row>
    <row r="52">
      <c r="A52" s="8" t="n">
        <v>48</v>
      </c>
      <c r="B52" s="8" t="inlineStr">
        <is>
          <t>Неделя 2</t>
        </is>
      </c>
      <c r="C52" s="8" t="inlineStr">
        <is>
          <t>20-23 сен</t>
        </is>
      </c>
      <c r="D52" s="8" t="inlineStr">
        <is>
          <t>Продажи</t>
        </is>
      </c>
      <c r="E52" s="5" t="inlineStr">
        <is>
          <t>Совместные звонки: представить Олесю ключевым покупателям</t>
        </is>
      </c>
      <c r="F52" s="6" t="inlineStr">
        <is>
          <t>сотрудница + Олеся</t>
        </is>
      </c>
      <c r="G52" s="7" t="inlineStr">
        <is>
          <t>Не начато</t>
        </is>
      </c>
      <c r="H52" s="5" t="inlineStr"/>
    </row>
    <row r="53">
      <c r="A53" s="8" t="n">
        <v>49</v>
      </c>
      <c r="B53" s="8" t="inlineStr">
        <is>
          <t>Неделя 2</t>
        </is>
      </c>
      <c r="C53" s="8" t="inlineStr">
        <is>
          <t>17-23 сен</t>
        </is>
      </c>
      <c r="D53" s="8" t="inlineStr">
        <is>
          <t>Здание</t>
        </is>
      </c>
      <c r="E53" s="5" t="inlineStr">
        <is>
          <t>Обмерить, сколько места занимает каждая группа товара</t>
        </is>
      </c>
      <c r="F53" s="6" t="inlineStr">
        <is>
          <t>новый + Олеся</t>
        </is>
      </c>
      <c r="G53" s="7" t="inlineStr">
        <is>
          <t>Не начато</t>
        </is>
      </c>
      <c r="H53" s="5" t="inlineStr">
        <is>
          <t>один день с рулеткой и планом</t>
        </is>
      </c>
    </row>
    <row r="54">
      <c r="A54" s="8" t="n">
        <v>50</v>
      </c>
      <c r="B54" s="8" t="inlineStr">
        <is>
          <t>Неделя 2</t>
        </is>
      </c>
      <c r="C54" s="8" t="inlineStr">
        <is>
          <t>17-23 сен</t>
        </is>
      </c>
      <c r="D54" s="8" t="inlineStr">
        <is>
          <t>Здание</t>
        </is>
      </c>
      <c r="E54" s="5" t="inlineStr">
        <is>
          <t>Включить склад электрики в обмер и в план вывоза</t>
        </is>
      </c>
      <c r="F54" s="6" t="inlineStr">
        <is>
          <t>новый администратор</t>
        </is>
      </c>
      <c r="G54" s="7" t="inlineStr">
        <is>
          <t>Не начато</t>
        </is>
      </c>
      <c r="H54" s="5" t="inlineStr">
        <is>
          <t>локация нашлась позже, 117 позиций, 1783 единицы</t>
        </is>
      </c>
    </row>
    <row r="55">
      <c r="A55" s="8" t="n">
        <v>51</v>
      </c>
      <c r="B55" s="8" t="inlineStr">
        <is>
          <t>Неделя 2</t>
        </is>
      </c>
      <c r="C55" s="8" t="inlineStr">
        <is>
          <t>17-23 сен</t>
        </is>
      </c>
      <c r="D55" s="8" t="inlineStr">
        <is>
          <t>Здание</t>
        </is>
      </c>
      <c r="E55" s="5" t="inlineStr">
        <is>
          <t>Узнать рыночную ставку аренды за кв. м в районе</t>
        </is>
      </c>
      <c r="F55" s="6" t="inlineStr">
        <is>
          <t>Москва</t>
        </is>
      </c>
      <c r="G55" s="7" t="inlineStr">
        <is>
          <t>Не начато</t>
        </is>
      </c>
      <c r="H55" s="5" t="inlineStr">
        <is>
          <t>без нее нельзя считать экономику</t>
        </is>
      </c>
    </row>
    <row r="56">
      <c r="A56" s="8" t="n">
        <v>52</v>
      </c>
      <c r="B56" s="8" t="inlineStr">
        <is>
          <t>Неделя 2</t>
        </is>
      </c>
      <c r="C56" s="8" t="inlineStr">
        <is>
          <t>17-23 сен</t>
        </is>
      </c>
      <c r="D56" s="8" t="inlineStr">
        <is>
          <t>Здание</t>
        </is>
      </c>
      <c r="E56" s="5" t="inlineStr">
        <is>
          <t>Выбрать и подготовить место под 40-футовый контейнер</t>
        </is>
      </c>
      <c r="F56" s="6" t="inlineStr">
        <is>
          <t>новый администратор</t>
        </is>
      </c>
      <c r="G56" s="7" t="inlineStr">
        <is>
          <t>Не начато</t>
        </is>
      </c>
      <c r="H56" s="5" t="inlineStr">
        <is>
          <t>твердое основание, блоки под углы</t>
        </is>
      </c>
    </row>
    <row r="57">
      <c r="A57" s="8" t="n">
        <v>53</v>
      </c>
      <c r="B57" s="8" t="inlineStr">
        <is>
          <t>Неделя 2</t>
        </is>
      </c>
      <c r="C57" s="8" t="inlineStr">
        <is>
          <t>17-23 сен</t>
        </is>
      </c>
      <c r="D57" s="8" t="inlineStr">
        <is>
          <t>Здание</t>
        </is>
      </c>
      <c r="E57" s="5" t="inlineStr">
        <is>
          <t>Воровайка: убрать лебедки с середины двора</t>
        </is>
      </c>
      <c r="F57" s="6" t="inlineStr">
        <is>
          <t>новый администратор</t>
        </is>
      </c>
      <c r="G57" s="7" t="inlineStr">
        <is>
          <t>Не начато</t>
        </is>
      </c>
      <c r="H57" s="5" t="inlineStr">
        <is>
          <t>чтобы заехал кран</t>
        </is>
      </c>
    </row>
    <row r="58">
      <c r="A58" s="8" t="n">
        <v>54</v>
      </c>
      <c r="B58" s="8" t="inlineStr">
        <is>
          <t>Неделя 2</t>
        </is>
      </c>
      <c r="C58" s="8" t="inlineStr">
        <is>
          <t>17-23 сен</t>
        </is>
      </c>
      <c r="D58" s="8" t="inlineStr">
        <is>
          <t>Здание</t>
        </is>
      </c>
      <c r="E58" s="5" t="inlineStr">
        <is>
          <t>Вывоз мусора грузовиком с помещения и территории</t>
        </is>
      </c>
      <c r="F58" s="6" t="inlineStr">
        <is>
          <t>новый администратор</t>
        </is>
      </c>
      <c r="G58" s="7" t="inlineStr">
        <is>
          <t>Не начато</t>
        </is>
      </c>
      <c r="H58" s="5" t="inlineStr">
        <is>
          <t>не сторож по мешку</t>
        </is>
      </c>
    </row>
    <row r="59">
      <c r="A59" s="8" t="n">
        <v>55</v>
      </c>
      <c r="B59" s="8" t="inlineStr">
        <is>
          <t>Неделя 2</t>
        </is>
      </c>
      <c r="C59" s="8" t="inlineStr">
        <is>
          <t>17-23 сен</t>
        </is>
      </c>
      <c r="D59" s="8" t="inlineStr">
        <is>
          <t>Здание</t>
        </is>
      </c>
      <c r="E59" s="5" t="inlineStr">
        <is>
          <t>Освободить 20-футовый контейнер вдоль стены</t>
        </is>
      </c>
      <c r="F59" s="6" t="inlineStr">
        <is>
          <t>новый администратор</t>
        </is>
      </c>
      <c r="G59" s="7" t="inlineStr">
        <is>
          <t>Не начато</t>
        </is>
      </c>
      <c r="H59" s="5" t="inlineStr">
        <is>
          <t>пойдет под светильники</t>
        </is>
      </c>
    </row>
    <row r="60">
      <c r="A60" s="9" t="n">
        <v>56</v>
      </c>
      <c r="B60" s="9" t="inlineStr">
        <is>
          <t>Недели 3-4</t>
        </is>
      </c>
      <c r="C60" s="9" t="inlineStr">
        <is>
          <t>24 сен - 7 окт</t>
        </is>
      </c>
      <c r="D60" s="9" t="inlineStr">
        <is>
          <t>Здание</t>
        </is>
      </c>
      <c r="E60" s="5" t="inlineStr">
        <is>
          <t>Купить и поставить 40-футовый контейнер</t>
        </is>
      </c>
      <c r="F60" s="6" t="inlineStr">
        <is>
          <t>Москва</t>
        </is>
      </c>
      <c r="G60" s="7" t="inlineStr">
        <is>
          <t>Не начато</t>
        </is>
      </c>
      <c r="H60" s="5" t="inlineStr"/>
    </row>
    <row r="61">
      <c r="A61" s="9" t="n">
        <v>57</v>
      </c>
      <c r="B61" s="9" t="inlineStr">
        <is>
          <t>Недели 3-4</t>
        </is>
      </c>
      <c r="C61" s="9" t="inlineStr">
        <is>
          <t>24 сен - 7 окт</t>
        </is>
      </c>
      <c r="D61" s="9" t="inlineStr">
        <is>
          <t>Здание</t>
        </is>
      </c>
      <c r="E61" s="5" t="inlineStr">
        <is>
          <t>Полностью освободить здание: товара внутри не остается</t>
        </is>
      </c>
      <c r="F61" s="6" t="inlineStr">
        <is>
          <t>новый администратор</t>
        </is>
      </c>
      <c r="G61" s="7" t="inlineStr">
        <is>
          <t>Не начато</t>
        </is>
      </c>
      <c r="H61" s="5" t="inlineStr">
        <is>
          <t>500 кв. м аренда, 100 кв. м мастерская</t>
        </is>
      </c>
    </row>
    <row r="62">
      <c r="A62" s="9" t="n">
        <v>58</v>
      </c>
      <c r="B62" s="9" t="inlineStr">
        <is>
          <t>Недели 3-4</t>
        </is>
      </c>
      <c r="C62" s="9" t="inlineStr">
        <is>
          <t>24 сен - 7 окт</t>
        </is>
      </c>
      <c r="D62" s="9" t="inlineStr">
        <is>
          <t>Здание</t>
        </is>
      </c>
      <c r="E62" s="5" t="inlineStr">
        <is>
          <t>Поставить навес во дворе под насосы, сепараторы и плиты</t>
        </is>
      </c>
      <c r="F62" s="6" t="inlineStr">
        <is>
          <t>новый администратор</t>
        </is>
      </c>
      <c r="G62" s="7" t="inlineStr">
        <is>
          <t>Не начато</t>
        </is>
      </c>
      <c r="H62" s="5" t="inlineStr">
        <is>
          <t>45-55 куб. м, на поддоны, не на землю</t>
        </is>
      </c>
    </row>
    <row r="63">
      <c r="A63" s="9" t="n">
        <v>59</v>
      </c>
      <c r="B63" s="9" t="inlineStr">
        <is>
          <t>Недели 3-4</t>
        </is>
      </c>
      <c r="C63" s="9" t="inlineStr">
        <is>
          <t>24 сен - 7 окт</t>
        </is>
      </c>
      <c r="D63" s="9" t="inlineStr">
        <is>
          <t>Здание</t>
        </is>
      </c>
      <c r="E63" s="5" t="inlineStr">
        <is>
          <t>Проверить мощность 380 В и подъемное оборудование для мастерской</t>
        </is>
      </c>
      <c r="F63" s="6" t="inlineStr">
        <is>
          <t>новый администратор</t>
        </is>
      </c>
      <c r="G63" s="7" t="inlineStr">
        <is>
          <t>Не начато</t>
        </is>
      </c>
      <c r="H63" s="5" t="inlineStr">
        <is>
          <t>кран-балка есть на улице, не продавать</t>
        </is>
      </c>
    </row>
    <row r="64">
      <c r="A64" s="9" t="n">
        <v>60</v>
      </c>
      <c r="B64" s="9" t="inlineStr">
        <is>
          <t>Недели 3-4</t>
        </is>
      </c>
      <c r="C64" s="9" t="inlineStr">
        <is>
          <t>24 сен - 7 окт</t>
        </is>
      </c>
      <c r="D64" s="9" t="inlineStr">
        <is>
          <t>Здание</t>
        </is>
      </c>
      <c r="E64" s="5" t="inlineStr">
        <is>
          <t>Предложить 100 кв. м мастеру, который ремонтирует нашу арматуру</t>
        </is>
      </c>
      <c r="F64" s="6" t="inlineStr">
        <is>
          <t>Москва</t>
        </is>
      </c>
      <c r="G64" s="7" t="inlineStr">
        <is>
          <t>Не начато</t>
        </is>
      </c>
      <c r="H64" s="5" t="inlineStr">
        <is>
          <t>часть аренды можно закрывать ремонтом брака</t>
        </is>
      </c>
    </row>
    <row r="65">
      <c r="A65" s="9" t="n">
        <v>61</v>
      </c>
      <c r="B65" s="9" t="inlineStr">
        <is>
          <t>Недели 3-4</t>
        </is>
      </c>
      <c r="C65" s="9" t="inlineStr">
        <is>
          <t>24 сен - 7 окт</t>
        </is>
      </c>
      <c r="D65" s="9" t="inlineStr">
        <is>
          <t>Здание</t>
        </is>
      </c>
      <c r="E65" s="5" t="inlineStr">
        <is>
          <t>Загрузить арматуру: тяжелое на поддоны, мелочь в ящики</t>
        </is>
      </c>
      <c r="F65" s="6" t="inlineStr">
        <is>
          <t>новый администратор</t>
        </is>
      </c>
      <c r="G65" s="7" t="inlineStr">
        <is>
          <t>Не начато</t>
        </is>
      </c>
      <c r="H65" s="5" t="inlineStr">
        <is>
          <t>2844 единицы, опись обязательна</t>
        </is>
      </c>
    </row>
    <row r="66">
      <c r="A66" s="9" t="n">
        <v>62</v>
      </c>
      <c r="B66" s="9" t="inlineStr">
        <is>
          <t>Недели 3-4</t>
        </is>
      </c>
      <c r="C66" s="9" t="inlineStr">
        <is>
          <t>24 сен - 7 окт</t>
        </is>
      </c>
      <c r="D66" s="9" t="inlineStr">
        <is>
          <t>Здание</t>
        </is>
      </c>
      <c r="E66" s="5" t="inlineStr">
        <is>
          <t>Маркировать ящики и поддоны по строкам реестра</t>
        </is>
      </c>
      <c r="F66" s="6" t="inlineStr">
        <is>
          <t>новый администратор</t>
        </is>
      </c>
      <c r="G66" s="7" t="inlineStr">
        <is>
          <t>Не начато</t>
        </is>
      </c>
      <c r="H66" s="5" t="inlineStr">
        <is>
          <t>иначе не найти проданную позицию</t>
        </is>
      </c>
    </row>
    <row r="67">
      <c r="A67" s="9" t="n">
        <v>63</v>
      </c>
      <c r="B67" s="9" t="inlineStr">
        <is>
          <t>Недели 3-4</t>
        </is>
      </c>
      <c r="C67" s="9" t="inlineStr">
        <is>
          <t>24 сен - 7 окт</t>
        </is>
      </c>
      <c r="D67" s="9" t="inlineStr">
        <is>
          <t>Здание</t>
        </is>
      </c>
      <c r="E67" s="5" t="inlineStr">
        <is>
          <t>Освободить гараж от мусора</t>
        </is>
      </c>
      <c r="F67" s="6" t="inlineStr">
        <is>
          <t>новый администратор</t>
        </is>
      </c>
      <c r="G67" s="7" t="inlineStr">
        <is>
          <t>Не начато</t>
        </is>
      </c>
      <c r="H67" s="5" t="inlineStr"/>
    </row>
    <row r="68">
      <c r="A68" s="9" t="n">
        <v>64</v>
      </c>
      <c r="B68" s="9" t="inlineStr">
        <is>
          <t>Недели 3-4</t>
        </is>
      </c>
      <c r="C68" s="9" t="inlineStr">
        <is>
          <t>24 сен - 7 окт</t>
        </is>
      </c>
      <c r="D68" s="9" t="inlineStr">
        <is>
          <t>Здание</t>
        </is>
      </c>
      <c r="E68" s="5" t="inlineStr">
        <is>
          <t>Перенести насосы из фойе после маркировки и фото</t>
        </is>
      </c>
      <c r="F68" s="6" t="inlineStr">
        <is>
          <t>новый администратор</t>
        </is>
      </c>
      <c r="G68" s="7" t="inlineStr">
        <is>
          <t>Не начато</t>
        </is>
      </c>
      <c r="H68" s="5" t="inlineStr">
        <is>
          <t>6 910 000 руб, сначала бирки</t>
        </is>
      </c>
    </row>
    <row r="69">
      <c r="A69" s="9" t="n">
        <v>65</v>
      </c>
      <c r="B69" s="9" t="inlineStr">
        <is>
          <t>Недели 3-4</t>
        </is>
      </c>
      <c r="C69" s="9" t="inlineStr">
        <is>
          <t>24 сен - 7 окт</t>
        </is>
      </c>
      <c r="D69" s="9" t="inlineStr">
        <is>
          <t>Здание</t>
        </is>
      </c>
      <c r="E69" s="5" t="inlineStr">
        <is>
          <t>Покраска будки сторожей</t>
        </is>
      </c>
      <c r="F69" s="6" t="inlineStr">
        <is>
          <t>новый администратор</t>
        </is>
      </c>
      <c r="G69" s="7" t="inlineStr">
        <is>
          <t>Не начато</t>
        </is>
      </c>
      <c r="H69" s="5" t="inlineStr"/>
    </row>
    <row r="70">
      <c r="A70" s="9" t="n">
        <v>66</v>
      </c>
      <c r="B70" s="9" t="inlineStr">
        <is>
          <t>Недели 3-4</t>
        </is>
      </c>
      <c r="C70" s="9" t="inlineStr">
        <is>
          <t>24 сен - 7 окт</t>
        </is>
      </c>
      <c r="D70" s="9" t="inlineStr">
        <is>
          <t>Здание</t>
        </is>
      </c>
      <c r="E70" s="5" t="inlineStr">
        <is>
          <t>Поставить отдельные счетчики света и воды на 500 кв. м</t>
        </is>
      </c>
      <c r="F70" s="6" t="inlineStr">
        <is>
          <t>Москва</t>
        </is>
      </c>
      <c r="G70" s="7" t="inlineStr">
        <is>
          <t>Не начато</t>
        </is>
      </c>
      <c r="H70" s="5" t="inlineStr">
        <is>
          <t>иначе будете платить за арендатора</t>
        </is>
      </c>
    </row>
    <row r="71">
      <c r="A71" s="9" t="n">
        <v>67</v>
      </c>
      <c r="B71" s="9" t="inlineStr">
        <is>
          <t>Недели 3-4</t>
        </is>
      </c>
      <c r="C71" s="9" t="inlineStr">
        <is>
          <t>24 сен - 7 окт</t>
        </is>
      </c>
      <c r="D71" s="9" t="inlineStr">
        <is>
          <t>Здание</t>
        </is>
      </c>
      <c r="E71" s="5" t="inlineStr">
        <is>
          <t>Подготовить поэтажный план с выделением 500 и 100 кв. м</t>
        </is>
      </c>
      <c r="F71" s="6" t="inlineStr">
        <is>
          <t>Москва</t>
        </is>
      </c>
      <c r="G71" s="7" t="inlineStr">
        <is>
          <t>Не начато</t>
        </is>
      </c>
      <c r="H71" s="5" t="inlineStr">
        <is>
          <t>приложение к договору аренды</t>
        </is>
      </c>
    </row>
    <row r="72">
      <c r="A72" s="9" t="n">
        <v>68</v>
      </c>
      <c r="B72" s="9" t="inlineStr">
        <is>
          <t>Недели 3-4</t>
        </is>
      </c>
      <c r="C72" s="9" t="inlineStr">
        <is>
          <t>24 сен - 7 окт</t>
        </is>
      </c>
      <c r="D72" s="9" t="inlineStr">
        <is>
          <t>Здание</t>
        </is>
      </c>
      <c r="E72" s="5" t="inlineStr">
        <is>
          <t>Разметить территорию: контейнеры, проезд, разгрузка</t>
        </is>
      </c>
      <c r="F72" s="6" t="inlineStr">
        <is>
          <t>новый администратор</t>
        </is>
      </c>
      <c r="G72" s="7" t="inlineStr">
        <is>
          <t>Не начато</t>
        </is>
      </c>
      <c r="H72" s="5" t="inlineStr"/>
    </row>
    <row r="73">
      <c r="A73" s="9" t="n">
        <v>69</v>
      </c>
      <c r="B73" s="9" t="inlineStr">
        <is>
          <t>Недели 3-4</t>
        </is>
      </c>
      <c r="C73" s="9" t="inlineStr">
        <is>
          <t>24 сен - 7 окт</t>
        </is>
      </c>
      <c r="D73" s="9" t="inlineStr">
        <is>
          <t>Здание</t>
        </is>
      </c>
      <c r="E73" s="5" t="inlineStr">
        <is>
          <t>Переговоры с Валентином и выход на рынок аренды</t>
        </is>
      </c>
      <c r="F73" s="6" t="inlineStr">
        <is>
          <t>Москва</t>
        </is>
      </c>
      <c r="G73" s="7" t="inlineStr">
        <is>
          <t>Не начато</t>
        </is>
      </c>
      <c r="H73" s="5" t="inlineStr">
        <is>
          <t>не завязываться на одного арендатора</t>
        </is>
      </c>
    </row>
    <row r="74">
      <c r="A74" s="9" t="n">
        <v>70</v>
      </c>
      <c r="B74" s="9" t="inlineStr">
        <is>
          <t>Недели 3-4</t>
        </is>
      </c>
      <c r="C74" s="9" t="inlineStr">
        <is>
          <t>24 сен - 7 окт</t>
        </is>
      </c>
      <c r="D74" s="9" t="inlineStr">
        <is>
          <t>Остатки</t>
        </is>
      </c>
      <c r="E74" s="5" t="inlineStr">
        <is>
          <t>Пересчитать остальные 666 позиций</t>
        </is>
      </c>
      <c r="F74" s="6" t="inlineStr">
        <is>
          <t>новый администратор</t>
        </is>
      </c>
      <c r="G74" s="7" t="inlineStr">
        <is>
          <t>Не начато</t>
        </is>
      </c>
      <c r="H74" s="5" t="inlineStr">
        <is>
          <t>параллельно с укладкой в контейнеры</t>
        </is>
      </c>
    </row>
    <row r="75">
      <c r="A75" s="9" t="n">
        <v>71</v>
      </c>
      <c r="B75" s="9" t="inlineStr">
        <is>
          <t>Недели 3-4</t>
        </is>
      </c>
      <c r="C75" s="9" t="inlineStr">
        <is>
          <t>24 сен - 7 окт</t>
        </is>
      </c>
      <c r="D75" s="9" t="inlineStr">
        <is>
          <t>Остатки</t>
        </is>
      </c>
      <c r="E75" s="5" t="inlineStr">
        <is>
          <t>Пересобрать реестр и прайс по фактическим остаткам</t>
        </is>
      </c>
      <c r="F75" s="6" t="inlineStr">
        <is>
          <t>Олеся</t>
        </is>
      </c>
      <c r="G75" s="7" t="inlineStr">
        <is>
          <t>Не начато</t>
        </is>
      </c>
      <c r="H75" s="5" t="inlineStr">
        <is>
          <t>после этого стоимость склада станет достоверной</t>
        </is>
      </c>
    </row>
    <row r="76">
      <c r="A76" s="9" t="n">
        <v>72</v>
      </c>
      <c r="B76" s="9" t="inlineStr">
        <is>
          <t>Недели 3-4</t>
        </is>
      </c>
      <c r="C76" s="9" t="inlineStr">
        <is>
          <t>24 сен - 7 окт</t>
        </is>
      </c>
      <c r="D76" s="9" t="inlineStr">
        <is>
          <t>Продажи</t>
        </is>
      </c>
      <c r="E76" s="5" t="inlineStr">
        <is>
          <t>Авито и Фарпост: вторая волна, 40 объявлений</t>
        </is>
      </c>
      <c r="F76" s="6" t="inlineStr">
        <is>
          <t>Олеся</t>
        </is>
      </c>
      <c r="G76" s="7" t="inlineStr">
        <is>
          <t>Не начато</t>
        </is>
      </c>
      <c r="H76" s="5" t="inlineStr">
        <is>
          <t>после пересчета</t>
        </is>
      </c>
    </row>
    <row r="77">
      <c r="A77" s="9" t="n">
        <v>73</v>
      </c>
      <c r="B77" s="9" t="inlineStr">
        <is>
          <t>Недели 3-4</t>
        </is>
      </c>
      <c r="C77" s="9" t="inlineStr">
        <is>
          <t>24 сен - 7 окт</t>
        </is>
      </c>
      <c r="D77" s="9" t="inlineStr">
        <is>
          <t>Продажи</t>
        </is>
      </c>
      <c r="E77" s="5" t="inlineStr">
        <is>
          <t>Авито и Фарпост: третья волна, 12 лотовых объявлений</t>
        </is>
      </c>
      <c r="F77" s="6" t="inlineStr">
        <is>
          <t>Олеся</t>
        </is>
      </c>
      <c r="G77" s="7" t="inlineStr">
        <is>
          <t>Не начато</t>
        </is>
      </c>
      <c r="H77" s="5" t="inlineStr"/>
    </row>
    <row r="78">
      <c r="A78" s="9" t="n">
        <v>74</v>
      </c>
      <c r="B78" s="9" t="inlineStr">
        <is>
          <t>Недели 3-4</t>
        </is>
      </c>
      <c r="C78" s="9" t="inlineStr">
        <is>
          <t>24 сен - 7 окт</t>
        </is>
      </c>
      <c r="D78" s="9" t="inlineStr">
        <is>
          <t>Продажи</t>
        </is>
      </c>
      <c r="E78" s="5" t="inlineStr">
        <is>
          <t>Работа по откликам, отгрузки</t>
        </is>
      </c>
      <c r="F78" s="6" t="inlineStr">
        <is>
          <t>Олеся</t>
        </is>
      </c>
      <c r="G78" s="7" t="inlineStr">
        <is>
          <t>Не начато</t>
        </is>
      </c>
      <c r="H78" s="5" t="inlineStr"/>
    </row>
    <row r="79">
      <c r="A79" s="9" t="n">
        <v>75</v>
      </c>
      <c r="B79" s="9" t="inlineStr">
        <is>
          <t>Недели 3-4</t>
        </is>
      </c>
      <c r="C79" s="9" t="inlineStr">
        <is>
          <t>24 сен - 7 окт</t>
        </is>
      </c>
      <c r="D79" s="9" t="inlineStr">
        <is>
          <t>Продажи</t>
        </is>
      </c>
      <c r="E79" s="5" t="inlineStr">
        <is>
          <t>Продать крупногабарит: насосы, сепараторы, плиты</t>
        </is>
      </c>
      <c r="F79" s="6" t="inlineStr">
        <is>
          <t>Олеся</t>
        </is>
      </c>
      <c r="G79" s="7" t="inlineStr">
        <is>
          <t>Не начато</t>
        </is>
      </c>
      <c r="H79" s="5" t="inlineStr">
        <is>
          <t>15,9 млн и 76 кв. м площади</t>
        </is>
      </c>
    </row>
    <row r="80">
      <c r="A80" s="9" t="n">
        <v>76</v>
      </c>
      <c r="B80" s="9" t="inlineStr">
        <is>
          <t>Недели 3-4</t>
        </is>
      </c>
      <c r="C80" s="9" t="inlineStr">
        <is>
          <t>24 сен - 7 окт</t>
        </is>
      </c>
      <c r="D80" s="9" t="inlineStr">
        <is>
          <t>Продажи</t>
        </is>
      </c>
      <c r="E80" s="5" t="inlineStr">
        <is>
          <t>Составить список на металл и сверить с реестром</t>
        </is>
      </c>
      <c r="F80" s="6" t="inlineStr">
        <is>
          <t>Олеся</t>
        </is>
      </c>
      <c r="G80" s="7" t="inlineStr">
        <is>
          <t>Не начато</t>
        </is>
      </c>
      <c r="H80" s="5" t="inlineStr">
        <is>
          <t>только брак и хлам, подписывает Олеся</t>
        </is>
      </c>
    </row>
    <row r="81">
      <c r="A81" s="9" t="n">
        <v>77</v>
      </c>
      <c r="B81" s="9" t="inlineStr">
        <is>
          <t>Недели 3-4</t>
        </is>
      </c>
      <c r="C81" s="9" t="inlineStr">
        <is>
          <t>24 сен - 7 окт</t>
        </is>
      </c>
      <c r="D81" s="9" t="inlineStr">
        <is>
          <t>Продажи</t>
        </is>
      </c>
      <c r="E81" s="5" t="inlineStr">
        <is>
          <t>Запросить цены в 2-3 приемках металла отдельно по цветному</t>
        </is>
      </c>
      <c r="F81" s="6" t="inlineStr">
        <is>
          <t>новый администратор</t>
        </is>
      </c>
      <c r="G81" s="7" t="inlineStr">
        <is>
          <t>Не начато</t>
        </is>
      </c>
      <c r="H81" s="5" t="inlineStr">
        <is>
          <t>бронза дороже черного в разы</t>
        </is>
      </c>
    </row>
    <row r="82">
      <c r="A82" s="10" t="n">
        <v>78</v>
      </c>
      <c r="B82" s="10" t="inlineStr">
        <is>
          <t>Постоянно</t>
        </is>
      </c>
      <c r="C82" s="10" t="inlineStr">
        <is>
          <t>ежемесячно</t>
        </is>
      </c>
      <c r="D82" s="10" t="inlineStr">
        <is>
          <t>Объекты</t>
        </is>
      </c>
      <c r="E82" s="5" t="inlineStr">
        <is>
          <t>Передать показания света: Калинина, Светланская, Фокино</t>
        </is>
      </c>
      <c r="F82" s="6" t="inlineStr">
        <is>
          <t>новый администратор</t>
        </is>
      </c>
      <c r="G82" s="7" t="inlineStr">
        <is>
          <t>Не начато</t>
        </is>
      </c>
      <c r="H82" s="5" t="inlineStr">
        <is>
          <t>ДЭК 18112 и 7182</t>
        </is>
      </c>
    </row>
    <row r="83">
      <c r="A83" s="10" t="n">
        <v>79</v>
      </c>
      <c r="B83" s="10" t="inlineStr">
        <is>
          <t>Постоянно</t>
        </is>
      </c>
      <c r="C83" s="10" t="inlineStr">
        <is>
          <t>20-25 числа</t>
        </is>
      </c>
      <c r="D83" s="10" t="inlineStr">
        <is>
          <t>Объекты</t>
        </is>
      </c>
      <c r="E83" s="5" t="inlineStr">
        <is>
          <t>Передать показания воды по четырем объектам</t>
        </is>
      </c>
      <c r="F83" s="6" t="inlineStr">
        <is>
          <t>новый администратор</t>
        </is>
      </c>
      <c r="G83" s="7" t="inlineStr">
        <is>
          <t>Не начато</t>
        </is>
      </c>
      <c r="H83" s="5" t="inlineStr">
        <is>
          <t>Водоканал 1008</t>
        </is>
      </c>
    </row>
    <row r="84">
      <c r="A84" s="10" t="n">
        <v>80</v>
      </c>
      <c r="B84" s="10" t="inlineStr">
        <is>
          <t>Постоянно</t>
        </is>
      </c>
      <c r="C84" s="10" t="inlineStr">
        <is>
          <t>20-25 числа</t>
        </is>
      </c>
      <c r="D84" s="10" t="inlineStr">
        <is>
          <t>Объекты</t>
        </is>
      </c>
      <c r="E84" s="5" t="inlineStr">
        <is>
          <t>Оплатить воду по четырем объектам</t>
        </is>
      </c>
      <c r="F84" s="6" t="inlineStr">
        <is>
          <t>Москва</t>
        </is>
      </c>
      <c r="G84" s="7" t="inlineStr">
        <is>
          <t>Не начато</t>
        </is>
      </c>
      <c r="H84" s="5" t="inlineStr"/>
    </row>
    <row r="85">
      <c r="A85" s="10" t="n">
        <v>81</v>
      </c>
      <c r="B85" s="10" t="inlineStr">
        <is>
          <t>Постоянно</t>
        </is>
      </c>
      <c r="C85" s="10" t="inlineStr">
        <is>
          <t>по счету</t>
        </is>
      </c>
      <c r="D85" s="10" t="inlineStr">
        <is>
          <t>Объекты</t>
        </is>
      </c>
      <c r="E85" s="5" t="inlineStr">
        <is>
          <t>Оплатить свет</t>
        </is>
      </c>
      <c r="F85" s="6" t="inlineStr">
        <is>
          <t>Москва</t>
        </is>
      </c>
      <c r="G85" s="7" t="inlineStr">
        <is>
          <t>Не начато</t>
        </is>
      </c>
      <c r="H85" s="5" t="inlineStr"/>
    </row>
    <row r="86">
      <c r="A86" s="10" t="n">
        <v>82</v>
      </c>
      <c r="B86" s="10" t="inlineStr">
        <is>
          <t>Постоянно</t>
        </is>
      </c>
      <c r="C86" s="10" t="inlineStr">
        <is>
          <t>ежемесячно</t>
        </is>
      </c>
      <c r="D86" s="10" t="inlineStr">
        <is>
          <t>Объекты</t>
        </is>
      </c>
      <c r="E86" s="5" t="inlineStr">
        <is>
          <t>Принять и оплатить смены сторожей</t>
        </is>
      </c>
      <c r="F86" s="6" t="inlineStr">
        <is>
          <t>новый администратор</t>
        </is>
      </c>
      <c r="G86" s="7" t="inlineStr">
        <is>
          <t>Не начато</t>
        </is>
      </c>
      <c r="H86" s="5" t="inlineStr">
        <is>
          <t>1280 руб за сутки</t>
        </is>
      </c>
    </row>
    <row r="87">
      <c r="A87" s="10" t="n">
        <v>83</v>
      </c>
      <c r="B87" s="10" t="inlineStr">
        <is>
          <t>Постоянно</t>
        </is>
      </c>
      <c r="C87" s="10" t="inlineStr">
        <is>
          <t>еженедельно</t>
        </is>
      </c>
      <c r="D87" s="10" t="inlineStr">
        <is>
          <t>Объекты</t>
        </is>
      </c>
      <c r="E87" s="5" t="inlineStr">
        <is>
          <t>Обход объектов, фотоотчет</t>
        </is>
      </c>
      <c r="F87" s="6" t="inlineStr">
        <is>
          <t>новый администратор</t>
        </is>
      </c>
      <c r="G87" s="7" t="inlineStr">
        <is>
          <t>Не начато</t>
        </is>
      </c>
      <c r="H87" s="5" t="inlineStr">
        <is>
          <t>способ контроля на удаленке</t>
        </is>
      </c>
    </row>
    <row r="89">
      <c r="D89" s="11" t="inlineStr">
        <is>
          <t>Сводка</t>
        </is>
      </c>
      <c r="E89" s="12" t="inlineStr">
        <is>
          <t>Всего задач</t>
        </is>
      </c>
      <c r="F89" s="12">
        <f>COUNTA(E5:E87)</f>
        <v/>
      </c>
    </row>
    <row r="90">
      <c r="E90" s="12" t="inlineStr">
        <is>
          <t>Не начато</t>
        </is>
      </c>
      <c r="F90" s="12">
        <f>COUNTIF(G5:G87,"Не начато")</f>
        <v/>
      </c>
    </row>
    <row r="91">
      <c r="E91" s="12" t="inlineStr">
        <is>
          <t>В работе</t>
        </is>
      </c>
      <c r="F91" s="12">
        <f>COUNTIF(G5:G87,"В работе")</f>
        <v/>
      </c>
    </row>
    <row r="92">
      <c r="E92" s="12" t="inlineStr">
        <is>
          <t>Сделано</t>
        </is>
      </c>
      <c r="F92" s="12">
        <f>COUNTIF(G5:G87,"Сделано")</f>
        <v/>
      </c>
    </row>
    <row r="93">
      <c r="E93" s="12" t="inlineStr">
        <is>
          <t>Отменено</t>
        </is>
      </c>
      <c r="F93" s="12">
        <f>COUNTIF(G5:G87,"Отменено")</f>
        <v/>
      </c>
    </row>
    <row r="94">
      <c r="E94" s="12" t="inlineStr">
        <is>
          <t>Готовность</t>
        </is>
      </c>
      <c r="F94" s="13">
        <f>IFERROR(F92/F89,0)</f>
        <v/>
      </c>
    </row>
  </sheetData>
  <autoFilter ref="A4:H87"/>
  <dataValidations count="1">
    <dataValidation sqref="G5:G87" showDropDown="0" showInputMessage="0" showErrorMessage="0" allowBlank="1" type="list">
      <formula1>"Не начато,В работе,Сделано,Отменено"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7" customWidth="1" min="3" max="3"/>
    <col width="62" customWidth="1" min="4" max="4"/>
    <col width="14" customWidth="1" min="5" max="5"/>
    <col width="46" customWidth="1" min="6" max="6"/>
  </cols>
  <sheetData>
    <row r="1">
      <c r="A1" s="1" t="inlineStr">
        <is>
          <t>Что нельзя сделать после ее ухода</t>
        </is>
      </c>
    </row>
    <row r="2">
      <c r="A2" s="2" t="inlineStr">
        <is>
          <t>Остальные задачи из общего плана продолжатся и после 23 сентября. Здесь только то, что уйдет вместе с человеком.</t>
        </is>
      </c>
    </row>
    <row r="4" ht="30" customHeight="1">
      <c r="A4" s="3" t="inlineStr">
        <is>
          <t>№</t>
        </is>
      </c>
      <c r="B4" s="3" t="inlineStr">
        <is>
          <t>Срок</t>
        </is>
      </c>
      <c r="C4" s="3" t="inlineStr">
        <is>
          <t>Направление</t>
        </is>
      </c>
      <c r="D4" s="3" t="inlineStr">
        <is>
          <t>Задача</t>
        </is>
      </c>
      <c r="E4" s="3" t="inlineStr">
        <is>
          <t>Статус</t>
        </is>
      </c>
      <c r="F4" s="3" t="inlineStr">
        <is>
          <t>Комментарий</t>
        </is>
      </c>
    </row>
    <row r="5">
      <c r="A5" s="4" t="n">
        <v>1</v>
      </c>
      <c r="B5" s="4" t="inlineStr">
        <is>
          <t>10-12 сен</t>
        </is>
      </c>
      <c r="C5" s="4" t="inlineStr">
        <is>
          <t>Люди</t>
        </is>
      </c>
      <c r="D5" s="5" t="inlineStr">
        <is>
          <t>Забрать логины и пароли: ДЭК, Водоканал, почта, Фарпост</t>
        </is>
      </c>
      <c r="E5" s="7" t="inlineStr">
        <is>
          <t>Не начато</t>
        </is>
      </c>
      <c r="F5" s="5" t="inlineStr">
        <is>
          <t>доступы забираем в первые три дня</t>
        </is>
      </c>
    </row>
    <row r="6">
      <c r="A6" s="4" t="n">
        <v>2</v>
      </c>
      <c r="B6" s="4" t="inlineStr">
        <is>
          <t>10-12 сен</t>
        </is>
      </c>
      <c r="C6" s="4" t="inlineStr">
        <is>
          <t>Люди</t>
        </is>
      </c>
      <c r="D6" s="5" t="inlineStr">
        <is>
          <t>Забрать лицевые счета по четырем объектам</t>
        </is>
      </c>
      <c r="E6" s="7" t="inlineStr">
        <is>
          <t>Не начато</t>
        </is>
      </c>
      <c r="F6" s="5" t="inlineStr">
        <is>
          <t>по Аксаковской л/с в файле пустой</t>
        </is>
      </c>
    </row>
    <row r="7">
      <c r="A7" s="4" t="n">
        <v>3</v>
      </c>
      <c r="B7" s="4" t="inlineStr">
        <is>
          <t>11 сен</t>
        </is>
      </c>
      <c r="C7" s="4" t="inlineStr">
        <is>
          <t>Люди</t>
        </is>
      </c>
      <c r="D7" s="5" t="inlineStr">
        <is>
          <t>Закрыть пробелы: порядок подачи по Светланской, л/с по Аксаковской</t>
        </is>
      </c>
      <c r="E7" s="7" t="inlineStr">
        <is>
          <t>Не начато</t>
        </is>
      </c>
      <c r="F7" s="5" t="inlineStr">
        <is>
          <t>она сама отметила их в своем файле</t>
        </is>
      </c>
    </row>
    <row r="8">
      <c r="A8" s="4" t="n">
        <v>4</v>
      </c>
      <c r="B8" s="4" t="inlineStr">
        <is>
          <t>11-12 сен</t>
        </is>
      </c>
      <c r="C8" s="4" t="inlineStr">
        <is>
          <t>Люди</t>
        </is>
      </c>
      <c r="D8" s="5" t="inlineStr">
        <is>
          <t>Опись ключей, договоры, сканы, подотчетные деньги</t>
        </is>
      </c>
      <c r="E8" s="7" t="inlineStr">
        <is>
          <t>Не начато</t>
        </is>
      </c>
      <c r="F8" s="5" t="inlineStr">
        <is>
          <t>кто еще имеет ключи и дубликаты</t>
        </is>
      </c>
    </row>
    <row r="9">
      <c r="A9" s="4" t="n">
        <v>5</v>
      </c>
      <c r="B9" s="4" t="inlineStr">
        <is>
          <t>12-13 сен</t>
        </is>
      </c>
      <c r="C9" s="4" t="inlineStr">
        <is>
          <t>Люди</t>
        </is>
      </c>
      <c r="D9" s="5" t="inlineStr">
        <is>
          <t>Видеообход четырех объектов с описью</t>
        </is>
      </c>
      <c r="E9" s="7" t="inlineStr">
        <is>
          <t>Не начато</t>
        </is>
      </c>
      <c r="F9" s="5" t="inlineStr">
        <is>
          <t>запись сохранить</t>
        </is>
      </c>
    </row>
    <row r="10">
      <c r="A10" s="4" t="n">
        <v>6</v>
      </c>
      <c r="B10" s="4" t="inlineStr">
        <is>
          <t>12-13 сен</t>
        </is>
      </c>
      <c r="C10" s="4" t="inlineStr">
        <is>
          <t>Люди</t>
        </is>
      </c>
      <c r="D10" s="5" t="inlineStr">
        <is>
          <t>Заполнить реестр контактов по всем вопросам</t>
        </is>
      </c>
      <c r="E10" s="7" t="inlineStr">
        <is>
          <t>Не начато</t>
        </is>
      </c>
      <c r="F10" s="5" t="inlineStr">
        <is>
          <t>шаблон reestr_kontaktov_shablon.tsv</t>
        </is>
      </c>
    </row>
    <row r="11">
      <c r="A11" s="4" t="n">
        <v>7</v>
      </c>
      <c r="B11" s="4" t="inlineStr">
        <is>
          <t>13-14 сен</t>
        </is>
      </c>
      <c r="C11" s="4" t="inlineStr">
        <is>
          <t>Люди</t>
        </is>
      </c>
      <c r="D11" s="5" t="inlineStr">
        <is>
          <t>Передать журнал обзвона и статусы покупателей</t>
        </is>
      </c>
      <c r="E11" s="7" t="inlineStr">
        <is>
          <t>Не начато</t>
        </is>
      </c>
      <c r="F11" s="5" t="inlineStr">
        <is>
          <t>передает Олесе</t>
        </is>
      </c>
    </row>
    <row r="12">
      <c r="A12" s="4" t="n">
        <v>8</v>
      </c>
      <c r="B12" s="4" t="inlineStr">
        <is>
          <t>10-16 сен</t>
        </is>
      </c>
      <c r="C12" s="4" t="inlineStr">
        <is>
          <t>Закуп косметики</t>
        </is>
      </c>
      <c r="D12" s="5" t="inlineStr">
        <is>
          <t>Выяснить открытые заказы: что оплачено и не отгружено</t>
        </is>
      </c>
      <c r="E12" s="7" t="inlineStr">
        <is>
          <t>Не начато</t>
        </is>
      </c>
      <c r="F12" s="5" t="inlineStr">
        <is>
          <t>это живые деньги, первым делом</t>
        </is>
      </c>
    </row>
    <row r="13">
      <c r="A13" s="4" t="n">
        <v>9</v>
      </c>
      <c r="B13" s="4" t="inlineStr">
        <is>
          <t>10-16 сен</t>
        </is>
      </c>
      <c r="C13" s="4" t="inlineStr">
        <is>
          <t>Закуп косметики</t>
        </is>
      </c>
      <c r="D13" s="5" t="inlineStr">
        <is>
          <t>Выяснить заказы в пути: что едет и когда придет</t>
        </is>
      </c>
      <c r="E13" s="7" t="inlineStr">
        <is>
          <t>Не начато</t>
        </is>
      </c>
      <c r="F13" s="5" t="inlineStr"/>
    </row>
    <row r="14">
      <c r="A14" s="4" t="n">
        <v>10</v>
      </c>
      <c r="B14" s="4" t="inlineStr">
        <is>
          <t>10-16 сен</t>
        </is>
      </c>
      <c r="C14" s="4" t="inlineStr">
        <is>
          <t>Закуп косметики</t>
        </is>
      </c>
      <c r="D14" s="5" t="inlineStr">
        <is>
          <t>Список брендов и заводов с условиями, ценами, MOQ</t>
        </is>
      </c>
      <c r="E14" s="7" t="inlineStr">
        <is>
          <t>Не начато</t>
        </is>
      </c>
      <c r="F14" s="5" t="inlineStr"/>
    </row>
    <row r="15">
      <c r="A15" s="4" t="n">
        <v>11</v>
      </c>
      <c r="B15" s="4" t="inlineStr">
        <is>
          <t>10-16 сен</t>
        </is>
      </c>
      <c r="C15" s="4" t="inlineStr">
        <is>
          <t>Закуп косметики</t>
        </is>
      </c>
      <c r="D15" s="5" t="inlineStr">
        <is>
          <t>Контакты: байер, консолидатор, склад в Корее, брокер</t>
        </is>
      </c>
      <c r="E15" s="7" t="inlineStr">
        <is>
          <t>Не начато</t>
        </is>
      </c>
      <c r="F15" s="5" t="inlineStr"/>
    </row>
    <row r="16">
      <c r="A16" s="4" t="n">
        <v>12</v>
      </c>
      <c r="B16" s="4" t="inlineStr">
        <is>
          <t>10-16 сен</t>
        </is>
      </c>
      <c r="C16" s="4" t="inlineStr">
        <is>
          <t>Закуп косметики</t>
        </is>
      </c>
      <c r="D16" s="5" t="inlineStr">
        <is>
          <t>Документы: CPNP, декларации, Честный знак</t>
        </is>
      </c>
      <c r="E16" s="7" t="inlineStr">
        <is>
          <t>Не начато</t>
        </is>
      </c>
      <c r="F16" s="5" t="inlineStr"/>
    </row>
    <row r="17">
      <c r="A17" s="4" t="n">
        <v>13</v>
      </c>
      <c r="B17" s="4" t="inlineStr">
        <is>
          <t>10-15 сен</t>
        </is>
      </c>
      <c r="C17" s="4" t="inlineStr">
        <is>
          <t>Остатки</t>
        </is>
      </c>
      <c r="D17" s="5" t="inlineStr">
        <is>
          <t>Пересчитать 79 позиций, дающих 80% стоимости</t>
        </is>
      </c>
      <c r="E17" s="7" t="inlineStr">
        <is>
          <t>Не начато</t>
        </is>
      </c>
      <c r="F17" s="5" t="inlineStr">
        <is>
          <t>лист «Считать первыми», начинать с самого дорогого</t>
        </is>
      </c>
    </row>
    <row r="18">
      <c r="A18" s="4" t="n">
        <v>14</v>
      </c>
      <c r="B18" s="4" t="inlineStr">
        <is>
          <t>16 сен</t>
        </is>
      </c>
      <c r="C18" s="4" t="inlineStr">
        <is>
          <t>Остатки</t>
        </is>
      </c>
      <c r="D18" s="5" t="inlineStr">
        <is>
          <t>Зафиксировать факт: что пересчитано, что нет</t>
        </is>
      </c>
      <c r="E18" s="7" t="inlineStr">
        <is>
          <t>Не начато</t>
        </is>
      </c>
      <c r="F18" s="5" t="inlineStr">
        <is>
          <t>расхождения не расследуем, склад вели 10 лет</t>
        </is>
      </c>
    </row>
    <row r="19">
      <c r="A19" s="4" t="n">
        <v>15</v>
      </c>
      <c r="B19" s="4" t="inlineStr">
        <is>
          <t>16 сен</t>
        </is>
      </c>
      <c r="C19" s="4" t="inlineStr">
        <is>
          <t>Остатки</t>
        </is>
      </c>
      <c r="D19" s="5" t="inlineStr">
        <is>
          <t>Пересчитать столько позиций сверх 79, сколько успеет</t>
        </is>
      </c>
      <c r="E19" s="7" t="inlineStr">
        <is>
          <t>Не начато</t>
        </is>
      </c>
      <c r="F19" s="5" t="inlineStr">
        <is>
          <t>по убыванию стоимости</t>
        </is>
      </c>
    </row>
    <row r="20">
      <c r="A20" s="8" t="n">
        <v>16</v>
      </c>
      <c r="B20" s="8" t="inlineStr">
        <is>
          <t>17-23 сен</t>
        </is>
      </c>
      <c r="C20" s="8" t="inlineStr">
        <is>
          <t>Люди</t>
        </is>
      </c>
      <c r="D20" s="5" t="inlineStr">
        <is>
          <t>Совместный обход Калинина: счетчики, ключи, что где лежит</t>
        </is>
      </c>
      <c r="E20" s="7" t="inlineStr">
        <is>
          <t>Не начато</t>
        </is>
      </c>
      <c r="F20" s="5" t="inlineStr">
        <is>
          <t>новому передаем уже выверенные остатки</t>
        </is>
      </c>
    </row>
    <row r="21">
      <c r="A21" s="8" t="n">
        <v>17</v>
      </c>
      <c r="B21" s="8" t="inlineStr">
        <is>
          <t>17-23 сен</t>
        </is>
      </c>
      <c r="C21" s="8" t="inlineStr">
        <is>
          <t>Люди</t>
        </is>
      </c>
      <c r="D21" s="5" t="inlineStr">
        <is>
          <t>Обход Светланской, Фокино, Аксаковской</t>
        </is>
      </c>
      <c r="E21" s="7" t="inlineStr">
        <is>
          <t>Не начато</t>
        </is>
      </c>
      <c r="F21" s="5" t="inlineStr"/>
    </row>
    <row r="22">
      <c r="A22" s="8" t="n">
        <v>18</v>
      </c>
      <c r="B22" s="8" t="inlineStr">
        <is>
          <t>17-23 сен</t>
        </is>
      </c>
      <c r="C22" s="8" t="inlineStr">
        <is>
          <t>Люди</t>
        </is>
      </c>
      <c r="D22" s="5" t="inlineStr">
        <is>
          <t>Знакомство со сторожами, порядок приема смены и оплаты</t>
        </is>
      </c>
      <c r="E22" s="7" t="inlineStr">
        <is>
          <t>Не начато</t>
        </is>
      </c>
      <c r="F22" s="5" t="inlineStr">
        <is>
          <t>смена 1280 руб</t>
        </is>
      </c>
    </row>
    <row r="23">
      <c r="A23" s="8" t="n">
        <v>19</v>
      </c>
      <c r="B23" s="8" t="inlineStr">
        <is>
          <t>17-23 сен</t>
        </is>
      </c>
      <c r="C23" s="8" t="inlineStr">
        <is>
          <t>Люди</t>
        </is>
      </c>
      <c r="D23" s="5" t="inlineStr">
        <is>
          <t>Знакомство с подрядчиками и с экономистом ДЭК</t>
        </is>
      </c>
      <c r="E23" s="7" t="inlineStr">
        <is>
          <t>Не начато</t>
        </is>
      </c>
      <c r="F23" s="5" t="inlineStr">
        <is>
          <t>включая мастера по ремонту арматуры</t>
        </is>
      </c>
    </row>
    <row r="24">
      <c r="A24" s="8" t="n">
        <v>20</v>
      </c>
      <c r="B24" s="8" t="inlineStr">
        <is>
          <t>17-23 сен</t>
        </is>
      </c>
      <c r="C24" s="8" t="inlineStr">
        <is>
          <t>Продажи</t>
        </is>
      </c>
      <c r="D24" s="5" t="inlineStr">
        <is>
          <t>Адресные КП тем, кто просил цену и не получил</t>
        </is>
      </c>
      <c r="E24" s="7" t="inlineStr">
        <is>
          <t>Не начато</t>
        </is>
      </c>
      <c r="F24" s="5" t="inlineStr">
        <is>
          <t>количества в КП — только по пересчитанным позициям</t>
        </is>
      </c>
    </row>
    <row r="25">
      <c r="A25" s="8" t="n">
        <v>21</v>
      </c>
      <c r="B25" s="8" t="inlineStr">
        <is>
          <t>20-23 сен</t>
        </is>
      </c>
      <c r="C25" s="8" t="inlineStr">
        <is>
          <t>Продажи</t>
        </is>
      </c>
      <c r="D25" s="5" t="inlineStr">
        <is>
          <t>Совместные звонки: представить Олесю ключевым покупателям</t>
        </is>
      </c>
      <c r="E25" s="7" t="inlineStr">
        <is>
          <t>Не начато</t>
        </is>
      </c>
      <c r="F25" s="5" t="inlineStr"/>
    </row>
    <row r="27">
      <c r="C27" s="12" t="inlineStr">
        <is>
          <t>Всего</t>
        </is>
      </c>
      <c r="D27" s="12">
        <f>COUNTA(D5:D25)</f>
        <v/>
      </c>
    </row>
    <row r="28">
      <c r="C28" s="12" t="inlineStr">
        <is>
          <t>Сделано</t>
        </is>
      </c>
      <c r="D28" s="12">
        <f>COUNTIF(E5:E25,"Сделано")</f>
        <v/>
      </c>
    </row>
    <row r="29">
      <c r="C29" s="12" t="inlineStr">
        <is>
          <t>Осталось</t>
        </is>
      </c>
      <c r="D29" s="14">
        <f>D27-D28</f>
        <v/>
      </c>
    </row>
  </sheetData>
  <autoFilter ref="A4:F25"/>
  <dataValidations count="1">
    <dataValidation sqref="E5:E25" showDropDown="0" showInputMessage="0" showErrorMessage="0" allowBlank="1" type="list">
      <formula1>"Не начато,В работе,Сделано,Отменено"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0" customWidth="1" min="3" max="3"/>
  </cols>
  <sheetData>
    <row r="1">
      <c r="A1" s="1" t="inlineStr">
        <is>
          <t>Склад судового оборудования в цифрах</t>
        </is>
      </c>
    </row>
    <row r="2">
      <c r="A2" s="2" t="inlineStr">
        <is>
          <t>Данные из реестра, пересобираются скриптом build_marine_registry.py.</t>
        </is>
      </c>
    </row>
    <row r="4" ht="30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Примечание</t>
        </is>
      </c>
    </row>
    <row r="5">
      <c r="A5" s="15" t="inlineStr">
        <is>
          <t>Позиций в наличии</t>
        </is>
      </c>
      <c r="B5" s="15" t="inlineStr">
        <is>
          <t>745</t>
        </is>
      </c>
      <c r="C5" s="15" t="inlineStr"/>
    </row>
    <row r="6">
      <c r="A6" s="5" t="inlineStr">
        <is>
          <t>Единиц хранения</t>
        </is>
      </c>
      <c r="B6" s="5" t="inlineStr">
        <is>
          <t>13 036</t>
        </is>
      </c>
      <c r="C6" s="5" t="inlineStr"/>
    </row>
    <row r="7">
      <c r="A7" s="5" t="inlineStr">
        <is>
          <t>Стоимость по проставленным ценам</t>
        </is>
      </c>
      <c r="B7" s="5" t="inlineStr">
        <is>
          <t>92 970 568 руб</t>
        </is>
      </c>
      <c r="C7" s="5" t="inlineStr">
        <is>
          <t>цифра до инвентаризации, часть товара продана</t>
        </is>
      </c>
    </row>
    <row r="8">
      <c r="A8" s="5" t="inlineStr">
        <is>
          <t>Позиций без цены</t>
        </is>
      </c>
      <c r="B8" s="5" t="inlineStr">
        <is>
          <t>249</t>
        </is>
      </c>
      <c r="C8" s="5" t="inlineStr">
        <is>
          <t>2 413 единиц, оценить</t>
        </is>
      </c>
    </row>
    <row r="9">
      <c r="A9" s="5" t="inlineStr">
        <is>
          <t>Последняя сверка остатков</t>
        </is>
      </c>
      <c r="B9" s="5" t="inlineStr">
        <is>
          <t>16.06.2025</t>
        </is>
      </c>
      <c r="C9" s="5" t="inlineStr">
        <is>
          <t>прошло 15 месяцев, нужна инвентаризация</t>
        </is>
      </c>
    </row>
    <row r="10">
      <c r="A10" s="16" t="inlineStr"/>
      <c r="B10" s="16" t="inlineStr"/>
      <c r="C10" s="16" t="inlineStr"/>
    </row>
    <row r="11">
      <c r="A11" s="5" t="inlineStr">
        <is>
          <t>Арматура: клапаны и клинкеты</t>
        </is>
      </c>
      <c r="B11" s="5" t="inlineStr">
        <is>
          <t>288 поз, 3 034 ед</t>
        </is>
      </c>
      <c r="C11" s="5" t="inlineStr">
        <is>
          <t>40 912 050 руб</t>
        </is>
      </c>
    </row>
    <row r="12">
      <c r="A12" s="5" t="inlineStr">
        <is>
          <t>Насосное и механическое</t>
        </is>
      </c>
      <c r="B12" s="5" t="inlineStr">
        <is>
          <t>134 поз, 1 108 ед</t>
        </is>
      </c>
      <c r="C12" s="5" t="inlineStr">
        <is>
          <t>20 657 248 руб</t>
        </is>
      </c>
    </row>
    <row r="13">
      <c r="A13" s="5" t="inlineStr">
        <is>
          <t>Электрика</t>
        </is>
      </c>
      <c r="B13" s="5" t="inlineStr">
        <is>
          <t>181 поз, 7 671 ед</t>
        </is>
      </c>
      <c r="C13" s="5" t="inlineStr">
        <is>
          <t>12 719 930 руб</t>
        </is>
      </c>
    </row>
    <row r="14">
      <c r="A14" s="5" t="inlineStr">
        <is>
          <t>Корпусная часть: иллюминаторы, двери</t>
        </is>
      </c>
      <c r="B14" s="5" t="inlineStr">
        <is>
          <t>30 поз, 195 ед</t>
        </is>
      </c>
      <c r="C14" s="5" t="inlineStr">
        <is>
          <t>10 055 000 руб</t>
        </is>
      </c>
    </row>
    <row r="15">
      <c r="A15" s="5" t="inlineStr">
        <is>
          <t>Трубопроводная обвязка</t>
        </is>
      </c>
      <c r="B15" s="5" t="inlineStr">
        <is>
          <t>38 поз, 244 ед</t>
        </is>
      </c>
      <c r="C15" s="5" t="inlineStr">
        <is>
          <t>4 744 800 руб</t>
        </is>
      </c>
    </row>
    <row r="16">
      <c r="A16" s="5" t="inlineStr">
        <is>
          <t>Прочее: плиты, блокформы, такелаж</t>
        </is>
      </c>
      <c r="B16" s="5" t="inlineStr">
        <is>
          <t>28 поз, 286 ед</t>
        </is>
      </c>
      <c r="C16" s="5" t="inlineStr">
        <is>
          <t>3 881 540 руб</t>
        </is>
      </c>
    </row>
    <row r="17">
      <c r="A17" s="16" t="inlineStr"/>
      <c r="B17" s="16" t="inlineStr"/>
      <c r="C17" s="16" t="inlineStr"/>
    </row>
    <row r="18">
      <c r="A18" s="5" t="inlineStr">
        <is>
          <t>Где нет цен: склад электрики</t>
        </is>
      </c>
      <c r="B18" s="5" t="inlineStr">
        <is>
          <t>117 поз, 1 783 ед</t>
        </is>
      </c>
      <c r="C18" s="5" t="inlineStr">
        <is>
          <t>весь ЗИП двигателей</t>
        </is>
      </c>
    </row>
    <row r="19">
      <c r="A19" s="5" t="inlineStr">
        <is>
          <t>Где нет цен: склад 3</t>
        </is>
      </c>
      <c r="B19" s="5" t="inlineStr">
        <is>
          <t>70 поз, 262 ед</t>
        </is>
      </c>
      <c r="C19" s="5" t="inlineStr"/>
    </row>
    <row r="20">
      <c r="A20" s="5" t="inlineStr">
        <is>
          <t>Где нет цен: перечень ЗИП и насосов</t>
        </is>
      </c>
      <c r="B20" s="5" t="inlineStr">
        <is>
          <t>32 поз, 224 ед</t>
        </is>
      </c>
      <c r="C20" s="5" t="inlineStr">
        <is>
          <t>покрывает улицу</t>
        </is>
      </c>
    </row>
    <row r="21">
      <c r="A21" s="5" t="inlineStr">
        <is>
          <t>Где нет цен: склад 2</t>
        </is>
      </c>
      <c r="B21" s="5" t="inlineStr">
        <is>
          <t>30 поз, 144 ед</t>
        </is>
      </c>
      <c r="C21" s="5" t="inlineStr"/>
    </row>
    <row r="22">
      <c r="A22" s="16" t="inlineStr"/>
      <c r="B22" s="16" t="inlineStr"/>
      <c r="C22" s="16" t="inlineStr"/>
    </row>
    <row r="23">
      <c r="A23" s="5" t="inlineStr">
        <is>
          <t>80% стоимости дают</t>
        </is>
      </c>
      <c r="B23" s="5" t="inlineStr">
        <is>
          <t>79 позиций</t>
        </is>
      </c>
      <c r="C23" s="5" t="inlineStr">
        <is>
          <t>их ведем точечно</t>
        </is>
      </c>
    </row>
    <row r="24">
      <c r="A24" s="5" t="inlineStr">
        <is>
          <t>Объем всего товара из здания</t>
        </is>
      </c>
      <c r="B24" s="5" t="inlineStr">
        <is>
          <t>155-190 куб. м</t>
        </is>
      </c>
      <c r="C24" s="5" t="inlineStr">
        <is>
          <t>оценка, нужен обмер</t>
        </is>
      </c>
    </row>
    <row r="25">
      <c r="A25" s="5" t="inlineStr">
        <is>
          <t>Вместимость 40-фут плюс 20-фут</t>
        </is>
      </c>
      <c r="B25" s="5" t="inlineStr">
        <is>
          <t>около 100 куб. м</t>
        </is>
      </c>
      <c r="C25" s="5" t="inlineStr">
        <is>
          <t>разрыв закрывают продажи и навес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4" customWidth="1" min="3" max="3"/>
    <col width="13" customWidth="1" min="4" max="4"/>
    <col width="11" customWidth="1" min="5" max="5"/>
    <col width="34" customWidth="1" min="6" max="6"/>
  </cols>
  <sheetData>
    <row r="1">
      <c r="A1" s="1" t="inlineStr">
        <is>
          <t>Чек-лист приемки дел</t>
        </is>
      </c>
    </row>
    <row r="2">
      <c r="A2" s="2" t="inlineStr">
        <is>
          <t>Критичное забираем в первые три дня. Контакты физических лиц храните в отдельном защищенном файле.</t>
        </is>
      </c>
    </row>
    <row r="4" ht="30" customHeight="1">
      <c r="A4" s="3" t="inlineStr">
        <is>
          <t>№</t>
        </is>
      </c>
      <c r="B4" s="3" t="inlineStr">
        <is>
          <t>Блок</t>
        </is>
      </c>
      <c r="C4" s="3" t="inlineStr">
        <is>
          <t>Что забрать</t>
        </is>
      </c>
      <c r="D4" s="3" t="inlineStr">
        <is>
          <t>Важность</t>
        </is>
      </c>
      <c r="E4" s="3" t="inlineStr">
        <is>
          <t>Забрано</t>
        </is>
      </c>
      <c r="F4" s="3" t="inlineStr">
        <is>
          <t>Комментарий</t>
        </is>
      </c>
    </row>
    <row r="5">
      <c r="A5" s="6" t="n">
        <v>1</v>
      </c>
      <c r="B5" s="6" t="inlineStr">
        <is>
          <t>Доступы</t>
        </is>
      </c>
      <c r="C5" s="5" t="inlineStr">
        <is>
          <t>Личные кабинеты ДЭК и Водоканала: логины и пароли</t>
        </is>
      </c>
      <c r="D5" s="17" t="inlineStr">
        <is>
          <t>критично</t>
        </is>
      </c>
      <c r="E5" s="7" t="inlineStr">
        <is>
          <t>Нет</t>
        </is>
      </c>
      <c r="F5" s="5" t="inlineStr"/>
    </row>
    <row r="6">
      <c r="A6" s="6" t="n">
        <v>2</v>
      </c>
      <c r="B6" s="6" t="inlineStr">
        <is>
          <t>Доступы</t>
        </is>
      </c>
      <c r="C6" s="5" t="inlineStr">
        <is>
          <t>Лицевые счета по четырем объектам, включая Аксаковскую</t>
        </is>
      </c>
      <c r="D6" s="17" t="inlineStr">
        <is>
          <t>критично</t>
        </is>
      </c>
      <c r="E6" s="7" t="inlineStr">
        <is>
          <t>Нет</t>
        </is>
      </c>
      <c r="F6" s="5" t="inlineStr"/>
    </row>
    <row r="7">
      <c r="A7" s="6" t="n">
        <v>3</v>
      </c>
      <c r="B7" s="6" t="inlineStr">
        <is>
          <t>Доступы</t>
        </is>
      </c>
      <c r="C7" s="5" t="inlineStr">
        <is>
          <t>Доступ к рабочей почте: ДЭК, Водоканал, таможня, поставщики</t>
        </is>
      </c>
      <c r="D7" s="17" t="inlineStr">
        <is>
          <t>критично</t>
        </is>
      </c>
      <c r="E7" s="7" t="inlineStr">
        <is>
          <t>Нет</t>
        </is>
      </c>
      <c r="F7" s="5" t="inlineStr"/>
    </row>
    <row r="8">
      <c r="A8" s="6" t="n">
        <v>4</v>
      </c>
      <c r="B8" s="6" t="inlineStr">
        <is>
          <t>Доступы</t>
        </is>
      </c>
      <c r="C8" s="5" t="inlineStr">
        <is>
          <t>Доступ к Фарпосту и другим площадкам объявлений</t>
        </is>
      </c>
      <c r="D8" s="6" t="inlineStr">
        <is>
          <t>важно</t>
        </is>
      </c>
      <c r="E8" s="7" t="inlineStr">
        <is>
          <t>Нет</t>
        </is>
      </c>
      <c r="F8" s="5" t="inlineStr"/>
    </row>
    <row r="9">
      <c r="A9" s="6" t="n">
        <v>5</v>
      </c>
      <c r="B9" s="6" t="inlineStr">
        <is>
          <t>Документы</t>
        </is>
      </c>
      <c r="C9" s="5" t="inlineStr">
        <is>
          <t>Договоры энергоснабжения и водоснабжения, сканы</t>
        </is>
      </c>
      <c r="D9" s="17" t="inlineStr">
        <is>
          <t>критично</t>
        </is>
      </c>
      <c r="E9" s="7" t="inlineStr">
        <is>
          <t>Нет</t>
        </is>
      </c>
      <c r="F9" s="5" t="inlineStr"/>
    </row>
    <row r="10">
      <c r="A10" s="6" t="n">
        <v>6</v>
      </c>
      <c r="B10" s="6" t="inlineStr">
        <is>
          <t>Документы</t>
        </is>
      </c>
      <c r="C10" s="5" t="inlineStr">
        <is>
          <t>Последние показания и последние оплаты по каждому объекту</t>
        </is>
      </c>
      <c r="D10" s="17" t="inlineStr">
        <is>
          <t>критично</t>
        </is>
      </c>
      <c r="E10" s="7" t="inlineStr">
        <is>
          <t>Нет</t>
        </is>
      </c>
      <c r="F10" s="5" t="inlineStr"/>
    </row>
    <row r="11">
      <c r="A11" s="6" t="n">
        <v>7</v>
      </c>
      <c r="B11" s="6" t="inlineStr">
        <is>
          <t>Документы</t>
        </is>
      </c>
      <c r="C11" s="5" t="inlineStr">
        <is>
          <t>Договоры аренды и правоустанавливающие документы</t>
        </is>
      </c>
      <c r="D11" s="6" t="inlineStr">
        <is>
          <t>важно</t>
        </is>
      </c>
      <c r="E11" s="7" t="inlineStr">
        <is>
          <t>Нет</t>
        </is>
      </c>
      <c r="F11" s="5" t="inlineStr"/>
    </row>
    <row r="12">
      <c r="A12" s="6" t="n">
        <v>8</v>
      </c>
      <c r="B12" s="6" t="inlineStr">
        <is>
          <t>Люди</t>
        </is>
      </c>
      <c r="C12" s="5" t="inlineStr">
        <is>
          <t>Контакты сторожей, график, порядок оплаты</t>
        </is>
      </c>
      <c r="D12" s="17" t="inlineStr">
        <is>
          <t>критично</t>
        </is>
      </c>
      <c r="E12" s="7" t="inlineStr">
        <is>
          <t>Нет</t>
        </is>
      </c>
      <c r="F12" s="5" t="inlineStr"/>
    </row>
    <row r="13">
      <c r="A13" s="6" t="n">
        <v>9</v>
      </c>
      <c r="B13" s="6" t="inlineStr">
        <is>
          <t>Люди</t>
        </is>
      </c>
      <c r="C13" s="5" t="inlineStr">
        <is>
          <t>Экономист ДЭК, телефоны Водоканала</t>
        </is>
      </c>
      <c r="D13" s="6" t="inlineStr">
        <is>
          <t>важно</t>
        </is>
      </c>
      <c r="E13" s="7" t="inlineStr">
        <is>
          <t>Нет</t>
        </is>
      </c>
      <c r="F13" s="5" t="inlineStr"/>
    </row>
    <row r="14">
      <c r="A14" s="6" t="n">
        <v>10</v>
      </c>
      <c r="B14" s="6" t="inlineStr">
        <is>
          <t>Люди</t>
        </is>
      </c>
      <c r="C14" s="5" t="inlineStr">
        <is>
          <t>Мастер по ремонту арматуры</t>
        </is>
      </c>
      <c r="D14" s="6" t="inlineStr">
        <is>
          <t>важно</t>
        </is>
      </c>
      <c r="E14" s="7" t="inlineStr">
        <is>
          <t>Нет</t>
        </is>
      </c>
      <c r="F14" s="5" t="inlineStr"/>
    </row>
    <row r="15">
      <c r="A15" s="6" t="n">
        <v>11</v>
      </c>
      <c r="B15" s="6" t="inlineStr">
        <is>
          <t>Люди</t>
        </is>
      </c>
      <c r="C15" s="5" t="inlineStr">
        <is>
          <t>Подрядчики: воровайка, кран, мусор, металл, покраска, сварщик</t>
        </is>
      </c>
      <c r="D15" s="6" t="inlineStr">
        <is>
          <t>важно</t>
        </is>
      </c>
      <c r="E15" s="7" t="inlineStr">
        <is>
          <t>Нет</t>
        </is>
      </c>
      <c r="F15" s="5" t="inlineStr"/>
    </row>
    <row r="16">
      <c r="A16" s="6" t="n">
        <v>12</v>
      </c>
      <c r="B16" s="6" t="inlineStr">
        <is>
          <t>Люди</t>
        </is>
      </c>
      <c r="C16" s="5" t="inlineStr">
        <is>
          <t>Таможенный брокер и перевозчики по обоим контейнерам</t>
        </is>
      </c>
      <c r="D16" s="17" t="inlineStr">
        <is>
          <t>критично</t>
        </is>
      </c>
      <c r="E16" s="7" t="inlineStr">
        <is>
          <t>Нет</t>
        </is>
      </c>
      <c r="F16" s="5" t="inlineStr"/>
    </row>
    <row r="17">
      <c r="A17" s="6" t="n">
        <v>13</v>
      </c>
      <c r="B17" s="6" t="inlineStr">
        <is>
          <t>Физическое</t>
        </is>
      </c>
      <c r="C17" s="5" t="inlineStr">
        <is>
          <t>Ключи от помещений, гаража, контейнеров, будки — с описью</t>
        </is>
      </c>
      <c r="D17" s="17" t="inlineStr">
        <is>
          <t>критично</t>
        </is>
      </c>
      <c r="E17" s="7" t="inlineStr">
        <is>
          <t>Нет</t>
        </is>
      </c>
      <c r="F17" s="5" t="inlineStr"/>
    </row>
    <row r="18">
      <c r="A18" s="6" t="n">
        <v>14</v>
      </c>
      <c r="B18" s="6" t="inlineStr">
        <is>
          <t>Физическое</t>
        </is>
      </c>
      <c r="C18" s="5" t="inlineStr">
        <is>
          <t>Кто еще имеет ключи, у кого дубликаты</t>
        </is>
      </c>
      <c r="D18" s="17" t="inlineStr">
        <is>
          <t>критично</t>
        </is>
      </c>
      <c r="E18" s="7" t="inlineStr">
        <is>
          <t>Нет</t>
        </is>
      </c>
      <c r="F18" s="5" t="inlineStr"/>
    </row>
    <row r="19">
      <c r="A19" s="6" t="n">
        <v>15</v>
      </c>
      <c r="B19" s="6" t="inlineStr">
        <is>
          <t>Физическое</t>
        </is>
      </c>
      <c r="C19" s="5" t="inlineStr">
        <is>
          <t>Подотчетные деньги: остаток и за что платила наличными</t>
        </is>
      </c>
      <c r="D19" s="17" t="inlineStr">
        <is>
          <t>критично</t>
        </is>
      </c>
      <c r="E19" s="7" t="inlineStr">
        <is>
          <t>Нет</t>
        </is>
      </c>
      <c r="F19" s="5" t="inlineStr"/>
    </row>
    <row r="20">
      <c r="A20" s="6" t="n">
        <v>16</v>
      </c>
      <c r="B20" s="6" t="inlineStr">
        <is>
          <t>Физическое</t>
        </is>
      </c>
      <c r="C20" s="5" t="inlineStr">
        <is>
          <t>Совместный обход объектов по видео с описью</t>
        </is>
      </c>
      <c r="D20" s="6" t="inlineStr">
        <is>
          <t>важно</t>
        </is>
      </c>
      <c r="E20" s="7" t="inlineStr">
        <is>
          <t>Нет</t>
        </is>
      </c>
      <c r="F20" s="5" t="inlineStr"/>
    </row>
    <row r="21">
      <c r="A21" s="6" t="n">
        <v>17</v>
      </c>
      <c r="B21" s="6" t="inlineStr">
        <is>
          <t>Закуп косметики</t>
        </is>
      </c>
      <c r="C21" s="5" t="inlineStr">
        <is>
          <t>Открытые заказы: что оплачено и не отгружено</t>
        </is>
      </c>
      <c r="D21" s="17" t="inlineStr">
        <is>
          <t>критично</t>
        </is>
      </c>
      <c r="E21" s="7" t="inlineStr">
        <is>
          <t>Нет</t>
        </is>
      </c>
      <c r="F21" s="5" t="inlineStr"/>
    </row>
    <row r="22">
      <c r="A22" s="6" t="n">
        <v>18</v>
      </c>
      <c r="B22" s="6" t="inlineStr">
        <is>
          <t>Закуп косметики</t>
        </is>
      </c>
      <c r="C22" s="5" t="inlineStr">
        <is>
          <t>Заказы в пути: что едет и когда придет</t>
        </is>
      </c>
      <c r="D22" s="17" t="inlineStr">
        <is>
          <t>критично</t>
        </is>
      </c>
      <c r="E22" s="7" t="inlineStr">
        <is>
          <t>Нет</t>
        </is>
      </c>
      <c r="F22" s="5" t="inlineStr"/>
    </row>
    <row r="23">
      <c r="A23" s="6" t="n">
        <v>19</v>
      </c>
      <c r="B23" s="6" t="inlineStr">
        <is>
          <t>Закуп косметики</t>
        </is>
      </c>
      <c r="C23" s="5" t="inlineStr">
        <is>
          <t>Бренды и заводы: контакты, цены, скидки, минимальная партия</t>
        </is>
      </c>
      <c r="D23" s="17" t="inlineStr">
        <is>
          <t>критично</t>
        </is>
      </c>
      <c r="E23" s="7" t="inlineStr">
        <is>
          <t>Нет</t>
        </is>
      </c>
      <c r="F23" s="5" t="inlineStr"/>
    </row>
    <row r="24">
      <c r="A24" s="6" t="n">
        <v>20</v>
      </c>
      <c r="B24" s="6" t="inlineStr">
        <is>
          <t>Закуп косметики</t>
        </is>
      </c>
      <c r="C24" s="5" t="inlineStr">
        <is>
          <t>Байер, консолидатор, склад в Корее, логистика</t>
        </is>
      </c>
      <c r="D24" s="17" t="inlineStr">
        <is>
          <t>критично</t>
        </is>
      </c>
      <c r="E24" s="7" t="inlineStr">
        <is>
          <t>Нет</t>
        </is>
      </c>
      <c r="F24" s="5" t="inlineStr"/>
    </row>
    <row r="25">
      <c r="A25" s="6" t="n">
        <v>21</v>
      </c>
      <c r="B25" s="6" t="inlineStr">
        <is>
          <t>Закуп косметики</t>
        </is>
      </c>
      <c r="C25" s="5" t="inlineStr">
        <is>
          <t>Сертификация: CPNP, декларации, Честный знак</t>
        </is>
      </c>
      <c r="D25" s="6" t="inlineStr">
        <is>
          <t>важно</t>
        </is>
      </c>
      <c r="E25" s="7" t="inlineStr">
        <is>
          <t>Нет</t>
        </is>
      </c>
      <c r="F25" s="5" t="inlineStr"/>
    </row>
    <row r="26">
      <c r="A26" s="6" t="n">
        <v>22</v>
      </c>
      <c r="B26" s="6" t="inlineStr">
        <is>
          <t>Закуп косметики</t>
        </is>
      </c>
      <c r="C26" s="5" t="inlineStr">
        <is>
          <t>Сверка взаиморасчетов по каждому поставщику</t>
        </is>
      </c>
      <c r="D26" s="17" t="inlineStr">
        <is>
          <t>критично</t>
        </is>
      </c>
      <c r="E26" s="7" t="inlineStr">
        <is>
          <t>Нет</t>
        </is>
      </c>
      <c r="F26" s="5" t="inlineStr"/>
    </row>
    <row r="27">
      <c r="A27" s="6" t="n">
        <v>23</v>
      </c>
      <c r="B27" s="6" t="inlineStr">
        <is>
          <t>Продажи оборудования</t>
        </is>
      </c>
      <c r="C27" s="5" t="inlineStr">
        <is>
          <t>Журнал обзвона со статусами по каждой компании</t>
        </is>
      </c>
      <c r="D27" s="17" t="inlineStr">
        <is>
          <t>критично</t>
        </is>
      </c>
      <c r="E27" s="7" t="inlineStr">
        <is>
          <t>Нет</t>
        </is>
      </c>
      <c r="F27" s="5" t="inlineStr"/>
    </row>
    <row r="28">
      <c r="A28" s="6" t="n">
        <v>24</v>
      </c>
      <c r="B28" s="6" t="inlineStr">
        <is>
          <t>Продажи оборудования</t>
        </is>
      </c>
      <c r="C28" s="5" t="inlineStr">
        <is>
          <t>Кому отправлены КП и фото, кто что просил</t>
        </is>
      </c>
      <c r="D28" s="17" t="inlineStr">
        <is>
          <t>критично</t>
        </is>
      </c>
      <c r="E28" s="7" t="inlineStr">
        <is>
          <t>Нет</t>
        </is>
      </c>
      <c r="F28" s="5" t="inlineStr"/>
    </row>
    <row r="29">
      <c r="A29" s="6" t="n">
        <v>25</v>
      </c>
      <c r="B29" s="6" t="inlineStr">
        <is>
          <t>Продажи оборудования</t>
        </is>
      </c>
      <c r="C29" s="5" t="inlineStr">
        <is>
          <t>Кто на стадии переговоров прямо сейчас</t>
        </is>
      </c>
      <c r="D29" s="17" t="inlineStr">
        <is>
          <t>критично</t>
        </is>
      </c>
      <c r="E29" s="7" t="inlineStr">
        <is>
          <t>Нет</t>
        </is>
      </c>
      <c r="F29" s="5" t="inlineStr"/>
    </row>
    <row r="30">
      <c r="A30" s="6" t="n">
        <v>26</v>
      </c>
      <c r="B30" s="6" t="inlineStr">
        <is>
          <t>Продажи оборудования</t>
        </is>
      </c>
      <c r="C30" s="5" t="inlineStr">
        <is>
          <t>Фотоархив оборудования</t>
        </is>
      </c>
      <c r="D30" s="6" t="inlineStr">
        <is>
          <t>важно</t>
        </is>
      </c>
      <c r="E30" s="7" t="inlineStr">
        <is>
          <t>Нет</t>
        </is>
      </c>
      <c r="F30" s="5" t="inlineStr"/>
    </row>
    <row r="31">
      <c r="A31" s="6" t="n">
        <v>27</v>
      </c>
      <c r="B31" s="6" t="inlineStr">
        <is>
          <t>Инструкции</t>
        </is>
      </c>
      <c r="C31" s="5" t="inlineStr">
        <is>
          <t>Как снять показания на каждом объекте: где счетчик</t>
        </is>
      </c>
      <c r="D31" s="6" t="inlineStr">
        <is>
          <t>важно</t>
        </is>
      </c>
      <c r="E31" s="7" t="inlineStr">
        <is>
          <t>Нет</t>
        </is>
      </c>
      <c r="F31" s="5" t="inlineStr"/>
    </row>
    <row r="32">
      <c r="A32" s="6" t="n">
        <v>28</v>
      </c>
      <c r="B32" s="6" t="inlineStr">
        <is>
          <t>Инструкции</t>
        </is>
      </c>
      <c r="C32" s="5" t="inlineStr">
        <is>
          <t>Куда и в какие числа передавать показания, по объектам</t>
        </is>
      </c>
      <c r="D32" s="17" t="inlineStr">
        <is>
          <t>критично</t>
        </is>
      </c>
      <c r="E32" s="7" t="inlineStr">
        <is>
          <t>Нет</t>
        </is>
      </c>
      <c r="F32" s="5" t="inlineStr"/>
    </row>
    <row r="33">
      <c r="A33" s="6" t="n">
        <v>29</v>
      </c>
      <c r="B33" s="6" t="inlineStr">
        <is>
          <t>Инструкции</t>
        </is>
      </c>
      <c r="C33" s="5" t="inlineStr">
        <is>
          <t>Как оплатить воду и свет, с какого счета</t>
        </is>
      </c>
      <c r="D33" s="6" t="inlineStr">
        <is>
          <t>важно</t>
        </is>
      </c>
      <c r="E33" s="7" t="inlineStr">
        <is>
          <t>Нет</t>
        </is>
      </c>
      <c r="F33" s="5" t="inlineStr"/>
    </row>
    <row r="34">
      <c r="A34" s="6" t="n">
        <v>30</v>
      </c>
      <c r="B34" s="6" t="inlineStr">
        <is>
          <t>Инструкции</t>
        </is>
      </c>
      <c r="C34" s="5" t="inlineStr">
        <is>
          <t>Как принять смену сторожа и как ему платят</t>
        </is>
      </c>
      <c r="D34" s="6" t="inlineStr">
        <is>
          <t>важно</t>
        </is>
      </c>
      <c r="E34" s="7" t="inlineStr">
        <is>
          <t>Нет</t>
        </is>
      </c>
      <c r="F34" s="5" t="inlineStr"/>
    </row>
    <row r="35">
      <c r="A35" s="6" t="n">
        <v>31</v>
      </c>
      <c r="B35" s="6" t="inlineStr">
        <is>
          <t>Инструкции</t>
        </is>
      </c>
      <c r="C35" s="5" t="inlineStr">
        <is>
          <t>Кому звонить при аварии на каждом объекте</t>
        </is>
      </c>
      <c r="D35" s="6" t="inlineStr">
        <is>
          <t>важно</t>
        </is>
      </c>
      <c r="E35" s="7" t="inlineStr">
        <is>
          <t>Нет</t>
        </is>
      </c>
      <c r="F35" s="5" t="inlineStr"/>
    </row>
    <row r="37">
      <c r="C37" s="12" t="inlineStr">
        <is>
          <t>Забрано пунктов</t>
        </is>
      </c>
      <c r="D37" s="12">
        <f>COUNTIF(E5:E35,"Да")</f>
        <v/>
      </c>
    </row>
    <row r="38">
      <c r="C38" s="12" t="inlineStr">
        <is>
          <t>Всего пунктов</t>
        </is>
      </c>
      <c r="D38" s="12">
        <f>COUNTA(C5:C35)</f>
        <v/>
      </c>
    </row>
    <row r="39">
      <c r="C39" s="12" t="inlineStr">
        <is>
          <t>Осталось критичных</t>
        </is>
      </c>
      <c r="D39" s="14">
        <f>COUNTIFS(D5:D35,"критично",E5:E35,"Нет")</f>
        <v/>
      </c>
    </row>
  </sheetData>
  <autoFilter ref="A4:F35"/>
  <dataValidations count="1">
    <dataValidation sqref="E5:E35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Здание 600 кв. м: 500 в аренду, 100 под мастерскую</t>
        </is>
      </c>
    </row>
    <row r="2">
      <c r="A2" s="2" t="inlineStr">
        <is>
          <t>100 кв. м уходят под ремонт арматуры и насосов, товара в здании не остается. После находки склада электрики в наличии 745 позиций и 13 036 единиц, из них 249 позиций без цены. Вывозится все: в контейнеры, под навес во дворе или продается.</t>
        </is>
      </c>
    </row>
    <row r="4" ht="30" customHeight="1">
      <c r="A4" s="3" t="inlineStr">
        <is>
          <t>Решение</t>
        </is>
      </c>
      <c r="B4" s="3" t="inlineStr">
        <is>
          <t>Группа товара</t>
        </is>
      </c>
      <c r="C4" s="3" t="inlineStr">
        <is>
          <t>Позиций</t>
        </is>
      </c>
      <c r="D4" s="3" t="inlineStr">
        <is>
          <t>Единиц</t>
        </is>
      </c>
      <c r="E4" s="3" t="inlineStr">
        <is>
          <t>Сумма, руб</t>
        </is>
      </c>
      <c r="F4" s="3" t="inlineStr">
        <is>
          <t>Комментарий</t>
        </is>
      </c>
    </row>
    <row r="5">
      <c r="A5" s="6" t="inlineStr">
        <is>
          <t>В 40-фут контейнер</t>
        </is>
      </c>
      <c r="B5" s="6" t="inlineStr">
        <is>
          <t>Арматура: клапаны, клинкеты, краны, захлопки, коробки</t>
        </is>
      </c>
      <c r="C5" s="6" t="n">
        <v>270</v>
      </c>
      <c r="D5" s="6" t="n">
        <v>2787</v>
      </c>
      <c r="E5" s="18" t="n">
        <v>40912050</v>
      </c>
      <c r="F5" s="5" t="inlineStr">
        <is>
          <t>30-38 куб. м</t>
        </is>
      </c>
    </row>
    <row r="6">
      <c r="A6" s="6" t="inlineStr">
        <is>
          <t>В 40-фут контейнер</t>
        </is>
      </c>
      <c r="B6" s="6" t="inlineStr">
        <is>
          <t>Электрика: автоматы, контакторы, реле, приборы, лампы</t>
        </is>
      </c>
      <c r="C6" s="6" t="n">
        <v>128</v>
      </c>
      <c r="D6" s="6" t="n">
        <v>2971</v>
      </c>
      <c r="E6" s="18" t="n">
        <v>5942388</v>
      </c>
      <c r="F6" s="5" t="inlineStr">
        <is>
          <t>компактная, в ящиках</t>
        </is>
      </c>
    </row>
    <row r="7">
      <c r="A7" s="6" t="inlineStr">
        <is>
          <t>В 40-фут контейнер</t>
        </is>
      </c>
      <c r="B7" s="6" t="inlineStr">
        <is>
          <t>ЗИП двигателей и насосов</t>
        </is>
      </c>
      <c r="C7" s="6" t="n">
        <v>19</v>
      </c>
      <c r="D7" s="6" t="n">
        <v>57</v>
      </c>
      <c r="E7" s="18" t="n">
        <v>2060280</v>
      </c>
      <c r="F7" s="5" t="inlineStr">
        <is>
          <t>дорогой и мелкий</t>
        </is>
      </c>
    </row>
    <row r="8">
      <c r="A8" s="6" t="inlineStr">
        <is>
          <t>В 40-фут контейнер</t>
        </is>
      </c>
      <c r="B8" s="6" t="inlineStr">
        <is>
          <t>Головки, грибки, компенсаторы</t>
        </is>
      </c>
      <c r="C8" s="6" t="n">
        <v>14</v>
      </c>
      <c r="D8" s="6" t="n">
        <v>78</v>
      </c>
      <c r="E8" s="18" t="n">
        <v>1026000</v>
      </c>
      <c r="F8" s="5" t="inlineStr"/>
    </row>
    <row r="9">
      <c r="A9" s="6" t="inlineStr">
        <is>
          <t>В 40-фут контейнер</t>
        </is>
      </c>
      <c r="B9" s="6" t="inlineStr">
        <is>
          <t>Иллюминаторы</t>
        </is>
      </c>
      <c r="C9" s="6" t="n">
        <v>6</v>
      </c>
      <c r="D9" s="6" t="n">
        <v>104</v>
      </c>
      <c r="E9" s="18" t="n">
        <v>7165000</v>
      </c>
      <c r="F9" s="5" t="inlineStr">
        <is>
          <t>4-6 куб. м, на поддоны</t>
        </is>
      </c>
    </row>
    <row r="10">
      <c r="A10" s="6" t="inlineStr">
        <is>
          <t>В 20-фут контейнер</t>
        </is>
      </c>
      <c r="B10" s="6" t="inlineStr">
        <is>
          <t>Двери</t>
        </is>
      </c>
      <c r="C10" s="6" t="n">
        <v>12</v>
      </c>
      <c r="D10" s="6" t="n">
        <v>63</v>
      </c>
      <c r="E10" s="18" t="n">
        <v>2745000</v>
      </c>
      <c r="F10" s="5" t="inlineStr">
        <is>
          <t>на ребро, 8-12 куб. м</t>
        </is>
      </c>
    </row>
    <row r="11">
      <c r="A11" s="6" t="inlineStr">
        <is>
          <t>В 20-фут контейнер</t>
        </is>
      </c>
      <c r="B11" s="6" t="inlineStr">
        <is>
          <t>Блокформы и балласт</t>
        </is>
      </c>
      <c r="C11" s="6" t="n">
        <v>2</v>
      </c>
      <c r="D11" s="6" t="n">
        <v>116</v>
      </c>
      <c r="E11" s="18" t="n">
        <v>1276000</v>
      </c>
      <c r="F11" s="5" t="inlineStr"/>
    </row>
    <row r="12">
      <c r="A12" s="6" t="inlineStr">
        <is>
          <t>В 20-фут контейнер</t>
        </is>
      </c>
      <c r="B12" s="6" t="inlineStr">
        <is>
          <t>Фильтры забортной воды</t>
        </is>
      </c>
      <c r="C12" s="6" t="n">
        <v>8</v>
      </c>
      <c r="D12" s="6" t="n">
        <v>22</v>
      </c>
      <c r="E12" s="18" t="n">
        <v>3713000</v>
      </c>
      <c r="F12" s="5" t="inlineStr">
        <is>
          <t>тяжелые, на поддоны</t>
        </is>
      </c>
    </row>
    <row r="13">
      <c r="A13" s="6" t="inlineStr">
        <is>
          <t>Продать лотом</t>
        </is>
      </c>
      <c r="B13" s="6" t="inlineStr">
        <is>
          <t>Светильники и комплектующие</t>
        </is>
      </c>
      <c r="C13" s="6" t="n">
        <v>44</v>
      </c>
      <c r="D13" s="6" t="n">
        <v>4512</v>
      </c>
      <c r="E13" s="18" t="n">
        <v>6588412</v>
      </c>
      <c r="F13" s="5" t="inlineStr">
        <is>
          <t>50-60 куб. м, треть всего объема</t>
        </is>
      </c>
    </row>
    <row r="14">
      <c r="A14" s="6" t="inlineStr">
        <is>
          <t>Продать или под навес</t>
        </is>
      </c>
      <c r="B14" s="6" t="inlineStr">
        <is>
          <t>Насосы</t>
        </is>
      </c>
      <c r="C14" s="6" t="n">
        <v>35</v>
      </c>
      <c r="D14" s="6" t="n">
        <v>85</v>
      </c>
      <c r="E14" s="18" t="n">
        <v>10654468</v>
      </c>
      <c r="F14" s="5" t="inlineStr">
        <is>
          <t>25-35 куб. м, сталь, зимует под тентом</t>
        </is>
      </c>
    </row>
    <row r="15">
      <c r="A15" s="6" t="inlineStr">
        <is>
          <t>Продать или под навес</t>
        </is>
      </c>
      <c r="B15" s="6" t="inlineStr">
        <is>
          <t>Сепараторы и барабаны</t>
        </is>
      </c>
      <c r="C15" s="6" t="n">
        <v>8</v>
      </c>
      <c r="D15" s="6" t="n">
        <v>16</v>
      </c>
      <c r="E15" s="18" t="n">
        <v>3520000</v>
      </c>
      <c r="F15" s="5" t="inlineStr">
        <is>
          <t>12-18 куб. м</t>
        </is>
      </c>
    </row>
    <row r="16">
      <c r="A16" s="6" t="inlineStr">
        <is>
          <t>Продать или под навес</t>
        </is>
      </c>
      <c r="B16" s="6" t="inlineStr">
        <is>
          <t>Камбузное оборудование, плиты</t>
        </is>
      </c>
      <c r="C16" s="6" t="n">
        <v>5</v>
      </c>
      <c r="D16" s="6" t="n">
        <v>5</v>
      </c>
      <c r="E16" s="18" t="n">
        <v>1710000</v>
      </c>
      <c r="F16" s="5" t="inlineStr">
        <is>
          <t>по 460 кг штука</t>
        </is>
      </c>
    </row>
    <row r="17">
      <c r="A17" s="6" t="inlineStr">
        <is>
          <t>Продать</t>
        </is>
      </c>
      <c r="B17" s="6" t="inlineStr">
        <is>
          <t>Регулятор РТНД-150</t>
        </is>
      </c>
      <c r="C17" s="6" t="n">
        <v>1</v>
      </c>
      <c r="D17" s="6" t="n">
        <v>3</v>
      </c>
      <c r="E17" s="18" t="n">
        <v>3450000</v>
      </c>
      <c r="F17" s="5" t="inlineStr">
        <is>
          <t>сначала проверить наличие</t>
        </is>
      </c>
    </row>
    <row r="18">
      <c r="A18" s="6" t="inlineStr">
        <is>
          <t>Продать</t>
        </is>
      </c>
      <c r="B18" s="6" t="inlineStr">
        <is>
          <t>Компрессоры, приводы, такелаж, прочее</t>
        </is>
      </c>
      <c r="C18" s="6" t="n">
        <v>44</v>
      </c>
      <c r="D18" s="6" t="n">
        <v>210</v>
      </c>
      <c r="E18" s="18" t="n">
        <v>2147215</v>
      </c>
      <c r="F18" s="5" t="inlineStr"/>
    </row>
    <row r="19">
      <c r="A19" s="6" t="inlineStr">
        <is>
          <t>В мастерскую на ремонт</t>
        </is>
      </c>
      <c r="B19" s="6" t="inlineStr">
        <is>
          <t>Брак и некомплект: клапаны, задвижки, сепараторы</t>
        </is>
      </c>
      <c r="C19" s="6" t="n">
        <v>14</v>
      </c>
      <c r="D19" s="6" t="n">
        <v>50</v>
      </c>
      <c r="E19" s="18" t="n">
        <v>2372500</v>
      </c>
      <c r="F19" s="5" t="inlineStr">
        <is>
          <t>после ремонта цена выше</t>
        </is>
      </c>
    </row>
    <row r="20">
      <c r="A20" s="6" t="inlineStr">
        <is>
          <t>Оценить и продать</t>
        </is>
      </c>
      <c r="B20" s="6" t="inlineStr">
        <is>
          <t>ЗИП Пилстик 6ЧН40/46, склад электрики</t>
        </is>
      </c>
      <c r="C20" s="6" t="n">
        <v>57</v>
      </c>
      <c r="D20" s="6" t="n">
        <v>1222</v>
      </c>
      <c r="E20" s="18" t="n">
        <v>0</v>
      </c>
      <c r="F20" s="5" t="inlineStr">
        <is>
          <t>цены нет, оценить в первую очередь</t>
        </is>
      </c>
    </row>
    <row r="21">
      <c r="A21" s="6" t="inlineStr">
        <is>
          <t>Оценить и продать</t>
        </is>
      </c>
      <c r="B21" s="6" t="inlineStr">
        <is>
          <t>ЗИП VD26/20 и 6NVD26 А3, склад электрики</t>
        </is>
      </c>
      <c r="C21" s="6" t="n">
        <v>28</v>
      </c>
      <c r="D21" s="6" t="n">
        <v>254</v>
      </c>
      <c r="E21" s="18" t="n">
        <v>0</v>
      </c>
      <c r="F21" s="5" t="inlineStr">
        <is>
          <t>цены нет</t>
        </is>
      </c>
    </row>
    <row r="22">
      <c r="A22" s="6" t="inlineStr">
        <is>
          <t>Оценить и продать</t>
        </is>
      </c>
      <c r="B22" s="6" t="inlineStr">
        <is>
          <t>ЗИП прочих двигателей и насосов, ремкомплекты сепараторов</t>
        </is>
      </c>
      <c r="C22" s="6" t="n">
        <v>32</v>
      </c>
      <c r="D22" s="6" t="n">
        <v>307</v>
      </c>
      <c r="E22" s="18" t="n">
        <v>0</v>
      </c>
      <c r="F22" s="5" t="inlineStr">
        <is>
          <t>3D6, 4Ч 8,5/11, 4Ч 10,5/13, ZD 72/48, СЦ</t>
        </is>
      </c>
    </row>
    <row r="23">
      <c r="A23" s="6" t="inlineStr">
        <is>
          <t>Оценить и продать</t>
        </is>
      </c>
      <c r="B23" s="6" t="inlineStr">
        <is>
          <t>Электрика склада электрики: светильники СС844, СС901А-I</t>
        </is>
      </c>
      <c r="C23" s="6" t="n">
        <v>16</v>
      </c>
      <c r="D23" s="6" t="n">
        <v>224</v>
      </c>
      <c r="E23" s="18" t="n">
        <v>0</v>
      </c>
      <c r="F23" s="5" t="inlineStr">
        <is>
          <t>цены нет</t>
        </is>
      </c>
    </row>
    <row r="24">
      <c r="B24" s="11" t="inlineStr">
        <is>
          <t>ИТОГО</t>
        </is>
      </c>
      <c r="C24" s="19">
        <f>SUM(C5:C23)</f>
        <v/>
      </c>
      <c r="D24" s="19">
        <f>SUM(D5:D23)</f>
        <v/>
      </c>
      <c r="E24" s="20">
        <f>SUM(E5:E23)</f>
        <v/>
      </c>
    </row>
  </sheetData>
  <autoFilter ref="A4:F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16" customWidth="1" min="4" max="4"/>
    <col width="30" customWidth="1" min="5" max="5"/>
  </cols>
  <sheetData>
    <row r="1">
      <c r="A1" s="1" t="inlineStr">
        <is>
          <t>Что надо решить и что может пойти не так</t>
        </is>
      </c>
    </row>
    <row r="3" ht="30" customHeight="1">
      <c r="A3" s="3" t="inlineStr">
        <is>
          <t>№</t>
        </is>
      </c>
      <c r="B3" s="3" t="inlineStr">
        <is>
          <t>Что решить</t>
        </is>
      </c>
      <c r="C3" s="3" t="inlineStr">
        <is>
          <t>Почему это важно</t>
        </is>
      </c>
      <c r="D3" s="3" t="inlineStr">
        <is>
          <t>Кто решает</t>
        </is>
      </c>
      <c r="E3" s="3" t="inlineStr">
        <is>
          <t>Решение</t>
        </is>
      </c>
    </row>
    <row r="4">
      <c r="A4" s="6" t="n">
        <v>1</v>
      </c>
      <c r="B4" s="5" t="inlineStr">
        <is>
          <t>Ставка аренды за кв. м</t>
        </is>
      </c>
      <c r="C4" s="5" t="inlineStr">
        <is>
          <t>Без нее нельзя посчитать, сколько стоит месяц промедления и что выгоднее: додержать товар или вывезти</t>
        </is>
      </c>
      <c r="D4" s="6" t="inlineStr">
        <is>
          <t>Москва</t>
        </is>
      </c>
      <c r="E4" s="21" t="inlineStr"/>
    </row>
    <row r="5">
      <c r="A5" s="6" t="n">
        <v>2</v>
      </c>
      <c r="B5" s="5" t="inlineStr">
        <is>
          <t>Дата последнего дня сотрудницы</t>
        </is>
      </c>
      <c r="C5" s="5" t="inlineStr">
        <is>
          <t>От нее сдвигается весь календарь передачи дел</t>
        </is>
      </c>
      <c r="D5" s="6" t="inlineStr">
        <is>
          <t>Москва</t>
        </is>
      </c>
      <c r="E5" s="21" t="inlineStr"/>
    </row>
    <row r="6">
      <c r="A6" s="6" t="n">
        <v>3</v>
      </c>
      <c r="B6" s="5" t="inlineStr">
        <is>
          <t>Дата въезда арендатора и какие помещения</t>
        </is>
      </c>
      <c r="C6" s="5" t="inlineStr">
        <is>
          <t>Определяет объем перекладки и срок освобождения</t>
        </is>
      </c>
      <c r="D6" s="6" t="inlineStr">
        <is>
          <t>Москва</t>
        </is>
      </c>
      <c r="E6" s="21" t="inlineStr"/>
    </row>
    <row r="7">
      <c r="A7" s="6" t="n">
        <v>4</v>
      </c>
      <c r="B7" s="5" t="inlineStr">
        <is>
          <t>Бюджет на 40-футовый контейнер и основание</t>
        </is>
      </c>
      <c r="C7" s="5" t="inlineStr">
        <is>
          <t>Контейнер, доставка, блоки, планировка площадки</t>
        </is>
      </c>
      <c r="D7" s="6" t="inlineStr">
        <is>
          <t>Москва</t>
        </is>
      </c>
      <c r="E7" s="21" t="inlineStr"/>
    </row>
    <row r="8">
      <c r="A8" s="6" t="n">
        <v>5</v>
      </c>
      <c r="B8" s="5" t="inlineStr">
        <is>
          <t>Мастерская своя или сдаем в аренду</t>
        </is>
      </c>
      <c r="C8" s="5" t="inlineStr">
        <is>
          <t>100 кв. м под ремонт арматуры и насосов. Первый кандидат в арендаторы — мастер, который уже приходит ремонтировать нашу арматуру</t>
        </is>
      </c>
      <c r="D8" s="6" t="inlineStr">
        <is>
          <t>Москва</t>
        </is>
      </c>
      <c r="E8" s="21" t="inlineStr"/>
    </row>
    <row r="9">
      <c r="A9" s="6" t="n">
        <v>6</v>
      </c>
      <c r="B9" s="5" t="inlineStr">
        <is>
          <t>Хватит ли электрической мощности на мастерскую</t>
        </is>
      </c>
      <c r="C9" s="5" t="inlineStr">
        <is>
          <t>Станки требуют 380 В. Проверить, сколько выделено на здание и что останется после раздела с арендатором</t>
        </is>
      </c>
      <c r="D9" s="6" t="inlineStr">
        <is>
          <t>Москва</t>
        </is>
      </c>
      <c r="E9" s="21" t="inlineStr"/>
    </row>
    <row r="10">
      <c r="A10" s="6" t="n">
        <v>7</v>
      </c>
      <c r="B10" s="5" t="inlineStr">
        <is>
          <t>Ставим ли навес во дворе под крупногабарит</t>
        </is>
      </c>
      <c r="C10" s="5" t="inlineStr">
        <is>
          <t>Насосы, сепараторы и плиты — 45-55 куб. м. В контейнеры вместе со всем остальным не влезают</t>
        </is>
      </c>
      <c r="D10" s="6" t="inlineStr">
        <is>
          <t>Москва</t>
        </is>
      </c>
      <c r="E10" s="21" t="inlineStr"/>
    </row>
    <row r="11">
      <c r="A11" s="6" t="n">
        <v>8</v>
      </c>
      <c r="B11" s="5" t="inlineStr">
        <is>
          <t>Кто платит за охрану общей территории</t>
        </is>
      </c>
      <c r="C11" s="5" t="inlineStr">
        <is>
          <t>Сторож охраняет и часть арендатора, 38 400 руб в месяц</t>
        </is>
      </c>
      <c r="D11" s="6" t="inlineStr">
        <is>
          <t>Москва</t>
        </is>
      </c>
      <c r="E11" s="21" t="inlineStr"/>
    </row>
    <row r="13">
      <c r="A13" s="1" t="inlineStr">
        <is>
          <t>Риски</t>
        </is>
      </c>
    </row>
    <row r="14" ht="30" customHeight="1">
      <c r="A14" s="3" t="inlineStr">
        <is>
          <t>№</t>
        </is>
      </c>
      <c r="B14" s="3" t="inlineStr">
        <is>
          <t>Риск</t>
        </is>
      </c>
      <c r="C14" s="3" t="inlineStr">
        <is>
          <t>Что делаем</t>
        </is>
      </c>
    </row>
    <row r="15">
      <c r="A15" s="6" t="n">
        <v>1</v>
      </c>
      <c r="B15" s="5" t="inlineStr">
        <is>
          <t>Не нашли администратора за неделю</t>
        </is>
      </c>
      <c r="C15" s="5" t="inlineStr">
        <is>
          <t>Она передает дела напрямую в Москву без второй недели обучения, показания за сентябрь снимает сама, работы с подрядчиками переносятся. Договориться о платной телефонной консультации на месяц</t>
        </is>
      </c>
    </row>
    <row r="16">
      <c r="A16" s="6" t="n">
        <v>2</v>
      </c>
      <c r="B16" s="5" t="inlineStr">
        <is>
          <t>Сдали в металл то, что стоит денег</t>
        </is>
      </c>
      <c r="C16" s="5" t="inlineStr">
        <is>
          <t>Двери и крышки в наличии стоят 4 080 000 руб, среди них крышка цилиндра Пилстик за 550 000. Список на металл подписывает Олеся, сверяя с реестром</t>
        </is>
      </c>
    </row>
    <row r="17">
      <c r="A17" s="6" t="n">
        <v>3</v>
      </c>
      <c r="B17" s="5" t="inlineStr">
        <is>
          <t>Остатки недостоверны, часть товара уже продана</t>
        </is>
      </c>
      <c r="C17" s="5" t="inlineStr">
        <is>
          <t>Склад вели десять лет, продажи в файлы не заносились, последняя сверка 16.06.2025. Восстановить историю отгрузок невозможно, поэтому расхождения не расследуем — просто пересчитываем по факту. Стоимость 92 970 568 руб и все количества под вопросом. До инвентаризации не публикуем объявления, не рассылаем КП с количествами и не называем сумму покупателю. Считаем по ведомости: сначала 79 позиций, дающих 80% стоимости, потом остальные</t>
        </is>
      </c>
    </row>
    <row r="18">
      <c r="A18" s="6" t="n">
        <v>4</v>
      </c>
      <c r="B18" s="5" t="inlineStr">
        <is>
          <t>Товар не помещается в два контейнера</t>
        </is>
      </c>
      <c r="C18" s="5" t="inlineStr">
        <is>
          <t>Весь товар из здания — 155-190 куб. м, а 40-футовый и 20-футовый вместе дают 100 куб. м. Разрыв закрывают продажа светильников лотом (50-60 куб. м) и навес во дворе под насосы, сепараторы и плиты (45-55 куб. м). Третий контейнер покупать не надо</t>
        </is>
      </c>
    </row>
    <row r="19">
      <c r="A19" s="6" t="n">
        <v>5</v>
      </c>
      <c r="B19" s="5" t="inlineStr">
        <is>
          <t>Мастерская мешает арендатору 500 кв. м</t>
        </is>
      </c>
      <c r="C19" s="5" t="inlineStr">
        <is>
          <t>Сварка, шлифовка и шум рядом с чужим арендатором — источник конфликта. Обсудить до подписания договора, а не после</t>
        </is>
      </c>
    </row>
    <row r="20">
      <c r="A20" s="6" t="n">
        <v>6</v>
      </c>
      <c r="B20" s="5" t="inlineStr">
        <is>
          <t>Объект без ответственного</t>
        </is>
      </c>
      <c r="C20" s="5" t="inlineStr">
        <is>
          <t>Пока администратора нет, сторож единственный человек на площадке с товаром на 93 млн. Задачи ему ставит Москва напрямую, ежедневное фото территории</t>
        </is>
      </c>
    </row>
    <row r="21">
      <c r="A21" s="6" t="n">
        <v>7</v>
      </c>
      <c r="B21" s="5" t="inlineStr">
        <is>
          <t>Продажа тянется, аренда не начинается</t>
        </is>
      </c>
      <c r="C21" s="5" t="inlineStr">
        <is>
          <t>Отсечка касается здания, а не товара: к дате все вывозится в контейнер, здание сдается, продажа продолжается</t>
        </is>
      </c>
    </row>
    <row r="22">
      <c r="A22" s="6" t="n">
        <v>8</v>
      </c>
      <c r="B22" s="5" t="inlineStr">
        <is>
          <t>Перегруз и просадка контейнера</t>
        </is>
      </c>
      <c r="C22" s="5" t="inlineStr">
        <is>
          <t>Контейнер стационарный, поэтому вес не ограничен транспортной нормой, но нужно твердое основание, поддоны под тяжелое и распределение по длине</t>
        </is>
      </c>
    </row>
    <row r="23">
      <c r="A23" s="6" t="n">
        <v>9</v>
      </c>
      <c r="B23" s="5" t="inlineStr">
        <is>
          <t>Потеря контактов покупателей</t>
        </is>
      </c>
      <c r="C23" s="5" t="inlineStr">
        <is>
          <t>Журнал обзвона на 40+ компаний уходит вместе с сотрудницей. Передать Олесе со статусами, а не список телефонов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26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Состав команды: к обсуждению</t>
        </is>
      </c>
    </row>
    <row r="2">
      <c r="A2" s="2" t="inlineStr">
        <is>
          <t>Заготовка для разговора, решения не приняты. Желтые колонки заполняем на встрече.</t>
        </is>
      </c>
    </row>
    <row r="4" ht="30" customHeight="1">
      <c r="A4" s="3" t="inlineStr">
        <is>
          <t>Функция</t>
        </is>
      </c>
      <c r="B4" s="3" t="inlineStr">
        <is>
          <t>Что делает</t>
        </is>
      </c>
      <c r="C4" s="3" t="inlineStr">
        <is>
          <t>Кто сейчас</t>
        </is>
      </c>
      <c r="D4" s="3" t="inlineStr">
        <is>
          <t>Замечание</t>
        </is>
      </c>
      <c r="E4" s="3" t="inlineStr">
        <is>
          <t>Нужен отдельный человек</t>
        </is>
      </c>
      <c r="F4" s="3" t="inlineStr">
        <is>
          <t>Решение</t>
        </is>
      </c>
    </row>
    <row r="5" ht="46" customHeight="1">
      <c r="A5" s="6" t="inlineStr">
        <is>
          <t>Судовое оборудование, продажи</t>
        </is>
      </c>
      <c r="B5" s="5" t="inlineStr">
        <is>
          <t>Оценка позиций, КП, Авито и Фарпост, переговоры, отгрузки, документы</t>
        </is>
      </c>
      <c r="C5" s="6" t="inlineStr">
        <is>
          <t>Олеся, Владивосток</t>
        </is>
      </c>
      <c r="D5" s="5" t="inlineStr">
        <is>
          <t>745 позиций и 249 без цены — вопрос, тянет ли это один человек</t>
        </is>
      </c>
      <c r="E5" s="7" t="inlineStr"/>
      <c r="F5" s="7" t="inlineStr"/>
    </row>
    <row r="6" ht="46" customHeight="1">
      <c r="A6" s="6" t="inlineStr">
        <is>
          <t>Судовое оборудование, ремонт</t>
        </is>
      </c>
      <c r="B6" s="5" t="inlineStr">
        <is>
          <t>Дефектовка, восстановление брака и некомплекта, сборка сепараторов</t>
        </is>
      </c>
      <c r="C6" s="6" t="inlineStr">
        <is>
          <t>мастер приходит по вызову</t>
        </is>
      </c>
      <c r="D6" s="5" t="inlineStr">
        <is>
          <t>кандидат в арендаторы 100 кв. м под мастерскую</t>
        </is>
      </c>
      <c r="E6" s="7" t="inlineStr"/>
      <c r="F6" s="7" t="inlineStr"/>
    </row>
    <row r="7" ht="46" customHeight="1">
      <c r="A7" s="6" t="inlineStr">
        <is>
          <t>Объекты и хозяйство, Владивосток</t>
        </is>
      </c>
      <c r="B7" s="5" t="inlineStr">
        <is>
          <t>Коммуналка по четырем объектам, сторожа, подрядчики, вывоз, обходы</t>
        </is>
      </c>
      <c r="C7" s="6" t="inlineStr">
        <is>
          <t>ищем, вакансия открыта</t>
        </is>
      </c>
      <c r="D7" s="5" t="inlineStr">
        <is>
          <t>выход нужен к 18 сентября, иначе обучать будет некому</t>
        </is>
      </c>
      <c r="E7" s="7" t="inlineStr"/>
      <c r="F7" s="7" t="inlineStr"/>
    </row>
    <row r="8" ht="46" customHeight="1">
      <c r="A8" s="6" t="inlineStr">
        <is>
          <t>Косметика, закуп в Корее</t>
        </is>
      </c>
      <c r="B8" s="5" t="inlineStr">
        <is>
          <t>Бренды и заводы, цены и минимальные партии, заказы, отгрузки, консолидатор, сертификация</t>
        </is>
      </c>
      <c r="C8" s="6" t="inlineStr">
        <is>
          <t>вела увольняющаяся сотрудница</t>
        </is>
      </c>
      <c r="D8" s="5" t="inlineStr">
        <is>
          <t>не привязано к Владивостоку, может вести Москва</t>
        </is>
      </c>
      <c r="E8" s="7" t="inlineStr"/>
      <c r="F8" s="7" t="inlineStr"/>
    </row>
    <row r="9" ht="46" customHeight="1">
      <c r="A9" s="6" t="inlineStr">
        <is>
          <t>Косметика, продажи в Москве</t>
        </is>
      </c>
      <c r="B9" s="5" t="inlineStr">
        <is>
          <t>Маркетплейсы: карточки, SEO, реклама, поставки на склады, аналитика</t>
        </is>
      </c>
      <c r="C9" s="6" t="inlineStr">
        <is>
          <t>заполнить</t>
        </is>
      </c>
      <c r="D9" s="5" t="inlineStr">
        <is>
          <t>по этому направлению состав команды не обсуждали</t>
        </is>
      </c>
      <c r="E9" s="7" t="inlineStr"/>
      <c r="F9" s="7" t="inlineStr"/>
    </row>
    <row r="10" ht="46" customHeight="1">
      <c r="A10" s="6" t="inlineStr">
        <is>
          <t>Логистика и таможня</t>
        </is>
      </c>
      <c r="B10" s="5" t="inlineStr">
        <is>
          <t>Контейнеры из Кореи, брокер, перевозчики, приемка на складах</t>
        </is>
      </c>
      <c r="C10" s="6" t="inlineStr">
        <is>
          <t>Москва</t>
        </is>
      </c>
      <c r="D10" s="5" t="inlineStr">
        <is>
          <t>сейчас два контейнера в работе</t>
        </is>
      </c>
      <c r="E10" s="7" t="inlineStr"/>
      <c r="F10" s="7" t="inlineStr"/>
    </row>
  </sheetData>
  <dataValidations count="1">
    <dataValidation sqref="E5:E10" showDropDown="0" showInputMessage="0" showErrorMessage="0" allowBlank="1" type="list">
      <formula1>"Да,Нет,Совмещаем"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2026-09-10T20:31:23Z</dcterms:created>
  <dcterms:modified xsi:type="dcterms:W3CDTF">2026-09-10T20:31:23Z</dcterms:modified>
</cp:coreProperties>
</file>
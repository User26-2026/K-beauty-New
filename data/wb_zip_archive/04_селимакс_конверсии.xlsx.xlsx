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33" documentId="11_7AAAF73DF36940A9E6CB596060DCCF8A1E00D793" xr6:coauthVersionLast="47" xr6:coauthVersionMax="47" xr10:uidLastSave="{7BDFAF1C-91B6-4A82-AB38-D1BEBC8EA911}"/>
  <bookViews>
    <workbookView xWindow="0" yWindow="0" windowWidth="16384" windowHeight="8192" activeTab="2" xr2:uid="{00000000-000D-0000-FFFF-FFFF00000000}"/>
  </bookViews>
  <sheets>
    <sheet name="Сравнение по товарам" sheetId="1" r:id="rId1"/>
    <sheet name="Итоги" sheetId="2" r:id="rId2"/>
    <sheet name="Подневный план самовыкупов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4" l="1"/>
  <c r="C6" i="4" s="1"/>
  <c r="C7" i="4" s="1"/>
  <c r="C8" i="4" s="1"/>
  <c r="C9" i="4" s="1"/>
  <c r="C10" i="4" s="1"/>
  <c r="C11" i="4" s="1"/>
  <c r="C4" i="4"/>
  <c r="C7" i="2"/>
  <c r="B7" i="2"/>
  <c r="D7" i="2" s="1"/>
  <c r="C6" i="2"/>
  <c r="B6" i="2"/>
  <c r="D6" i="2" s="1"/>
  <c r="C4" i="2"/>
  <c r="B4" i="2"/>
  <c r="D4" i="2" s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C8" i="2" s="1"/>
  <c r="G6" i="1"/>
  <c r="C5" i="2" s="1"/>
  <c r="J5" i="1"/>
  <c r="B8" i="2" s="1"/>
  <c r="D8" i="2" s="1"/>
  <c r="G5" i="1"/>
  <c r="B5" i="2" s="1"/>
  <c r="D5" i="2" s="1"/>
</calcChain>
</file>

<file path=xl/sharedStrings.xml><?xml version="1.0" encoding="utf-8"?>
<sst xmlns="http://schemas.openxmlformats.org/spreadsheetml/2006/main" count="68" uniqueCount="48">
  <si>
    <t>Celimax на Ozon: конверсии карточек с большим и малым числом отзывов</t>
  </si>
  <si>
    <t>Источник: выгрузка "Аналитика конкурентов" по бренду Celimax (Ozon Seller, 28 дней, сформирована 06.08.2026) + карточки Ozon (кол-во отзывов, актуально на 06.08.2026)</t>
  </si>
  <si>
    <t>Товар (модель)</t>
  </si>
  <si>
    <t>Продавец</t>
  </si>
  <si>
    <t>Группа</t>
  </si>
  <si>
    <t>Отзывы, шт</t>
  </si>
  <si>
    <t>Показы, шт</t>
  </si>
  <si>
    <t>Переходы в карточку (клики), шт</t>
  </si>
  <si>
    <t>СТР, %</t>
  </si>
  <si>
    <t>В корзину из карточки, %</t>
  </si>
  <si>
    <t>Конверсия в заказ от показов, %</t>
  </si>
  <si>
    <t>Конверсия в заказ от кликов, %</t>
  </si>
  <si>
    <t>Заказано, шт</t>
  </si>
  <si>
    <t>Средняя цена, ₽</t>
  </si>
  <si>
    <t>Ссылка на карточку</t>
  </si>
  <si>
    <t>Dual Barrier Creamy Toner, 150 мл</t>
  </si>
  <si>
    <t>LIFECOSM</t>
  </si>
  <si>
    <t>Много отзывов</t>
  </si>
  <si>
    <t>https://www.ozon.ru/product/2149600147</t>
  </si>
  <si>
    <t>Модена трейд</t>
  </si>
  <si>
    <t>Мало отзывов</t>
  </si>
  <si>
    <t>https://www.ozon.ru/product/3762804651</t>
  </si>
  <si>
    <t>Pore+Dark Spot Brightening Serum, 30 мл</t>
  </si>
  <si>
    <t>https://www.ozon.ru/product/2149600134</t>
  </si>
  <si>
    <t>https://www.ozon.ru/product/3811129605</t>
  </si>
  <si>
    <t>The Vita-A Retinol Shot Tightening Serum, 30 мл</t>
  </si>
  <si>
    <t>https://www.ozon.ru/product/2149653462</t>
  </si>
  <si>
    <t>Beauty_shop</t>
  </si>
  <si>
    <t>https://www.ozon.ru/product/2149619911</t>
  </si>
  <si>
    <t>Dual Barrier Skin Wearable Cream, 50 мл</t>
  </si>
  <si>
    <t>https://www.ozon.ru/product/2149600210</t>
  </si>
  <si>
    <t>https://www.ozon.ru/product/3762277827</t>
  </si>
  <si>
    <t>СТР = переходы в карточку / показы. Конверсия в заказ от кликов = заказано, шт / переходы в карточку. Остальные метрики — из отчёта Ozon Seller.</t>
  </si>
  <si>
    <t>Влияние количества отзывов на конверсии — средние по 4 парам товаров</t>
  </si>
  <si>
    <t>Метрика</t>
  </si>
  <si>
    <t>Много отзывов (сред.)</t>
  </si>
  <si>
    <t>Мало отзывов (сред.)</t>
  </si>
  <si>
    <t>Разница, п.п. / раз</t>
  </si>
  <si>
    <t>Комментарий</t>
  </si>
  <si>
    <t>Отзывы у топ-продавца в среднем в сотни раз больше</t>
  </si>
  <si>
    <t>СТР почти не зависит от кол-ва отзывов — на клик влияют обложка/цена/позиция, не отзывы</t>
  </si>
  <si>
    <t>Главный эффект отзывов: конверсия в корзину заметно выше при большом кол-ве отзывов</t>
  </si>
  <si>
    <t>Конверсия от показов почти не отличается — эффект отзывов проявляется дальше по воронке</t>
  </si>
  <si>
    <t>Конверсия в заказ от клика в среднем выше при большом кол-ве отзывов</t>
  </si>
  <si>
    <t>Подневный план самовыкупов</t>
  </si>
  <si>
    <t>День</t>
  </si>
  <si>
    <t>Кол-во самовыкупов, шт</t>
  </si>
  <si>
    <t>Нарастающим итогом,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</si>
</sst>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6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3" fontId="4" fillId="3" borderId="1" xfId="0" applyNumberFormat="1" applyFont="1" applyFill="1" applyBorder="1"/>
    <xf numFmtId="10" fontId="4" fillId="3" borderId="1" xfId="0" applyNumberFormat="1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10" fontId="4" fillId="4" borderId="1" xfId="0" applyNumberFormat="1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0" fontId="1" fillId="0" borderId="0" xfId="0" applyFont="1" applyBorder="1" applyAlignment="1"/>
    <xf numFmtId="0" fontId="2" fillId="0" borderId="0" xfId="0" applyFont="1" applyBorder="1" applyAlignment="1"/>
  </cellXfs>
  <cellStyles count="1">
    <cellStyle name="Обычный" xfId="0" builtinId="0"/>
  </cellStyles>
  <dxfs count="3"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zoomScaleNormal="100" workbookViewId="0">
      <pane ySplit="4" topLeftCell="A5" activePane="bottomLeft" state="frozen"/>
      <selection pane="bottomLeft" activeCell="H8" sqref="H8"/>
    </sheetView>
  </sheetViews>
  <sheetFormatPr defaultColWidth="8.7109375" defaultRowHeight="15"/>
  <cols>
    <col min="1" max="1" width="34" customWidth="1"/>
    <col min="2" max="2" width="16" customWidth="1"/>
    <col min="3" max="3" width="14" customWidth="1"/>
    <col min="4" max="4" width="10" customWidth="1"/>
    <col min="5" max="5" width="12" customWidth="1"/>
    <col min="6" max="6" width="14" customWidth="1"/>
    <col min="7" max="7" width="9" customWidth="1"/>
    <col min="8" max="8" width="12" customWidth="1"/>
    <col min="9" max="10" width="13" customWidth="1"/>
    <col min="11" max="11" width="10" customWidth="1"/>
    <col min="12" max="12" width="11" customWidth="1"/>
    <col min="13" max="13" width="32" customWidth="1"/>
  </cols>
  <sheetData>
    <row r="1" spans="1:13" ht="17.4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5.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s="2" t="s">
        <v>15</v>
      </c>
      <c r="B5" s="2" t="s">
        <v>16</v>
      </c>
      <c r="C5" s="2" t="s">
        <v>17</v>
      </c>
      <c r="D5" s="3">
        <v>10128</v>
      </c>
      <c r="E5" s="3">
        <v>2636308</v>
      </c>
      <c r="F5" s="3">
        <v>109356</v>
      </c>
      <c r="G5" s="4">
        <f>F5/E5</f>
        <v>4.1480737455562855E-2</v>
      </c>
      <c r="H5" s="4">
        <v>0.1527</v>
      </c>
      <c r="I5" s="4">
        <v>3.0000000000000001E-3</v>
      </c>
      <c r="J5" s="4">
        <f>K5/F5</f>
        <v>7.2067376275650172E-2</v>
      </c>
      <c r="K5" s="3">
        <v>7881</v>
      </c>
      <c r="L5" s="3">
        <v>1074</v>
      </c>
      <c r="M5" s="2" t="s">
        <v>18</v>
      </c>
    </row>
    <row r="6" spans="1:13">
      <c r="A6" s="5" t="s">
        <v>15</v>
      </c>
      <c r="B6" s="5" t="s">
        <v>19</v>
      </c>
      <c r="C6" s="5" t="s">
        <v>20</v>
      </c>
      <c r="D6" s="6">
        <v>17</v>
      </c>
      <c r="E6" s="6">
        <v>2049</v>
      </c>
      <c r="F6" s="6">
        <v>88</v>
      </c>
      <c r="G6" s="7">
        <f>F6/E6</f>
        <v>4.2947779404587605E-2</v>
      </c>
      <c r="H6" s="7">
        <v>7.9500000000000001E-2</v>
      </c>
      <c r="I6" s="7">
        <v>2.3999999999999998E-3</v>
      </c>
      <c r="J6" s="7">
        <f>K6/F6</f>
        <v>5.6818181818181816E-2</v>
      </c>
      <c r="K6" s="6">
        <v>5</v>
      </c>
      <c r="L6" s="6">
        <v>1098</v>
      </c>
      <c r="M6" s="5" t="s">
        <v>21</v>
      </c>
    </row>
    <row r="7" spans="1:13">
      <c r="A7" s="2" t="s">
        <v>22</v>
      </c>
      <c r="B7" s="2" t="s">
        <v>16</v>
      </c>
      <c r="C7" s="2" t="s">
        <v>17</v>
      </c>
      <c r="D7" s="3">
        <v>18456</v>
      </c>
      <c r="E7" s="3">
        <v>618341</v>
      </c>
      <c r="F7" s="3">
        <v>27715</v>
      </c>
      <c r="G7" s="4">
        <f>F7/E7</f>
        <v>4.4821546687022207E-2</v>
      </c>
      <c r="H7" s="4">
        <v>0.12239999999999999</v>
      </c>
      <c r="I7" s="4">
        <v>2E-3</v>
      </c>
      <c r="J7" s="4">
        <f>K7/F7</f>
        <v>4.5318419628360092E-2</v>
      </c>
      <c r="K7" s="3">
        <v>1256</v>
      </c>
      <c r="L7" s="3">
        <v>1340</v>
      </c>
      <c r="M7" s="2" t="s">
        <v>23</v>
      </c>
    </row>
    <row r="8" spans="1:13">
      <c r="A8" s="5" t="s">
        <v>22</v>
      </c>
      <c r="B8" s="5" t="s">
        <v>19</v>
      </c>
      <c r="C8" s="5" t="s">
        <v>20</v>
      </c>
      <c r="D8" s="6">
        <v>17</v>
      </c>
      <c r="E8" s="6">
        <v>9166</v>
      </c>
      <c r="F8" s="6">
        <v>354</v>
      </c>
      <c r="G8" s="7">
        <f>F8/E8</f>
        <v>3.8620990617499455E-2</v>
      </c>
      <c r="H8" s="7">
        <v>0.1186</v>
      </c>
      <c r="I8" s="7">
        <v>1.5E-3</v>
      </c>
      <c r="J8" s="7">
        <f>K8/F8</f>
        <v>3.954802259887006E-2</v>
      </c>
      <c r="K8" s="6">
        <v>14</v>
      </c>
      <c r="L8" s="6">
        <v>1050</v>
      </c>
      <c r="M8" s="5" t="s">
        <v>24</v>
      </c>
    </row>
    <row r="9" spans="1:13">
      <c r="A9" s="2" t="s">
        <v>25</v>
      </c>
      <c r="B9" s="2" t="s">
        <v>16</v>
      </c>
      <c r="C9" s="2" t="s">
        <v>17</v>
      </c>
      <c r="D9" s="3">
        <v>18456</v>
      </c>
      <c r="E9" s="3">
        <v>2455428</v>
      </c>
      <c r="F9" s="3">
        <v>103402</v>
      </c>
      <c r="G9" s="4">
        <f>F9/E9</f>
        <v>4.211159928126583E-2</v>
      </c>
      <c r="H9" s="4">
        <v>0.14130000000000001</v>
      </c>
      <c r="I9" s="4">
        <v>2.2000000000000001E-3</v>
      </c>
      <c r="J9" s="4">
        <f>K9/F9</f>
        <v>5.320013152550241E-2</v>
      </c>
      <c r="K9" s="3">
        <v>5501</v>
      </c>
      <c r="L9" s="3">
        <v>1354</v>
      </c>
      <c r="M9" s="2" t="s">
        <v>26</v>
      </c>
    </row>
    <row r="10" spans="1:13">
      <c r="A10" s="5" t="s">
        <v>25</v>
      </c>
      <c r="B10" s="5" t="s">
        <v>27</v>
      </c>
      <c r="C10" s="5" t="s">
        <v>20</v>
      </c>
      <c r="D10" s="6">
        <v>151</v>
      </c>
      <c r="E10" s="6">
        <v>21718</v>
      </c>
      <c r="F10" s="6">
        <v>354</v>
      </c>
      <c r="G10" s="7">
        <f>F10/E10</f>
        <v>1.6299843447831291E-2</v>
      </c>
      <c r="H10" s="7">
        <v>8.1900000000000001E-2</v>
      </c>
      <c r="I10" s="7">
        <v>2.0000000000000001E-4</v>
      </c>
      <c r="J10" s="7">
        <f>K10/F10</f>
        <v>1.1299435028248588E-2</v>
      </c>
      <c r="K10" s="6">
        <v>4</v>
      </c>
      <c r="L10" s="6">
        <v>1514</v>
      </c>
      <c r="M10" s="5" t="s">
        <v>28</v>
      </c>
    </row>
    <row r="11" spans="1:13">
      <c r="A11" s="2" t="s">
        <v>29</v>
      </c>
      <c r="B11" s="2" t="s">
        <v>16</v>
      </c>
      <c r="C11" s="2" t="s">
        <v>17</v>
      </c>
      <c r="D11" s="3">
        <v>16998</v>
      </c>
      <c r="E11" s="3">
        <v>1822217</v>
      </c>
      <c r="F11" s="3">
        <v>62215</v>
      </c>
      <c r="G11" s="4">
        <f>F11/E11</f>
        <v>3.4142475896119948E-2</v>
      </c>
      <c r="H11" s="4">
        <v>0.11609999999999999</v>
      </c>
      <c r="I11" s="4">
        <v>1.9E-3</v>
      </c>
      <c r="J11" s="4">
        <f>K11/F11</f>
        <v>5.5581451418468215E-2</v>
      </c>
      <c r="K11" s="3">
        <v>3458</v>
      </c>
      <c r="L11" s="3">
        <v>1437</v>
      </c>
      <c r="M11" s="2" t="s">
        <v>30</v>
      </c>
    </row>
    <row r="12" spans="1:13">
      <c r="A12" s="5" t="s">
        <v>29</v>
      </c>
      <c r="B12" s="5" t="s">
        <v>19</v>
      </c>
      <c r="C12" s="5" t="s">
        <v>20</v>
      </c>
      <c r="D12" s="6">
        <v>39</v>
      </c>
      <c r="E12" s="6">
        <v>4349</v>
      </c>
      <c r="F12" s="6">
        <v>271</v>
      </c>
      <c r="G12" s="7">
        <f>F12/E12</f>
        <v>6.2313175442630493E-2</v>
      </c>
      <c r="H12" s="7">
        <v>0.1143</v>
      </c>
      <c r="I12" s="7">
        <v>4.7999999999999996E-3</v>
      </c>
      <c r="J12" s="7">
        <f>K12/F12</f>
        <v>7.7490774907749083E-2</v>
      </c>
      <c r="K12" s="6">
        <v>21</v>
      </c>
      <c r="L12" s="6">
        <v>1178</v>
      </c>
      <c r="M12" s="5" t="s">
        <v>31</v>
      </c>
    </row>
    <row r="14" spans="1:13">
      <c r="A14" s="15" t="s">
        <v>32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</sheetData>
  <mergeCells count="3">
    <mergeCell ref="A1:M1"/>
    <mergeCell ref="A2:M2"/>
    <mergeCell ref="A14:M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zoomScaleNormal="100" workbookViewId="0"/>
  </sheetViews>
  <sheetFormatPr defaultColWidth="8.7109375" defaultRowHeight="15"/>
  <cols>
    <col min="1" max="1" width="32" customWidth="1"/>
    <col min="2" max="3" width="20" customWidth="1"/>
    <col min="4" max="4" width="16" customWidth="1"/>
    <col min="5" max="5" width="55" customWidth="1"/>
  </cols>
  <sheetData>
    <row r="1" spans="1:5" ht="17.45">
      <c r="A1" s="14" t="s">
        <v>33</v>
      </c>
      <c r="B1" s="14"/>
      <c r="C1" s="14"/>
      <c r="D1" s="14"/>
      <c r="E1" s="14"/>
    </row>
    <row r="3" spans="1:5" ht="23.8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</row>
    <row r="4" spans="1:5">
      <c r="A4" s="8" t="s">
        <v>5</v>
      </c>
      <c r="B4" s="9">
        <f>AVERAGEIF('Сравнение по товарам'!C5:C12,"Много отзывов",'Сравнение по товарам'!D5:D12)</f>
        <v>16009.5</v>
      </c>
      <c r="C4" s="9">
        <f>AVERAGEIF('Сравнение по товарам'!C5:C12,"Мало отзывов",'Сравнение по товарам'!D5:D12)</f>
        <v>56</v>
      </c>
      <c r="D4" s="10">
        <f>B4/C4</f>
        <v>285.88392857142856</v>
      </c>
      <c r="E4" s="11" t="s">
        <v>39</v>
      </c>
    </row>
    <row r="5" spans="1:5">
      <c r="A5" s="8" t="s">
        <v>8</v>
      </c>
      <c r="B5" s="12">
        <f>AVERAGEIF('Сравнение по товарам'!C5:C12,"Много отзывов",'Сравнение по товарам'!G5:G12)</f>
        <v>4.0639089829992717E-2</v>
      </c>
      <c r="C5" s="12">
        <f>AVERAGEIF('Сравнение по товарам'!C5:C12,"Мало отзывов",'Сравнение по товарам'!G5:G12)</f>
        <v>4.0045447228137215E-2</v>
      </c>
      <c r="D5" s="12">
        <f>B5-C5</f>
        <v>5.9364260185550133E-4</v>
      </c>
      <c r="E5" s="11" t="s">
        <v>40</v>
      </c>
    </row>
    <row r="6" spans="1:5">
      <c r="A6" s="8" t="s">
        <v>9</v>
      </c>
      <c r="B6" s="12">
        <f>AVERAGEIF('Сравнение по товарам'!C5:C12,"Много отзывов",'Сравнение по товарам'!H5:H12)</f>
        <v>0.13312499999999999</v>
      </c>
      <c r="C6" s="12">
        <f>AVERAGEIF('Сравнение по товарам'!C5:C12,"Мало отзывов",'Сравнение по товарам'!H5:H12)</f>
        <v>9.857500000000001E-2</v>
      </c>
      <c r="D6" s="12">
        <f>B6-C6</f>
        <v>3.4549999999999984E-2</v>
      </c>
      <c r="E6" s="11" t="s">
        <v>41</v>
      </c>
    </row>
    <row r="7" spans="1:5">
      <c r="A7" s="8" t="s">
        <v>10</v>
      </c>
      <c r="B7" s="12">
        <f>AVERAGEIF('Сравнение по товарам'!C5:C12,"Много отзывов",'Сравнение по товарам'!I5:I12)</f>
        <v>2.2750000000000001E-3</v>
      </c>
      <c r="C7" s="12">
        <f>AVERAGEIF('Сравнение по товарам'!C5:C12,"Мало отзывов",'Сравнение по товарам'!I5:I12)</f>
        <v>2.2249999999999995E-3</v>
      </c>
      <c r="D7" s="12">
        <f>B7-C7</f>
        <v>5.0000000000000565E-5</v>
      </c>
      <c r="E7" s="11" t="s">
        <v>42</v>
      </c>
    </row>
    <row r="8" spans="1:5">
      <c r="A8" s="8" t="s">
        <v>11</v>
      </c>
      <c r="B8" s="12">
        <f>AVERAGEIF('Сравнение по товарам'!C5:C12,"Много отзывов",'Сравнение по товарам'!J5:J12)</f>
        <v>5.6541844711995221E-2</v>
      </c>
      <c r="C8" s="12">
        <f>AVERAGEIF('Сравнение по товарам'!C5:C12,"Мало отзывов",'Сравнение по товарам'!J5:J12)</f>
        <v>4.6289103588262388E-2</v>
      </c>
      <c r="D8" s="12">
        <f>B8-C8</f>
        <v>1.0252741123732832E-2</v>
      </c>
      <c r="E8" s="11" t="s">
        <v>43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tabSelected="1" zoomScaleNormal="100" workbookViewId="0">
      <selection activeCell="E9" sqref="E9"/>
    </sheetView>
  </sheetViews>
  <sheetFormatPr defaultColWidth="8.7109375" defaultRowHeight="15"/>
  <cols>
    <col min="1" max="1" width="7" customWidth="1"/>
    <col min="2" max="2" width="16" customWidth="1"/>
    <col min="3" max="3" width="18" customWidth="1"/>
  </cols>
  <sheetData>
    <row r="1" spans="1:3" ht="18">
      <c r="A1" s="14" t="s">
        <v>44</v>
      </c>
      <c r="B1" s="14"/>
      <c r="C1" s="14"/>
    </row>
    <row r="3" spans="1:3" ht="36">
      <c r="A3" s="1" t="s">
        <v>45</v>
      </c>
      <c r="B3" s="1" t="s">
        <v>46</v>
      </c>
      <c r="C3" s="1" t="s">
        <v>47</v>
      </c>
    </row>
    <row r="4" spans="1:3">
      <c r="A4" s="8">
        <v>1</v>
      </c>
      <c r="B4" s="9">
        <v>1</v>
      </c>
      <c r="C4" s="13">
        <f>B4</f>
        <v>1</v>
      </c>
    </row>
    <row r="5" spans="1:3">
      <c r="A5" s="8">
        <v>2</v>
      </c>
      <c r="B5" s="9">
        <v>4</v>
      </c>
      <c r="C5" s="13">
        <f>B4+B5</f>
        <v>5</v>
      </c>
    </row>
    <row r="6" spans="1:3">
      <c r="A6" s="8">
        <v>3</v>
      </c>
      <c r="B6" s="9">
        <v>6</v>
      </c>
      <c r="C6" s="13">
        <f>C5+B6</f>
        <v>11</v>
      </c>
    </row>
    <row r="7" spans="1:3">
      <c r="A7" s="8">
        <v>4</v>
      </c>
      <c r="B7" s="9">
        <v>10</v>
      </c>
      <c r="C7" s="13">
        <f>C6+B7</f>
        <v>21</v>
      </c>
    </row>
    <row r="8" spans="1:3">
      <c r="A8" s="8">
        <v>5</v>
      </c>
      <c r="B8" s="9">
        <v>13</v>
      </c>
      <c r="C8" s="13">
        <f t="shared" ref="C8:C11" si="0">C7+B8</f>
        <v>34</v>
      </c>
    </row>
    <row r="9" spans="1:3">
      <c r="A9" s="8">
        <v>6</v>
      </c>
      <c r="B9" s="9">
        <v>17</v>
      </c>
      <c r="C9" s="13">
        <f t="shared" si="0"/>
        <v>51</v>
      </c>
    </row>
    <row r="10" spans="1:3">
      <c r="A10" s="8">
        <v>7</v>
      </c>
      <c r="B10" s="9">
        <v>23</v>
      </c>
      <c r="C10" s="13">
        <f t="shared" si="0"/>
        <v>74</v>
      </c>
    </row>
    <row r="11" spans="1:3">
      <c r="A11" s="8">
        <v>8</v>
      </c>
      <c r="B11" s="9">
        <v>26</v>
      </c>
      <c r="C11" s="13">
        <f t="shared" si="0"/>
        <v>100</v>
      </c>
    </row>
  </sheetData>
  <mergeCells count="1">
    <mergeCell ref="A1:C1"/>
  </mergeCells>
  <conditionalFormatting sqref="A4:C11">
    <cfRule type="expression" dxfId="2" priority="5">
      <formula>#REF!="Разгон"</formula>
    </cfRule>
    <cfRule type="expression" dxfId="1" priority="6">
      <formula>#REF!="Основной поток"</formula>
    </cfRule>
    <cfRule type="expression" dxfId="0" priority="7">
      <formula>#REF!="Плавный финиш"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Наталья Пилецкая</cp:lastModifiedBy>
  <cp:revision>0</cp:revision>
  <dcterms:created xsi:type="dcterms:W3CDTF">2026-08-06T05:27:05Z</dcterms:created>
  <dcterms:modified xsi:type="dcterms:W3CDTF">2026-08-06T06:00:35Z</dcterms:modified>
  <cp:category/>
  <cp:contentStatus/>
</cp:coreProperties>
</file>
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Maria\Downloads\"/>
    </mc:Choice>
  </mc:AlternateContent>
  <xr:revisionPtr revIDLastSave="0" documentId="8_{07FC3FDC-18A4-4E88-BF6B-AC931A06F90B}" xr6:coauthVersionLast="47" xr6:coauthVersionMax="47" xr10:uidLastSave="{00000000-0000-0000-0000-000000000000}"/>
  <bookViews>
    <workbookView xWindow="-98" yWindow="-98" windowWidth="21795" windowHeight="12975" tabRatio="500" xr2:uid="{00000000-000D-0000-FFFF-FFFF00000000}"/>
  </bookViews>
  <sheets>
    <sheet name="Invoice" sheetId="1" r:id="rId1"/>
  </sheets>
  <definedNames>
    <definedName name="_xlnm._FilterDatabase" localSheetId="0" hidden="1">Invoice!$A$2:$E$54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1" i="1" l="1"/>
</calcChain>
</file>

<file path=xl/sharedStrings.xml><?xml version="1.0" encoding="utf-8"?>
<sst xmlns="http://schemas.openxmlformats.org/spreadsheetml/2006/main" count="151" uniqueCount="67">
  <si>
    <t>HS-CODE</t>
  </si>
  <si>
    <t>Brand</t>
  </si>
  <si>
    <t>Description of Goods</t>
  </si>
  <si>
    <t xml:space="preserve">ORDER Q'TY       </t>
  </si>
  <si>
    <t>Product name</t>
  </si>
  <si>
    <t>barcode</t>
  </si>
  <si>
    <t>3304.99-1000</t>
  </si>
  <si>
    <t>CELIMAX</t>
  </si>
  <si>
    <t>CELIMAX DUAL BARRIER CREAMY TONER 150ML</t>
  </si>
  <si>
    <t>3307.90-9000</t>
  </si>
  <si>
    <t>CELIMAX JI WOO GAE HEARTLEAF BHA PEELING PAD 60PADS</t>
  </si>
  <si>
    <t>CELIMAX THE REAL NONI STARTER KIT</t>
  </si>
  <si>
    <t>CELIMAX DUAL BARRIER TRIAL KIT</t>
  </si>
  <si>
    <t>3401.30-0000</t>
  </si>
  <si>
    <t>CELIMAX THE REAL NONI ACNE BUBBLE CLEANSER 155ML</t>
  </si>
  <si>
    <t xml:space="preserve">8809541379468					</t>
  </si>
  <si>
    <t>CELIMAX DERMA NATURE FRESH BLACKHEAD JOJOBA CLEANSING OIL 150ML</t>
  </si>
  <si>
    <t>CELIMAX THE REAL NONI CALMING GLOW PAD 50EA</t>
  </si>
  <si>
    <t>CELIMAX THE REAL CICA SOOTHING CREAM 50ML</t>
  </si>
  <si>
    <t>CELIMAX THE REAL CICA NIACINAMIDE AC CALMING SERUM 40ML</t>
  </si>
  <si>
    <t>CELIMAX THE REAL NONI ENERGY REPAIR CREAM 50ML</t>
  </si>
  <si>
    <t>CELIMAX OIL CONTROL MOISTURIZING CREAM 80ML</t>
  </si>
  <si>
    <t>CELIMAX PORE+DARK SPOT BRIGHTENING KIT</t>
  </si>
  <si>
    <t>CELIMAX ONE STEP BODY BRIGHTENING PAD 60PADS</t>
  </si>
  <si>
    <t>CELIMAX JI WOO GAE ONE STEP MILD CLEANSING PAD 60PADS</t>
  </si>
  <si>
    <t>CELIMAX DUAL BARRIER MILD GEL CLEANSER 200ML</t>
  </si>
  <si>
    <t>CELIMAX THE REAL NONI REFRESH CLAY MASK 120G</t>
  </si>
  <si>
    <t>CELIMAX DERMA NATURE GLUTATHIONE LONGLASTING TONE-UP CREAM 35ML</t>
  </si>
  <si>
    <t>CELIMAX DERMA NATURE RELIEF MADECICA PH BALANCING FOAM CLEANSING 150ML</t>
  </si>
  <si>
    <t>Round Lab</t>
  </si>
  <si>
    <t xml:space="preserve">1025 DOKDO CLEANSER_150ml  </t>
  </si>
  <si>
    <t>1025 DOKDO BUBBLE FOAM_150ml</t>
  </si>
  <si>
    <t>PINE CALMING CICA CLEANSER_150ml</t>
  </si>
  <si>
    <t>PINE CALMING CICA BODY WASH_400ml</t>
  </si>
  <si>
    <t>PINE CALMING CICA CREAM PLUS_60ml</t>
  </si>
  <si>
    <t>ROUND LAB CAMELLIA DEEP COLLAGEN FIRMING CREAM_50ml</t>
  </si>
  <si>
    <t>1025 DOKDO TONER_200ml</t>
  </si>
  <si>
    <t>PINE CALMING CICA PAD_50pcs</t>
  </si>
  <si>
    <t>SOYBEAN SERUM_50ml</t>
  </si>
  <si>
    <t>ROUND LAB STICK POUCH KIT</t>
  </si>
  <si>
    <t>SKIN1004</t>
  </si>
  <si>
    <t>SKIN1004 Madagascar Centella Ampoule 55ml</t>
  </si>
  <si>
    <t>SKIN1004 Madagascar Centella Tone Brightening Capsule Ampoule 100ml</t>
  </si>
  <si>
    <t>SKIN1004 Madagascar Centella Soothing Cream 75ml</t>
  </si>
  <si>
    <t>MEDICUBE</t>
  </si>
  <si>
    <t>PDRN PINK PEPTIDE SERUM 30ml</t>
  </si>
  <si>
    <t>PDRN PINK EXOSOME SHOT SERUM 7500 30ml</t>
  </si>
  <si>
    <t>PDRN PINK EXOSOME SHOT SERUM 2000 30ml</t>
  </si>
  <si>
    <t>TXA NIACINAMIDE CAPSULE CREAM 55g</t>
  </si>
  <si>
    <t>PDRN PINK COLLAGEN CAPSULE CREAM 55g</t>
  </si>
  <si>
    <t>PDRN PINK HYALURONIC MOISTURIZING CREAM 50ml</t>
  </si>
  <si>
    <t>VT COSMETICS</t>
  </si>
  <si>
    <t>VT REEDLE S LIP PLUMPER EXPERT</t>
  </si>
  <si>
    <t>DERMA FACTORY</t>
  </si>
  <si>
    <t>[Derma Factory] PDRN 4% Ampoule</t>
  </si>
  <si>
    <t>[Derma Factory] Tranexamic Acid 6% Cream</t>
  </si>
  <si>
    <t>[Derma Factory] Retinal 300ppm Cream</t>
  </si>
  <si>
    <t>[Derma Factory] Niacinamide 20% Serum</t>
  </si>
  <si>
    <t>[Derma Factory] Porphyrin 20% Ampoule stick</t>
  </si>
  <si>
    <t>[Derma Factory]  Bakuchiol Spicule Cream</t>
  </si>
  <si>
    <t>[Derma Factory] Matrixyl 15% +  Argireline 2% Serum</t>
  </si>
  <si>
    <t>8809331317182</t>
  </si>
  <si>
    <t>Manyo</t>
  </si>
  <si>
    <t>BIFIDA BIOME AMPOULE TONER 210ml</t>
  </si>
  <si>
    <t xml:space="preserve">Container </t>
  </si>
  <si>
    <t>Container 40pt box loading costs</t>
  </si>
  <si>
    <t>Total Q'TY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</si>
</sst>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7" formatCode="_-* #,##0_-;\-* #,##0_-;_-* \-_-;_-@_-"/>
    <numFmt numFmtId="168" formatCode="_-[$₩-412]* #,##0_-;\-[$₩-412]* #,##0_-;_-[$₩-412]* \-??_-;_-@_-"/>
    <numFmt numFmtId="172" formatCode="0_);[Red]\(0\)"/>
    <numFmt numFmtId="181" formatCode="0_ "/>
  </numFmts>
  <fonts count="13">
    <font>
      <sz val="11"/>
      <color rgb="FF000000"/>
      <name val="맑은 고딕"/>
      <charset val="1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sz val="10"/>
      <name val="Calibri"/>
      <family val="2"/>
      <scheme val="minor"/>
    </font>
    <font>
      <sz val="11"/>
      <name val="돋움"/>
      <family val="3"/>
      <charset val="129"/>
    </font>
    <font>
      <sz val="16"/>
      <name val="돋움"/>
      <family val="3"/>
      <charset val="129"/>
    </font>
    <font>
      <sz val="10"/>
      <color rgb="FF000000"/>
      <name val="Calibri"/>
      <family val="2"/>
      <scheme val="minor"/>
    </font>
    <font>
      <sz val="11"/>
      <color rgb="FF000000"/>
      <name val="맑은 고딕"/>
      <family val="3"/>
      <charset val="129"/>
    </font>
    <font>
      <b/>
      <sz val="10"/>
      <name val="Calibri"/>
      <family val="2"/>
      <scheme val="minor"/>
    </font>
    <font>
      <b/>
      <sz val="10"/>
      <color rgb="FF333333"/>
      <name val="Calibri"/>
      <family val="2"/>
      <scheme val="minor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sz val="8"/>
      <name val="돋움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theme="0"/>
        <bgColor rgb="FFFFFF0B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CC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B"/>
      </patternFill>
    </fill>
    <fill>
      <patternFill patternType="solid">
        <fgColor rgb="FFFFFF00"/>
        <bgColor rgb="FFCCFFFF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CCFFFF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33CCCC"/>
      </patternFill>
    </fill>
    <fill>
      <patternFill patternType="solid">
        <fgColor theme="0"/>
        <bgColor rgb="FFCCCCFF"/>
      </patternFill>
    </fill>
  </fills>
  <borders count="12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167" fontId="7" fillId="0" borderId="0" applyBorder="0" applyProtection="0"/>
    <xf numFmtId="167" fontId="7" fillId="0" borderId="0" applyBorder="0" applyProtection="0"/>
    <xf numFmtId="0" fontId="7" fillId="0" borderId="0"/>
    <xf numFmtId="0" fontId="7" fillId="0" borderId="0">
      <alignment vertical="center"/>
    </xf>
    <xf numFmtId="0" fontId="4" fillId="0" borderId="0">
      <alignment vertical="center"/>
    </xf>
    <xf numFmtId="168" fontId="10" fillId="0" borderId="0">
      <alignment vertical="center"/>
    </xf>
    <xf numFmtId="0" fontId="11" fillId="0" borderId="0"/>
    <xf numFmtId="0" fontId="4" fillId="0" borderId="0"/>
  </cellStyleXfs>
  <cellXfs count="4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72" fontId="3" fillId="2" borderId="4" xfId="0" applyNumberFormat="1" applyFont="1" applyFill="1" applyBorder="1" applyAlignment="1">
      <alignment horizontal="center" vertical="center"/>
    </xf>
    <xf numFmtId="172" fontId="3" fillId="3" borderId="4" xfId="0" applyNumberFormat="1" applyFont="1" applyFill="1" applyBorder="1" applyAlignment="1">
      <alignment horizontal="center" vertical="center"/>
    </xf>
    <xf numFmtId="172" fontId="3" fillId="3" borderId="4" xfId="0" applyNumberFormat="1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left" vertical="center"/>
    </xf>
    <xf numFmtId="0" fontId="0" fillId="5" borderId="0" xfId="0" applyFill="1"/>
    <xf numFmtId="0" fontId="3" fillId="0" borderId="2" xfId="8" applyFont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left" vertical="center"/>
    </xf>
    <xf numFmtId="172" fontId="3" fillId="7" borderId="4" xfId="0" applyNumberFormat="1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right"/>
    </xf>
    <xf numFmtId="0" fontId="2" fillId="5" borderId="0" xfId="0" applyFont="1" applyFill="1" applyAlignment="1">
      <alignment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left" vertical="center"/>
    </xf>
    <xf numFmtId="0" fontId="3" fillId="9" borderId="4" xfId="0" applyFont="1" applyFill="1" applyBorder="1" applyAlignment="1">
      <alignment horizontal="right"/>
    </xf>
    <xf numFmtId="0" fontId="3" fillId="3" borderId="4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/>
    </xf>
    <xf numFmtId="0" fontId="3" fillId="10" borderId="4" xfId="0" applyFont="1" applyFill="1" applyBorder="1" applyAlignment="1">
      <alignment horizontal="right"/>
    </xf>
    <xf numFmtId="0" fontId="3" fillId="3" borderId="11" xfId="0" applyFont="1" applyFill="1" applyBorder="1" applyAlignment="1">
      <alignment horizontal="center"/>
    </xf>
    <xf numFmtId="0" fontId="3" fillId="11" borderId="4" xfId="0" applyFont="1" applyFill="1" applyBorder="1" applyAlignment="1">
      <alignment horizontal="right"/>
    </xf>
    <xf numFmtId="0" fontId="3" fillId="12" borderId="4" xfId="0" applyFont="1" applyFill="1" applyBorder="1" applyAlignment="1">
      <alignment horizontal="right"/>
    </xf>
    <xf numFmtId="0" fontId="3" fillId="13" borderId="11" xfId="0" applyFont="1" applyFill="1" applyBorder="1" applyAlignment="1">
      <alignment horizontal="center"/>
    </xf>
    <xf numFmtId="172" fontId="3" fillId="4" borderId="4" xfId="1" applyNumberFormat="1" applyFont="1" applyFill="1" applyBorder="1" applyAlignment="1" applyProtection="1">
      <alignment horizontal="left" vertical="center" wrapText="1"/>
    </xf>
    <xf numFmtId="172" fontId="3" fillId="4" borderId="4" xfId="1" applyNumberFormat="1" applyFont="1" applyFill="1" applyBorder="1" applyAlignment="1" applyProtection="1">
      <alignment horizontal="center" vertical="center"/>
    </xf>
    <xf numFmtId="181" fontId="3" fillId="4" borderId="4" xfId="0" applyNumberFormat="1" applyFont="1" applyFill="1" applyBorder="1" applyAlignment="1">
      <alignment horizontal="center" vertical="center"/>
    </xf>
    <xf numFmtId="172" fontId="3" fillId="4" borderId="4" xfId="0" applyNumberFormat="1" applyFont="1" applyFill="1" applyBorder="1" applyAlignment="1">
      <alignment horizontal="center" vertical="center"/>
    </xf>
    <xf numFmtId="1" fontId="3" fillId="4" borderId="4" xfId="0" applyNumberFormat="1" applyFont="1" applyFill="1" applyBorder="1" applyAlignment="1">
      <alignment horizontal="center" vertical="center" wrapText="1"/>
    </xf>
    <xf numFmtId="1" fontId="3" fillId="3" borderId="4" xfId="0" applyNumberFormat="1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left" vertical="center"/>
    </xf>
    <xf numFmtId="1" fontId="6" fillId="3" borderId="4" xfId="0" applyNumberFormat="1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right"/>
    </xf>
    <xf numFmtId="1" fontId="6" fillId="4" borderId="4" xfId="0" applyNumberFormat="1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left"/>
    </xf>
    <xf numFmtId="181" fontId="6" fillId="3" borderId="4" xfId="0" applyNumberFormat="1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right"/>
    </xf>
    <xf numFmtId="0" fontId="6" fillId="3" borderId="4" xfId="0" applyFont="1" applyFill="1" applyBorder="1" applyAlignment="1">
      <alignment horizontal="right"/>
    </xf>
    <xf numFmtId="181" fontId="9" fillId="3" borderId="7" xfId="0" applyNumberFormat="1" applyFont="1" applyFill="1" applyBorder="1" applyAlignment="1">
      <alignment horizontal="right" vertical="center"/>
    </xf>
    <xf numFmtId="0" fontId="4" fillId="0" borderId="1" xfId="8" applyBorder="1" applyAlignment="1">
      <alignment horizontal="left" vertical="center"/>
    </xf>
    <xf numFmtId="0" fontId="4" fillId="0" borderId="0" xfId="8" applyAlignment="1">
      <alignment horizontal="left" vertical="center"/>
    </xf>
    <xf numFmtId="0" fontId="5" fillId="0" borderId="0" xfId="8" applyFont="1" applyAlignment="1">
      <alignment horizontal="center" vertical="center"/>
    </xf>
    <xf numFmtId="0" fontId="3" fillId="0" borderId="3" xfId="8" applyFont="1" applyBorder="1" applyAlignment="1">
      <alignment horizontal="center" vertical="center" wrapText="1"/>
    </xf>
    <xf numFmtId="0" fontId="8" fillId="3" borderId="5" xfId="8" applyFont="1" applyFill="1" applyBorder="1" applyAlignment="1">
      <alignment horizontal="right" vertical="center"/>
    </xf>
    <xf numFmtId="0" fontId="3" fillId="0" borderId="8" xfId="8" applyFont="1" applyBorder="1" applyAlignment="1">
      <alignment horizontal="center" vertical="center" wrapText="1"/>
    </xf>
    <xf numFmtId="0" fontId="3" fillId="0" borderId="6" xfId="8" applyFont="1" applyBorder="1" applyAlignment="1">
      <alignment horizontal="center" vertical="center" wrapText="1"/>
    </xf>
    <xf numFmtId="0" fontId="3" fillId="0" borderId="9" xfId="8" applyFont="1" applyBorder="1" applyAlignment="1">
      <alignment horizontal="center" vertical="center" wrapText="1"/>
    </xf>
  </cellXfs>
  <cellStyles count="9">
    <cellStyle name="Excel Built-in Comma [0] 1" xfId="1" xr:uid="{00000000-0005-0000-0000-000031000000}"/>
    <cellStyle name="Обычный" xfId="0" builtinId="0"/>
    <cellStyle name="쉼표 [0] 4" xfId="2" xr:uid="{00000000-0005-0000-0000-000032000000}"/>
    <cellStyle name="표준 107" xfId="3" xr:uid="{00000000-0005-0000-0000-000033000000}"/>
    <cellStyle name="표준 2" xfId="4" xr:uid="{00000000-0005-0000-0000-000034000000}"/>
    <cellStyle name="표준 2 2" xfId="5" xr:uid="{00000000-0005-0000-0000-000035000000}"/>
    <cellStyle name="표준 4" xfId="6" xr:uid="{00000000-0005-0000-0000-000036000000}"/>
    <cellStyle name="표준 5" xfId="7" xr:uid="{00000000-0005-0000-0000-000037000000}"/>
    <cellStyle name="표준_Sheet2" xfId="8" xr:uid="{00000000-0005-0000-0000-000038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A933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B"/>
      <rgbColor rgb="0000FFFF"/>
      <rgbColor rgb="00800080"/>
      <rgbColor rgb="00800000"/>
      <rgbColor rgb="00008080"/>
      <rgbColor rgb="000000FF"/>
      <rgbColor rgb="0000B0F0"/>
      <rgbColor rgb="00CCFFFF"/>
      <rgbColor rgb="00D3F1DB"/>
      <rgbColor rgb="00FFFF99"/>
      <rgbColor rgb="0099CCFF"/>
      <rgbColor rgb="00FF99CC"/>
      <rgbColor rgb="00CC99FF"/>
      <rgbColor rgb="00F8D2D7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00B050"/>
      <rgbColor rgb="00003300"/>
      <rgbColor rgb="00242424"/>
      <rgbColor rgb="00FB0007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J52"/>
  <sheetViews>
    <sheetView tabSelected="1" zoomScale="70" zoomScaleNormal="70" workbookViewId="0">
      <selection activeCell="F3" sqref="F3:G51"/>
    </sheetView>
  </sheetViews>
  <sheetFormatPr defaultColWidth="9" defaultRowHeight="16.899999999999999"/>
  <cols>
    <col min="1" max="2" width="19.25" style="2" customWidth="1"/>
    <col min="3" max="3" width="71.125" style="2" customWidth="1"/>
    <col min="4" max="4" width="20" style="2" customWidth="1"/>
    <col min="5" max="5" width="15" style="2" customWidth="1"/>
    <col min="6" max="997" width="9.75" style="2" customWidth="1"/>
    <col min="998" max="999" width="10.625" customWidth="1"/>
  </cols>
  <sheetData>
    <row r="1" spans="1:998" ht="17.25" thickBot="1"/>
    <row r="2" spans="1:998" s="1" customFormat="1" ht="13.9" customHeight="1" thickBot="1">
      <c r="A2" s="45" t="s">
        <v>0</v>
      </c>
      <c r="B2" s="46" t="s">
        <v>1</v>
      </c>
      <c r="C2" s="43" t="s">
        <v>2</v>
      </c>
      <c r="D2" s="43"/>
      <c r="E2" s="46" t="s">
        <v>3</v>
      </c>
      <c r="ALJ2"/>
    </row>
    <row r="3" spans="1:998" ht="31.5" customHeight="1">
      <c r="A3" s="45" t="s">
        <v>1</v>
      </c>
      <c r="B3" s="47"/>
      <c r="C3" s="8" t="s">
        <v>4</v>
      </c>
      <c r="D3" s="8" t="s">
        <v>5</v>
      </c>
      <c r="E3" s="46"/>
    </row>
    <row r="4" spans="1:998" s="7" customFormat="1" ht="21" customHeight="1">
      <c r="A4" s="9" t="s">
        <v>6</v>
      </c>
      <c r="B4" s="9" t="s">
        <v>7</v>
      </c>
      <c r="C4" s="10" t="s">
        <v>8</v>
      </c>
      <c r="D4" s="11">
        <v>8809606850475</v>
      </c>
      <c r="E4" s="12">
        <v>25008</v>
      </c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  <c r="IF4" s="13"/>
      <c r="IG4" s="13"/>
      <c r="IH4" s="13"/>
      <c r="II4" s="13"/>
      <c r="IJ4" s="13"/>
      <c r="IK4" s="13"/>
      <c r="IL4" s="13"/>
      <c r="IM4" s="13"/>
      <c r="IN4" s="13"/>
      <c r="IO4" s="13"/>
      <c r="IP4" s="13"/>
      <c r="IQ4" s="13"/>
      <c r="IR4" s="13"/>
      <c r="IS4" s="13"/>
      <c r="IT4" s="13"/>
      <c r="IU4" s="13"/>
      <c r="IV4" s="13"/>
      <c r="IW4" s="13"/>
      <c r="IX4" s="13"/>
      <c r="IY4" s="13"/>
      <c r="IZ4" s="13"/>
      <c r="JA4" s="13"/>
      <c r="JB4" s="13"/>
      <c r="JC4" s="13"/>
      <c r="JD4" s="13"/>
      <c r="JE4" s="13"/>
      <c r="JF4" s="13"/>
      <c r="JG4" s="13"/>
      <c r="JH4" s="13"/>
      <c r="JI4" s="13"/>
      <c r="JJ4" s="13"/>
      <c r="JK4" s="13"/>
      <c r="JL4" s="13"/>
      <c r="JM4" s="13"/>
      <c r="JN4" s="13"/>
      <c r="JO4" s="13"/>
      <c r="JP4" s="13"/>
      <c r="JQ4" s="13"/>
      <c r="JR4" s="13"/>
      <c r="JS4" s="13"/>
      <c r="JT4" s="13"/>
      <c r="JU4" s="13"/>
      <c r="JV4" s="13"/>
      <c r="JW4" s="13"/>
      <c r="JX4" s="13"/>
      <c r="JY4" s="13"/>
      <c r="JZ4" s="13"/>
      <c r="KA4" s="13"/>
      <c r="KB4" s="13"/>
      <c r="KC4" s="13"/>
      <c r="KD4" s="13"/>
      <c r="KE4" s="13"/>
      <c r="KF4" s="13"/>
      <c r="KG4" s="13"/>
      <c r="KH4" s="13"/>
      <c r="KI4" s="13"/>
      <c r="KJ4" s="13"/>
      <c r="KK4" s="13"/>
      <c r="KL4" s="13"/>
      <c r="KM4" s="13"/>
      <c r="KN4" s="13"/>
      <c r="KO4" s="13"/>
      <c r="KP4" s="13"/>
      <c r="KQ4" s="13"/>
      <c r="KR4" s="13"/>
      <c r="KS4" s="13"/>
      <c r="KT4" s="13"/>
      <c r="KU4" s="13"/>
      <c r="KV4" s="13"/>
      <c r="KW4" s="13"/>
      <c r="KX4" s="13"/>
      <c r="KY4" s="13"/>
      <c r="KZ4" s="13"/>
      <c r="LA4" s="13"/>
      <c r="LB4" s="13"/>
      <c r="LC4" s="13"/>
      <c r="LD4" s="13"/>
      <c r="LE4" s="13"/>
      <c r="LF4" s="13"/>
      <c r="LG4" s="13"/>
      <c r="LH4" s="13"/>
      <c r="LI4" s="13"/>
      <c r="LJ4" s="13"/>
      <c r="LK4" s="13"/>
      <c r="LL4" s="13"/>
      <c r="LM4" s="13"/>
      <c r="LN4" s="13"/>
      <c r="LO4" s="13"/>
      <c r="LP4" s="13"/>
      <c r="LQ4" s="13"/>
      <c r="LR4" s="13"/>
      <c r="LS4" s="13"/>
      <c r="LT4" s="13"/>
      <c r="LU4" s="13"/>
      <c r="LV4" s="13"/>
      <c r="LW4" s="13"/>
      <c r="LX4" s="13"/>
      <c r="LY4" s="13"/>
      <c r="LZ4" s="13"/>
      <c r="MA4" s="13"/>
      <c r="MB4" s="13"/>
      <c r="MC4" s="13"/>
      <c r="MD4" s="13"/>
      <c r="ME4" s="13"/>
      <c r="MF4" s="13"/>
      <c r="MG4" s="13"/>
      <c r="MH4" s="13"/>
      <c r="MI4" s="13"/>
      <c r="MJ4" s="13"/>
      <c r="MK4" s="13"/>
      <c r="ML4" s="13"/>
      <c r="MM4" s="13"/>
      <c r="MN4" s="13"/>
      <c r="MO4" s="13"/>
      <c r="MP4" s="13"/>
      <c r="MQ4" s="13"/>
      <c r="MR4" s="13"/>
      <c r="MS4" s="13"/>
      <c r="MT4" s="13"/>
      <c r="MU4" s="13"/>
      <c r="MV4" s="13"/>
      <c r="MW4" s="13"/>
      <c r="MX4" s="13"/>
      <c r="MY4" s="13"/>
      <c r="MZ4" s="13"/>
      <c r="NA4" s="13"/>
      <c r="NB4" s="13"/>
      <c r="NC4" s="13"/>
      <c r="ND4" s="13"/>
      <c r="NE4" s="13"/>
      <c r="NF4" s="13"/>
      <c r="NG4" s="13"/>
      <c r="NH4" s="13"/>
      <c r="NI4" s="13"/>
      <c r="NJ4" s="13"/>
      <c r="NK4" s="13"/>
      <c r="NL4" s="13"/>
      <c r="NM4" s="13"/>
      <c r="NN4" s="13"/>
      <c r="NO4" s="13"/>
      <c r="NP4" s="13"/>
      <c r="NQ4" s="13"/>
      <c r="NR4" s="13"/>
      <c r="NS4" s="13"/>
      <c r="NT4" s="13"/>
      <c r="NU4" s="13"/>
      <c r="NV4" s="13"/>
      <c r="NW4" s="13"/>
      <c r="NX4" s="13"/>
      <c r="NY4" s="13"/>
      <c r="NZ4" s="13"/>
      <c r="OA4" s="13"/>
      <c r="OB4" s="13"/>
      <c r="OC4" s="13"/>
      <c r="OD4" s="13"/>
      <c r="OE4" s="13"/>
      <c r="OF4" s="13"/>
      <c r="OG4" s="13"/>
      <c r="OH4" s="13"/>
      <c r="OI4" s="13"/>
      <c r="OJ4" s="13"/>
      <c r="OK4" s="13"/>
      <c r="OL4" s="13"/>
      <c r="OM4" s="13"/>
      <c r="ON4" s="13"/>
      <c r="OO4" s="13"/>
      <c r="OP4" s="13"/>
      <c r="OQ4" s="13"/>
      <c r="OR4" s="13"/>
      <c r="OS4" s="13"/>
      <c r="OT4" s="13"/>
      <c r="OU4" s="13"/>
      <c r="OV4" s="13"/>
      <c r="OW4" s="13"/>
      <c r="OX4" s="13"/>
      <c r="OY4" s="13"/>
      <c r="OZ4" s="13"/>
      <c r="PA4" s="13"/>
      <c r="PB4" s="13"/>
      <c r="PC4" s="13"/>
      <c r="PD4" s="13"/>
      <c r="PE4" s="13"/>
      <c r="PF4" s="13"/>
      <c r="PG4" s="13"/>
      <c r="PH4" s="13"/>
      <c r="PI4" s="13"/>
      <c r="PJ4" s="13"/>
      <c r="PK4" s="13"/>
      <c r="PL4" s="13"/>
      <c r="PM4" s="13"/>
      <c r="PN4" s="13"/>
      <c r="PO4" s="13"/>
      <c r="PP4" s="13"/>
      <c r="PQ4" s="13"/>
      <c r="PR4" s="13"/>
      <c r="PS4" s="13"/>
      <c r="PT4" s="13"/>
      <c r="PU4" s="13"/>
      <c r="PV4" s="13"/>
      <c r="PW4" s="13"/>
      <c r="PX4" s="13"/>
      <c r="PY4" s="13"/>
      <c r="PZ4" s="13"/>
      <c r="QA4" s="13"/>
      <c r="QB4" s="13"/>
      <c r="QC4" s="13"/>
      <c r="QD4" s="13"/>
      <c r="QE4" s="13"/>
      <c r="QF4" s="13"/>
      <c r="QG4" s="13"/>
      <c r="QH4" s="13"/>
      <c r="QI4" s="13"/>
      <c r="QJ4" s="13"/>
      <c r="QK4" s="13"/>
      <c r="QL4" s="13"/>
      <c r="QM4" s="13"/>
      <c r="QN4" s="13"/>
      <c r="QO4" s="13"/>
      <c r="QP4" s="13"/>
      <c r="QQ4" s="13"/>
      <c r="QR4" s="13"/>
      <c r="QS4" s="13"/>
      <c r="QT4" s="13"/>
      <c r="QU4" s="13"/>
      <c r="QV4" s="13"/>
      <c r="QW4" s="13"/>
      <c r="QX4" s="13"/>
      <c r="QY4" s="13"/>
      <c r="QZ4" s="13"/>
      <c r="RA4" s="13"/>
      <c r="RB4" s="13"/>
      <c r="RC4" s="13"/>
      <c r="RD4" s="13"/>
      <c r="RE4" s="13"/>
      <c r="RF4" s="13"/>
      <c r="RG4" s="13"/>
      <c r="RH4" s="13"/>
      <c r="RI4" s="13"/>
      <c r="RJ4" s="13"/>
      <c r="RK4" s="13"/>
      <c r="RL4" s="13"/>
      <c r="RM4" s="13"/>
      <c r="RN4" s="13"/>
      <c r="RO4" s="13"/>
      <c r="RP4" s="13"/>
      <c r="RQ4" s="13"/>
      <c r="RR4" s="13"/>
      <c r="RS4" s="13"/>
      <c r="RT4" s="13"/>
      <c r="RU4" s="13"/>
      <c r="RV4" s="13"/>
      <c r="RW4" s="13"/>
      <c r="RX4" s="13"/>
      <c r="RY4" s="13"/>
      <c r="RZ4" s="13"/>
      <c r="SA4" s="13"/>
      <c r="SB4" s="13"/>
      <c r="SC4" s="13"/>
      <c r="SD4" s="13"/>
      <c r="SE4" s="13"/>
      <c r="SF4" s="13"/>
      <c r="SG4" s="13"/>
      <c r="SH4" s="13"/>
      <c r="SI4" s="13"/>
      <c r="SJ4" s="13"/>
      <c r="SK4" s="13"/>
      <c r="SL4" s="13"/>
      <c r="SM4" s="13"/>
      <c r="SN4" s="13"/>
      <c r="SO4" s="13"/>
      <c r="SP4" s="13"/>
      <c r="SQ4" s="13"/>
      <c r="SR4" s="13"/>
      <c r="SS4" s="13"/>
      <c r="ST4" s="13"/>
      <c r="SU4" s="13"/>
      <c r="SV4" s="13"/>
      <c r="SW4" s="13"/>
      <c r="SX4" s="13"/>
      <c r="SY4" s="13"/>
      <c r="SZ4" s="13"/>
      <c r="TA4" s="13"/>
      <c r="TB4" s="13"/>
      <c r="TC4" s="13"/>
      <c r="TD4" s="13"/>
      <c r="TE4" s="13"/>
      <c r="TF4" s="13"/>
      <c r="TG4" s="13"/>
      <c r="TH4" s="13"/>
      <c r="TI4" s="13"/>
      <c r="TJ4" s="13"/>
      <c r="TK4" s="13"/>
      <c r="TL4" s="13"/>
      <c r="TM4" s="13"/>
      <c r="TN4" s="13"/>
      <c r="TO4" s="13"/>
      <c r="TP4" s="13"/>
      <c r="TQ4" s="13"/>
      <c r="TR4" s="13"/>
      <c r="TS4" s="13"/>
      <c r="TT4" s="13"/>
      <c r="TU4" s="13"/>
      <c r="TV4" s="13"/>
      <c r="TW4" s="13"/>
      <c r="TX4" s="13"/>
      <c r="TY4" s="13"/>
      <c r="TZ4" s="13"/>
      <c r="UA4" s="13"/>
      <c r="UB4" s="13"/>
      <c r="UC4" s="13"/>
      <c r="UD4" s="13"/>
      <c r="UE4" s="13"/>
      <c r="UF4" s="13"/>
      <c r="UG4" s="13"/>
      <c r="UH4" s="13"/>
      <c r="UI4" s="13"/>
      <c r="UJ4" s="13"/>
      <c r="UK4" s="13"/>
      <c r="UL4" s="13"/>
      <c r="UM4" s="13"/>
      <c r="UN4" s="13"/>
      <c r="UO4" s="13"/>
      <c r="UP4" s="13"/>
      <c r="UQ4" s="13"/>
      <c r="UR4" s="13"/>
      <c r="US4" s="13"/>
      <c r="UT4" s="13"/>
      <c r="UU4" s="13"/>
      <c r="UV4" s="13"/>
      <c r="UW4" s="13"/>
      <c r="UX4" s="13"/>
      <c r="UY4" s="13"/>
      <c r="UZ4" s="13"/>
      <c r="VA4" s="13"/>
      <c r="VB4" s="13"/>
      <c r="VC4" s="13"/>
      <c r="VD4" s="13"/>
      <c r="VE4" s="13"/>
      <c r="VF4" s="13"/>
      <c r="VG4" s="13"/>
      <c r="VH4" s="13"/>
      <c r="VI4" s="13"/>
      <c r="VJ4" s="13"/>
      <c r="VK4" s="13"/>
      <c r="VL4" s="13"/>
      <c r="VM4" s="13"/>
      <c r="VN4" s="13"/>
      <c r="VO4" s="13"/>
      <c r="VP4" s="13"/>
      <c r="VQ4" s="13"/>
      <c r="VR4" s="13"/>
      <c r="VS4" s="13"/>
      <c r="VT4" s="13"/>
      <c r="VU4" s="13"/>
      <c r="VV4" s="13"/>
      <c r="VW4" s="13"/>
      <c r="VX4" s="13"/>
      <c r="VY4" s="13"/>
      <c r="VZ4" s="13"/>
      <c r="WA4" s="13"/>
      <c r="WB4" s="13"/>
      <c r="WC4" s="13"/>
      <c r="WD4" s="13"/>
      <c r="WE4" s="13"/>
      <c r="WF4" s="13"/>
      <c r="WG4" s="13"/>
      <c r="WH4" s="13"/>
      <c r="WI4" s="13"/>
      <c r="WJ4" s="13"/>
      <c r="WK4" s="13"/>
      <c r="WL4" s="13"/>
      <c r="WM4" s="13"/>
      <c r="WN4" s="13"/>
      <c r="WO4" s="13"/>
      <c r="WP4" s="13"/>
      <c r="WQ4" s="13"/>
      <c r="WR4" s="13"/>
      <c r="WS4" s="13"/>
      <c r="WT4" s="13"/>
      <c r="WU4" s="13"/>
      <c r="WV4" s="13"/>
      <c r="WW4" s="13"/>
      <c r="WX4" s="13"/>
      <c r="WY4" s="13"/>
      <c r="WZ4" s="13"/>
      <c r="XA4" s="13"/>
      <c r="XB4" s="13"/>
      <c r="XC4" s="13"/>
      <c r="XD4" s="13"/>
      <c r="XE4" s="13"/>
      <c r="XF4" s="13"/>
      <c r="XG4" s="13"/>
      <c r="XH4" s="13"/>
      <c r="XI4" s="13"/>
      <c r="XJ4" s="13"/>
      <c r="XK4" s="13"/>
      <c r="XL4" s="13"/>
      <c r="XM4" s="13"/>
      <c r="XN4" s="13"/>
      <c r="XO4" s="13"/>
      <c r="XP4" s="13"/>
      <c r="XQ4" s="13"/>
      <c r="XR4" s="13"/>
      <c r="XS4" s="13"/>
      <c r="XT4" s="13"/>
      <c r="XU4" s="13"/>
      <c r="XV4" s="13"/>
      <c r="XW4" s="13"/>
      <c r="XX4" s="13"/>
      <c r="XY4" s="13"/>
      <c r="XZ4" s="13"/>
      <c r="YA4" s="13"/>
      <c r="YB4" s="13"/>
      <c r="YC4" s="13"/>
      <c r="YD4" s="13"/>
      <c r="YE4" s="13"/>
      <c r="YF4" s="13"/>
      <c r="YG4" s="13"/>
      <c r="YH4" s="13"/>
      <c r="YI4" s="13"/>
      <c r="YJ4" s="13"/>
      <c r="YK4" s="13"/>
      <c r="YL4" s="13"/>
      <c r="YM4" s="13"/>
      <c r="YN4" s="13"/>
      <c r="YO4" s="13"/>
      <c r="YP4" s="13"/>
      <c r="YQ4" s="13"/>
      <c r="YR4" s="13"/>
      <c r="YS4" s="13"/>
      <c r="YT4" s="13"/>
      <c r="YU4" s="13"/>
      <c r="YV4" s="13"/>
      <c r="YW4" s="13"/>
      <c r="YX4" s="13"/>
      <c r="YY4" s="13"/>
      <c r="YZ4" s="13"/>
      <c r="ZA4" s="13"/>
      <c r="ZB4" s="13"/>
      <c r="ZC4" s="13"/>
      <c r="ZD4" s="13"/>
      <c r="ZE4" s="13"/>
      <c r="ZF4" s="13"/>
      <c r="ZG4" s="13"/>
      <c r="ZH4" s="13"/>
      <c r="ZI4" s="13"/>
      <c r="ZJ4" s="13"/>
      <c r="ZK4" s="13"/>
      <c r="ZL4" s="13"/>
      <c r="ZM4" s="13"/>
      <c r="ZN4" s="13"/>
      <c r="ZO4" s="13"/>
      <c r="ZP4" s="13"/>
      <c r="ZQ4" s="13"/>
      <c r="ZR4" s="13"/>
      <c r="ZS4" s="13"/>
      <c r="ZT4" s="13"/>
      <c r="ZU4" s="13"/>
      <c r="ZV4" s="13"/>
      <c r="ZW4" s="13"/>
      <c r="ZX4" s="13"/>
      <c r="ZY4" s="13"/>
      <c r="ZZ4" s="13"/>
      <c r="AAA4" s="13"/>
      <c r="AAB4" s="13"/>
      <c r="AAC4" s="13"/>
      <c r="AAD4" s="13"/>
      <c r="AAE4" s="13"/>
      <c r="AAF4" s="13"/>
      <c r="AAG4" s="13"/>
      <c r="AAH4" s="13"/>
      <c r="AAI4" s="13"/>
      <c r="AAJ4" s="13"/>
      <c r="AAK4" s="13"/>
      <c r="AAL4" s="13"/>
      <c r="AAM4" s="13"/>
      <c r="AAN4" s="13"/>
      <c r="AAO4" s="13"/>
      <c r="AAP4" s="13"/>
      <c r="AAQ4" s="13"/>
      <c r="AAR4" s="13"/>
      <c r="AAS4" s="13"/>
      <c r="AAT4" s="13"/>
      <c r="AAU4" s="13"/>
      <c r="AAV4" s="13"/>
      <c r="AAW4" s="13"/>
      <c r="AAX4" s="13"/>
      <c r="AAY4" s="13"/>
      <c r="AAZ4" s="13"/>
      <c r="ABA4" s="13"/>
      <c r="ABB4" s="13"/>
      <c r="ABC4" s="13"/>
      <c r="ABD4" s="13"/>
      <c r="ABE4" s="13"/>
      <c r="ABF4" s="13"/>
      <c r="ABG4" s="13"/>
      <c r="ABH4" s="13"/>
      <c r="ABI4" s="13"/>
      <c r="ABJ4" s="13"/>
      <c r="ABK4" s="13"/>
      <c r="ABL4" s="13"/>
      <c r="ABM4" s="13"/>
      <c r="ABN4" s="13"/>
      <c r="ABO4" s="13"/>
      <c r="ABP4" s="13"/>
      <c r="ABQ4" s="13"/>
      <c r="ABR4" s="13"/>
      <c r="ABS4" s="13"/>
      <c r="ABT4" s="13"/>
      <c r="ABU4" s="13"/>
      <c r="ABV4" s="13"/>
      <c r="ABW4" s="13"/>
      <c r="ABX4" s="13"/>
      <c r="ABY4" s="13"/>
      <c r="ABZ4" s="13"/>
      <c r="ACA4" s="13"/>
      <c r="ACB4" s="13"/>
      <c r="ACC4" s="13"/>
      <c r="ACD4" s="13"/>
      <c r="ACE4" s="13"/>
      <c r="ACF4" s="13"/>
      <c r="ACG4" s="13"/>
      <c r="ACH4" s="13"/>
      <c r="ACI4" s="13"/>
      <c r="ACJ4" s="13"/>
      <c r="ACK4" s="13"/>
      <c r="ACL4" s="13"/>
      <c r="ACM4" s="13"/>
      <c r="ACN4" s="13"/>
      <c r="ACO4" s="13"/>
      <c r="ACP4" s="13"/>
      <c r="ACQ4" s="13"/>
      <c r="ACR4" s="13"/>
      <c r="ACS4" s="13"/>
      <c r="ACT4" s="13"/>
      <c r="ACU4" s="13"/>
      <c r="ACV4" s="13"/>
      <c r="ACW4" s="13"/>
      <c r="ACX4" s="13"/>
      <c r="ACY4" s="13"/>
      <c r="ACZ4" s="13"/>
      <c r="ADA4" s="13"/>
      <c r="ADB4" s="13"/>
      <c r="ADC4" s="13"/>
      <c r="ADD4" s="13"/>
      <c r="ADE4" s="13"/>
      <c r="ADF4" s="13"/>
      <c r="ADG4" s="13"/>
      <c r="ADH4" s="13"/>
      <c r="ADI4" s="13"/>
      <c r="ADJ4" s="13"/>
      <c r="ADK4" s="13"/>
      <c r="ADL4" s="13"/>
      <c r="ADM4" s="13"/>
      <c r="ADN4" s="13"/>
      <c r="ADO4" s="13"/>
      <c r="ADP4" s="13"/>
      <c r="ADQ4" s="13"/>
      <c r="ADR4" s="13"/>
      <c r="ADS4" s="13"/>
      <c r="ADT4" s="13"/>
      <c r="ADU4" s="13"/>
      <c r="ADV4" s="13"/>
      <c r="ADW4" s="13"/>
      <c r="ADX4" s="13"/>
      <c r="ADY4" s="13"/>
      <c r="ADZ4" s="13"/>
      <c r="AEA4" s="13"/>
      <c r="AEB4" s="13"/>
      <c r="AEC4" s="13"/>
      <c r="AED4" s="13"/>
      <c r="AEE4" s="13"/>
      <c r="AEF4" s="13"/>
      <c r="AEG4" s="13"/>
      <c r="AEH4" s="13"/>
      <c r="AEI4" s="13"/>
      <c r="AEJ4" s="13"/>
      <c r="AEK4" s="13"/>
      <c r="AEL4" s="13"/>
      <c r="AEM4" s="13"/>
      <c r="AEN4" s="13"/>
      <c r="AEO4" s="13"/>
      <c r="AEP4" s="13"/>
      <c r="AEQ4" s="13"/>
      <c r="AER4" s="13"/>
      <c r="AES4" s="13"/>
      <c r="AET4" s="13"/>
      <c r="AEU4" s="13"/>
      <c r="AEV4" s="13"/>
      <c r="AEW4" s="13"/>
      <c r="AEX4" s="13"/>
      <c r="AEY4" s="13"/>
      <c r="AEZ4" s="13"/>
      <c r="AFA4" s="13"/>
      <c r="AFB4" s="13"/>
      <c r="AFC4" s="13"/>
      <c r="AFD4" s="13"/>
      <c r="AFE4" s="13"/>
      <c r="AFF4" s="13"/>
      <c r="AFG4" s="13"/>
      <c r="AFH4" s="13"/>
      <c r="AFI4" s="13"/>
      <c r="AFJ4" s="13"/>
      <c r="AFK4" s="13"/>
      <c r="AFL4" s="13"/>
      <c r="AFM4" s="13"/>
      <c r="AFN4" s="13"/>
      <c r="AFO4" s="13"/>
      <c r="AFP4" s="13"/>
      <c r="AFQ4" s="13"/>
      <c r="AFR4" s="13"/>
      <c r="AFS4" s="13"/>
      <c r="AFT4" s="13"/>
      <c r="AFU4" s="13"/>
      <c r="AFV4" s="13"/>
      <c r="AFW4" s="13"/>
      <c r="AFX4" s="13"/>
      <c r="AFY4" s="13"/>
      <c r="AFZ4" s="13"/>
      <c r="AGA4" s="13"/>
      <c r="AGB4" s="13"/>
      <c r="AGC4" s="13"/>
      <c r="AGD4" s="13"/>
      <c r="AGE4" s="13"/>
      <c r="AGF4" s="13"/>
      <c r="AGG4" s="13"/>
      <c r="AGH4" s="13"/>
      <c r="AGI4" s="13"/>
      <c r="AGJ4" s="13"/>
      <c r="AGK4" s="13"/>
      <c r="AGL4" s="13"/>
      <c r="AGM4" s="13"/>
      <c r="AGN4" s="13"/>
      <c r="AGO4" s="13"/>
      <c r="AGP4" s="13"/>
      <c r="AGQ4" s="13"/>
      <c r="AGR4" s="13"/>
      <c r="AGS4" s="13"/>
      <c r="AGT4" s="13"/>
      <c r="AGU4" s="13"/>
      <c r="AGV4" s="13"/>
      <c r="AGW4" s="13"/>
      <c r="AGX4" s="13"/>
      <c r="AGY4" s="13"/>
      <c r="AGZ4" s="13"/>
      <c r="AHA4" s="13"/>
      <c r="AHB4" s="13"/>
      <c r="AHC4" s="13"/>
      <c r="AHD4" s="13"/>
      <c r="AHE4" s="13"/>
      <c r="AHF4" s="13"/>
      <c r="AHG4" s="13"/>
      <c r="AHH4" s="13"/>
      <c r="AHI4" s="13"/>
      <c r="AHJ4" s="13"/>
      <c r="AHK4" s="13"/>
      <c r="AHL4" s="13"/>
      <c r="AHM4" s="13"/>
      <c r="AHN4" s="13"/>
      <c r="AHO4" s="13"/>
      <c r="AHP4" s="13"/>
      <c r="AHQ4" s="13"/>
      <c r="AHR4" s="13"/>
      <c r="AHS4" s="13"/>
      <c r="AHT4" s="13"/>
      <c r="AHU4" s="13"/>
      <c r="AHV4" s="13"/>
      <c r="AHW4" s="13"/>
      <c r="AHX4" s="13"/>
      <c r="AHY4" s="13"/>
      <c r="AHZ4" s="13"/>
      <c r="AIA4" s="13"/>
      <c r="AIB4" s="13"/>
      <c r="AIC4" s="13"/>
      <c r="AID4" s="13"/>
      <c r="AIE4" s="13"/>
      <c r="AIF4" s="13"/>
      <c r="AIG4" s="13"/>
      <c r="AIH4" s="13"/>
      <c r="AII4" s="13"/>
      <c r="AIJ4" s="13"/>
      <c r="AIK4" s="13"/>
      <c r="AIL4" s="13"/>
      <c r="AIM4" s="13"/>
      <c r="AIN4" s="13"/>
      <c r="AIO4" s="13"/>
      <c r="AIP4" s="13"/>
      <c r="AIQ4" s="13"/>
      <c r="AIR4" s="13"/>
      <c r="AIS4" s="13"/>
      <c r="AIT4" s="13"/>
      <c r="AIU4" s="13"/>
      <c r="AIV4" s="13"/>
      <c r="AIW4" s="13"/>
      <c r="AIX4" s="13"/>
      <c r="AIY4" s="13"/>
      <c r="AIZ4" s="13"/>
      <c r="AJA4" s="13"/>
      <c r="AJB4" s="13"/>
      <c r="AJC4" s="13"/>
      <c r="AJD4" s="13"/>
      <c r="AJE4" s="13"/>
      <c r="AJF4" s="13"/>
      <c r="AJG4" s="13"/>
      <c r="AJH4" s="13"/>
      <c r="AJI4" s="13"/>
      <c r="AJJ4" s="13"/>
      <c r="AJK4" s="13"/>
      <c r="AJL4" s="13"/>
      <c r="AJM4" s="13"/>
      <c r="AJN4" s="13"/>
      <c r="AJO4" s="13"/>
      <c r="AJP4" s="13"/>
      <c r="AJQ4" s="13"/>
      <c r="AJR4" s="13"/>
      <c r="AJS4" s="13"/>
      <c r="AJT4" s="13"/>
      <c r="AJU4" s="13"/>
      <c r="AJV4" s="13"/>
      <c r="AJW4" s="13"/>
      <c r="AJX4" s="13"/>
      <c r="AJY4" s="13"/>
      <c r="AJZ4" s="13"/>
      <c r="AKA4" s="13"/>
      <c r="AKB4" s="13"/>
      <c r="AKC4" s="13"/>
      <c r="AKD4" s="13"/>
      <c r="AKE4" s="13"/>
      <c r="AKF4" s="13"/>
      <c r="AKG4" s="13"/>
      <c r="AKH4" s="13"/>
      <c r="AKI4" s="13"/>
      <c r="AKJ4" s="13"/>
      <c r="AKK4" s="13"/>
      <c r="AKL4" s="13"/>
      <c r="AKM4" s="13"/>
      <c r="AKN4" s="13"/>
      <c r="AKO4" s="13"/>
      <c r="AKP4" s="13"/>
      <c r="AKQ4" s="13"/>
      <c r="AKR4" s="13"/>
      <c r="AKS4" s="13"/>
      <c r="AKT4" s="13"/>
      <c r="AKU4" s="13"/>
      <c r="AKV4" s="13"/>
      <c r="AKW4" s="13"/>
      <c r="AKX4" s="13"/>
      <c r="AKY4" s="13"/>
      <c r="AKZ4" s="13"/>
      <c r="ALA4" s="13"/>
      <c r="ALB4" s="13"/>
      <c r="ALC4" s="13"/>
      <c r="ALD4" s="13"/>
      <c r="ALE4" s="13"/>
      <c r="ALF4" s="13"/>
      <c r="ALG4" s="13"/>
      <c r="ALH4" s="13"/>
      <c r="ALI4" s="13"/>
    </row>
    <row r="5" spans="1:998" s="2" customFormat="1" ht="21" customHeight="1">
      <c r="A5" s="14" t="s">
        <v>9</v>
      </c>
      <c r="B5" s="14" t="s">
        <v>7</v>
      </c>
      <c r="C5" s="15" t="s">
        <v>10</v>
      </c>
      <c r="D5" s="4">
        <v>8809463992615</v>
      </c>
      <c r="E5" s="16">
        <v>1200</v>
      </c>
      <c r="ALJ5"/>
    </row>
    <row r="6" spans="1:998" s="2" customFormat="1" ht="21" customHeight="1">
      <c r="A6" s="14" t="s">
        <v>6</v>
      </c>
      <c r="B6" s="14" t="s">
        <v>7</v>
      </c>
      <c r="C6" s="15" t="s">
        <v>11</v>
      </c>
      <c r="D6" s="5">
        <v>8809971482349</v>
      </c>
      <c r="E6" s="16">
        <v>480</v>
      </c>
      <c r="ALJ6"/>
    </row>
    <row r="7" spans="1:998" s="2" customFormat="1" ht="21" customHeight="1">
      <c r="A7" s="14" t="s">
        <v>6</v>
      </c>
      <c r="B7" s="14" t="s">
        <v>7</v>
      </c>
      <c r="C7" s="15" t="s">
        <v>12</v>
      </c>
      <c r="D7" s="4">
        <v>8809606852332</v>
      </c>
      <c r="E7" s="16">
        <v>448</v>
      </c>
      <c r="ALJ7"/>
    </row>
    <row r="8" spans="1:998" s="2" customFormat="1" ht="21" customHeight="1">
      <c r="A8" s="14" t="s">
        <v>13</v>
      </c>
      <c r="B8" s="14" t="s">
        <v>7</v>
      </c>
      <c r="C8" s="15" t="s">
        <v>14</v>
      </c>
      <c r="D8" s="4" t="s">
        <v>15</v>
      </c>
      <c r="E8" s="16">
        <v>312</v>
      </c>
      <c r="ALJ8"/>
    </row>
    <row r="9" spans="1:998" s="2" customFormat="1" ht="21" customHeight="1">
      <c r="A9" s="14" t="s">
        <v>6</v>
      </c>
      <c r="B9" s="14" t="s">
        <v>7</v>
      </c>
      <c r="C9" s="15" t="s">
        <v>16</v>
      </c>
      <c r="D9" s="4">
        <v>8806050298525</v>
      </c>
      <c r="E9" s="16">
        <v>315</v>
      </c>
      <c r="ALJ9"/>
    </row>
    <row r="10" spans="1:998" s="2" customFormat="1" ht="21" customHeight="1">
      <c r="A10" s="14" t="s">
        <v>9</v>
      </c>
      <c r="B10" s="14" t="s">
        <v>7</v>
      </c>
      <c r="C10" s="15" t="s">
        <v>17</v>
      </c>
      <c r="D10" s="4">
        <v>8809750465464</v>
      </c>
      <c r="E10" s="16">
        <v>984</v>
      </c>
      <c r="ALJ10"/>
    </row>
    <row r="11" spans="1:998" s="2" customFormat="1" ht="21" customHeight="1">
      <c r="A11" s="14" t="s">
        <v>6</v>
      </c>
      <c r="B11" s="14" t="s">
        <v>7</v>
      </c>
      <c r="C11" s="15" t="s">
        <v>18</v>
      </c>
      <c r="D11" s="4">
        <v>8809782557861</v>
      </c>
      <c r="E11" s="16">
        <v>1200</v>
      </c>
      <c r="ALJ11"/>
    </row>
    <row r="12" spans="1:998" s="2" customFormat="1" ht="21" customHeight="1">
      <c r="A12" s="14" t="s">
        <v>6</v>
      </c>
      <c r="B12" s="14" t="s">
        <v>7</v>
      </c>
      <c r="C12" s="15" t="s">
        <v>19</v>
      </c>
      <c r="D12" s="4">
        <v>8809743544626</v>
      </c>
      <c r="E12" s="16">
        <v>864</v>
      </c>
      <c r="ALJ12"/>
    </row>
    <row r="13" spans="1:998" s="2" customFormat="1" ht="21" customHeight="1">
      <c r="A13" s="14" t="s">
        <v>6</v>
      </c>
      <c r="B13" s="14" t="s">
        <v>7</v>
      </c>
      <c r="C13" s="15" t="s">
        <v>20</v>
      </c>
      <c r="D13" s="4">
        <v>8809686386185</v>
      </c>
      <c r="E13" s="16">
        <v>720</v>
      </c>
      <c r="ALJ13"/>
    </row>
    <row r="14" spans="1:998" s="2" customFormat="1" ht="21" customHeight="1">
      <c r="A14" s="14" t="s">
        <v>6</v>
      </c>
      <c r="B14" s="14" t="s">
        <v>7</v>
      </c>
      <c r="C14" s="15" t="s">
        <v>21</v>
      </c>
      <c r="D14" s="4">
        <v>8809743546880</v>
      </c>
      <c r="E14" s="16">
        <v>600</v>
      </c>
      <c r="ALJ14"/>
    </row>
    <row r="15" spans="1:998" s="2" customFormat="1" ht="21" customHeight="1">
      <c r="A15" s="14" t="s">
        <v>6</v>
      </c>
      <c r="B15" s="14" t="s">
        <v>7</v>
      </c>
      <c r="C15" s="17" t="s">
        <v>22</v>
      </c>
      <c r="D15" s="5">
        <v>8800296551789</v>
      </c>
      <c r="E15" s="16">
        <v>576</v>
      </c>
      <c r="ALJ15"/>
    </row>
    <row r="16" spans="1:998" s="2" customFormat="1" ht="21" customHeight="1">
      <c r="A16" s="14" t="s">
        <v>9</v>
      </c>
      <c r="B16" s="14" t="s">
        <v>7</v>
      </c>
      <c r="C16" s="15" t="s">
        <v>23</v>
      </c>
      <c r="D16" s="4">
        <v>8809463992707</v>
      </c>
      <c r="E16" s="16">
        <v>528</v>
      </c>
      <c r="ALJ16"/>
    </row>
    <row r="17" spans="1:998" s="2" customFormat="1" ht="21" customHeight="1">
      <c r="A17" s="14" t="s">
        <v>9</v>
      </c>
      <c r="B17" s="14" t="s">
        <v>7</v>
      </c>
      <c r="C17" s="15" t="s">
        <v>24</v>
      </c>
      <c r="D17" s="4">
        <v>8809463993889</v>
      </c>
      <c r="E17" s="16">
        <v>352</v>
      </c>
      <c r="ALJ17"/>
    </row>
    <row r="18" spans="1:998" s="2" customFormat="1" ht="21" customHeight="1">
      <c r="A18" s="14" t="s">
        <v>13</v>
      </c>
      <c r="B18" s="14" t="s">
        <v>7</v>
      </c>
      <c r="C18" s="18" t="s">
        <v>25</v>
      </c>
      <c r="D18" s="3">
        <v>8809606850499</v>
      </c>
      <c r="E18" s="19">
        <v>288</v>
      </c>
      <c r="ALJ18"/>
    </row>
    <row r="19" spans="1:998" s="2" customFormat="1" ht="21" customHeight="1">
      <c r="A19" s="14" t="s">
        <v>6</v>
      </c>
      <c r="B19" s="14" t="s">
        <v>7</v>
      </c>
      <c r="C19" s="15" t="s">
        <v>26</v>
      </c>
      <c r="D19" s="4">
        <v>8809954940354</v>
      </c>
      <c r="E19" s="16">
        <v>408</v>
      </c>
      <c r="ALJ19"/>
    </row>
    <row r="20" spans="1:998" s="2" customFormat="1" ht="21" customHeight="1">
      <c r="A20" s="14" t="s">
        <v>6</v>
      </c>
      <c r="B20" s="14" t="s">
        <v>7</v>
      </c>
      <c r="C20" s="15" t="s">
        <v>27</v>
      </c>
      <c r="D20" s="4">
        <v>8809626564000</v>
      </c>
      <c r="E20" s="16">
        <v>468</v>
      </c>
      <c r="ALJ20"/>
    </row>
    <row r="21" spans="1:998" s="2" customFormat="1" ht="21" customHeight="1">
      <c r="A21" s="14" t="s">
        <v>13</v>
      </c>
      <c r="B21" s="14" t="s">
        <v>7</v>
      </c>
      <c r="C21" s="15" t="s">
        <v>28</v>
      </c>
      <c r="D21" s="4">
        <v>8809975194439</v>
      </c>
      <c r="E21" s="16">
        <v>320</v>
      </c>
      <c r="ALJ21"/>
    </row>
    <row r="22" spans="1:998" s="2" customFormat="1" ht="21" customHeight="1">
      <c r="A22" s="14" t="s">
        <v>13</v>
      </c>
      <c r="B22" s="20" t="s">
        <v>29</v>
      </c>
      <c r="C22" s="17" t="s">
        <v>30</v>
      </c>
      <c r="D22" s="4">
        <v>8809738608364</v>
      </c>
      <c r="E22" s="21">
        <v>25020</v>
      </c>
      <c r="ALI22"/>
    </row>
    <row r="23" spans="1:998" s="2" customFormat="1" ht="21" customHeight="1">
      <c r="A23" s="14" t="s">
        <v>13</v>
      </c>
      <c r="B23" s="20" t="s">
        <v>29</v>
      </c>
      <c r="C23" s="17" t="s">
        <v>31</v>
      </c>
      <c r="D23" s="4">
        <v>8809738599044</v>
      </c>
      <c r="E23" s="16">
        <v>600</v>
      </c>
      <c r="ALJ23"/>
    </row>
    <row r="24" spans="1:998" s="2" customFormat="1" ht="21" customHeight="1">
      <c r="A24" s="14" t="s">
        <v>13</v>
      </c>
      <c r="B24" s="20" t="s">
        <v>29</v>
      </c>
      <c r="C24" s="17" t="s">
        <v>32</v>
      </c>
      <c r="D24" s="4">
        <v>8809864754126</v>
      </c>
      <c r="E24" s="16">
        <v>600</v>
      </c>
      <c r="ALJ24"/>
    </row>
    <row r="25" spans="1:998" s="2" customFormat="1" ht="21" customHeight="1">
      <c r="A25" s="20" t="s">
        <v>13</v>
      </c>
      <c r="B25" s="20" t="s">
        <v>29</v>
      </c>
      <c r="C25" s="17" t="s">
        <v>33</v>
      </c>
      <c r="D25" s="4">
        <v>8809849802408</v>
      </c>
      <c r="E25" s="16">
        <v>400</v>
      </c>
      <c r="ALJ25"/>
    </row>
    <row r="26" spans="1:998" s="2" customFormat="1" ht="21" customHeight="1">
      <c r="A26" s="14" t="s">
        <v>6</v>
      </c>
      <c r="B26" s="20" t="s">
        <v>29</v>
      </c>
      <c r="C26" s="17" t="s">
        <v>34</v>
      </c>
      <c r="D26" s="4">
        <v>8809962542137</v>
      </c>
      <c r="E26" s="22">
        <v>240</v>
      </c>
      <c r="ALJ26"/>
    </row>
    <row r="27" spans="1:998" s="2" customFormat="1" ht="21" customHeight="1">
      <c r="A27" s="14" t="s">
        <v>6</v>
      </c>
      <c r="B27" s="23" t="s">
        <v>29</v>
      </c>
      <c r="C27" s="17" t="s">
        <v>35</v>
      </c>
      <c r="D27" s="4">
        <v>8809962541840</v>
      </c>
      <c r="E27" s="22">
        <v>400</v>
      </c>
      <c r="ALJ27"/>
    </row>
    <row r="28" spans="1:998" s="2" customFormat="1" ht="21" customHeight="1">
      <c r="A28" s="14" t="s">
        <v>6</v>
      </c>
      <c r="B28" s="23" t="s">
        <v>29</v>
      </c>
      <c r="C28" s="17" t="s">
        <v>36</v>
      </c>
      <c r="D28" s="4">
        <v>8809657114731</v>
      </c>
      <c r="E28" s="22">
        <v>360</v>
      </c>
      <c r="ALJ28"/>
    </row>
    <row r="29" spans="1:998" s="2" customFormat="1" ht="21" customHeight="1">
      <c r="A29" s="14" t="s">
        <v>9</v>
      </c>
      <c r="B29" s="23" t="s">
        <v>29</v>
      </c>
      <c r="C29" s="17" t="s">
        <v>37</v>
      </c>
      <c r="D29" s="4">
        <v>8809750462708</v>
      </c>
      <c r="E29" s="22">
        <v>270</v>
      </c>
      <c r="ALJ29"/>
    </row>
    <row r="30" spans="1:998" s="2" customFormat="1" ht="21" customHeight="1">
      <c r="A30" s="14" t="s">
        <v>6</v>
      </c>
      <c r="B30" s="23" t="s">
        <v>29</v>
      </c>
      <c r="C30" s="17" t="s">
        <v>38</v>
      </c>
      <c r="D30" s="4">
        <v>8809738593240</v>
      </c>
      <c r="E30" s="22">
        <v>210</v>
      </c>
      <c r="ALJ30"/>
    </row>
    <row r="31" spans="1:998" s="2" customFormat="1" ht="21" customHeight="1">
      <c r="A31" s="14" t="s">
        <v>6</v>
      </c>
      <c r="B31" s="23" t="s">
        <v>29</v>
      </c>
      <c r="C31" s="17" t="s">
        <v>39</v>
      </c>
      <c r="D31" s="4">
        <v>8809962540553</v>
      </c>
      <c r="E31" s="22">
        <v>300</v>
      </c>
      <c r="ALJ31"/>
    </row>
    <row r="32" spans="1:998" s="2" customFormat="1" ht="21" customHeight="1">
      <c r="A32" s="14" t="s">
        <v>6</v>
      </c>
      <c r="B32" s="20" t="s">
        <v>40</v>
      </c>
      <c r="C32" s="15" t="s">
        <v>41</v>
      </c>
      <c r="D32" s="4">
        <v>8809576260601</v>
      </c>
      <c r="E32" s="16">
        <v>1500</v>
      </c>
      <c r="ALJ32"/>
    </row>
    <row r="33" spans="1:998" s="2" customFormat="1" ht="21" customHeight="1">
      <c r="A33" s="14" t="s">
        <v>6</v>
      </c>
      <c r="B33" s="20" t="s">
        <v>40</v>
      </c>
      <c r="C33" s="15" t="s">
        <v>42</v>
      </c>
      <c r="D33" s="4">
        <v>8809576261172</v>
      </c>
      <c r="E33" s="16">
        <v>900</v>
      </c>
      <c r="ALJ33"/>
    </row>
    <row r="34" spans="1:998" s="2" customFormat="1" ht="21" customHeight="1">
      <c r="A34" s="14" t="s">
        <v>6</v>
      </c>
      <c r="B34" s="20" t="s">
        <v>40</v>
      </c>
      <c r="C34" s="15" t="s">
        <v>43</v>
      </c>
      <c r="D34" s="4">
        <v>8809576261134</v>
      </c>
      <c r="E34" s="16">
        <v>920</v>
      </c>
      <c r="ALJ34"/>
    </row>
    <row r="35" spans="1:998" s="2" customFormat="1" ht="21" customHeight="1">
      <c r="A35" s="14" t="s">
        <v>6</v>
      </c>
      <c r="B35" s="20" t="s">
        <v>44</v>
      </c>
      <c r="C35" s="24" t="s">
        <v>45</v>
      </c>
      <c r="D35" s="25">
        <v>8800256108053</v>
      </c>
      <c r="E35" s="16">
        <v>320</v>
      </c>
      <c r="ALJ35"/>
    </row>
    <row r="36" spans="1:998" s="2" customFormat="1" ht="21" customHeight="1">
      <c r="A36" s="14" t="s">
        <v>6</v>
      </c>
      <c r="B36" s="20" t="s">
        <v>44</v>
      </c>
      <c r="C36" s="24" t="s">
        <v>46</v>
      </c>
      <c r="D36" s="25">
        <v>8800256115549</v>
      </c>
      <c r="E36" s="16">
        <v>400</v>
      </c>
      <c r="ALJ36"/>
    </row>
    <row r="37" spans="1:998" s="2" customFormat="1" ht="21" customHeight="1">
      <c r="A37" s="14" t="s">
        <v>6</v>
      </c>
      <c r="B37" s="20" t="s">
        <v>44</v>
      </c>
      <c r="C37" s="24" t="s">
        <v>47</v>
      </c>
      <c r="D37" s="25">
        <v>8800256115532</v>
      </c>
      <c r="E37" s="16">
        <v>300</v>
      </c>
      <c r="ALJ37"/>
    </row>
    <row r="38" spans="1:998" s="2" customFormat="1" ht="21" customHeight="1">
      <c r="A38" s="14" t="s">
        <v>6</v>
      </c>
      <c r="B38" s="20" t="s">
        <v>44</v>
      </c>
      <c r="C38" s="6" t="s">
        <v>48</v>
      </c>
      <c r="D38" s="26">
        <v>8800256119660</v>
      </c>
      <c r="E38" s="16">
        <v>240</v>
      </c>
      <c r="ALJ38"/>
    </row>
    <row r="39" spans="1:998" s="2" customFormat="1" ht="21" customHeight="1">
      <c r="A39" s="14" t="s">
        <v>6</v>
      </c>
      <c r="B39" s="20" t="s">
        <v>44</v>
      </c>
      <c r="C39" s="24" t="s">
        <v>49</v>
      </c>
      <c r="D39" s="25">
        <v>8800256118885</v>
      </c>
      <c r="E39" s="22">
        <v>160</v>
      </c>
      <c r="ALJ39"/>
    </row>
    <row r="40" spans="1:998" s="2" customFormat="1" ht="21" customHeight="1">
      <c r="A40" s="14" t="s">
        <v>6</v>
      </c>
      <c r="B40" s="20" t="s">
        <v>44</v>
      </c>
      <c r="C40" s="24" t="s">
        <v>50</v>
      </c>
      <c r="D40" s="25">
        <v>8800256113101</v>
      </c>
      <c r="E40" s="22">
        <v>200</v>
      </c>
      <c r="ALJ40"/>
    </row>
    <row r="41" spans="1:998" s="2" customFormat="1" ht="21" customHeight="1">
      <c r="A41" s="14" t="s">
        <v>6</v>
      </c>
      <c r="B41" s="20" t="s">
        <v>51</v>
      </c>
      <c r="C41" s="6" t="s">
        <v>52</v>
      </c>
      <c r="D41" s="27">
        <v>8803463006501</v>
      </c>
      <c r="E41" s="16">
        <v>528</v>
      </c>
      <c r="ALJ41"/>
    </row>
    <row r="42" spans="1:998" s="2" customFormat="1" ht="21" customHeight="1">
      <c r="A42" s="14" t="s">
        <v>6</v>
      </c>
      <c r="B42" s="20" t="s">
        <v>53</v>
      </c>
      <c r="C42" s="15" t="s">
        <v>54</v>
      </c>
      <c r="D42" s="28">
        <v>8809331319360</v>
      </c>
      <c r="E42" s="16">
        <v>1530</v>
      </c>
      <c r="ALJ42"/>
    </row>
    <row r="43" spans="1:998" s="2" customFormat="1" ht="21" customHeight="1">
      <c r="A43" s="14" t="s">
        <v>6</v>
      </c>
      <c r="B43" s="20" t="s">
        <v>53</v>
      </c>
      <c r="C43" s="15" t="s">
        <v>55</v>
      </c>
      <c r="D43" s="29">
        <v>8809563068258</v>
      </c>
      <c r="E43" s="16">
        <v>1344</v>
      </c>
      <c r="ALJ43"/>
    </row>
    <row r="44" spans="1:998" s="2" customFormat="1" ht="21" customHeight="1">
      <c r="A44" s="14" t="s">
        <v>6</v>
      </c>
      <c r="B44" s="20" t="s">
        <v>53</v>
      </c>
      <c r="C44" s="15" t="s">
        <v>56</v>
      </c>
      <c r="D44" s="29">
        <v>8809563066773</v>
      </c>
      <c r="E44" s="16">
        <v>1248</v>
      </c>
      <c r="ALJ44"/>
    </row>
    <row r="45" spans="1:998" s="2" customFormat="1" ht="21" customHeight="1">
      <c r="A45" s="14" t="s">
        <v>6</v>
      </c>
      <c r="B45" s="20" t="s">
        <v>53</v>
      </c>
      <c r="C45" s="15" t="s">
        <v>57</v>
      </c>
      <c r="D45" s="28">
        <v>8809563066797</v>
      </c>
      <c r="E45" s="16">
        <v>1020</v>
      </c>
      <c r="ALJ45"/>
    </row>
    <row r="46" spans="1:998" s="2" customFormat="1" ht="21" customHeight="1">
      <c r="A46" s="14" t="s">
        <v>6</v>
      </c>
      <c r="B46" s="20" t="s">
        <v>53</v>
      </c>
      <c r="C46" s="15" t="s">
        <v>58</v>
      </c>
      <c r="D46" s="29">
        <v>8809563067923</v>
      </c>
      <c r="E46" s="16">
        <v>1053</v>
      </c>
      <c r="ALJ46"/>
    </row>
    <row r="47" spans="1:998" s="2" customFormat="1" ht="21" customHeight="1">
      <c r="A47" s="14" t="s">
        <v>6</v>
      </c>
      <c r="B47" s="30" t="s">
        <v>53</v>
      </c>
      <c r="C47" s="31" t="s">
        <v>59</v>
      </c>
      <c r="D47" s="32">
        <v>8809331313818</v>
      </c>
      <c r="E47" s="33">
        <v>480</v>
      </c>
      <c r="ALJ47"/>
    </row>
    <row r="48" spans="1:998" s="2" customFormat="1" ht="21" customHeight="1">
      <c r="A48" s="14" t="s">
        <v>6</v>
      </c>
      <c r="B48" s="30" t="s">
        <v>53</v>
      </c>
      <c r="C48" s="31" t="s">
        <v>60</v>
      </c>
      <c r="D48" s="34" t="s">
        <v>61</v>
      </c>
      <c r="E48" s="33">
        <v>420</v>
      </c>
      <c r="ALJ48"/>
    </row>
    <row r="49" spans="1:998" s="2" customFormat="1">
      <c r="A49" s="14" t="s">
        <v>6</v>
      </c>
      <c r="B49" s="30" t="s">
        <v>62</v>
      </c>
      <c r="C49" s="35" t="s">
        <v>63</v>
      </c>
      <c r="D49" s="36">
        <v>8809730950881</v>
      </c>
      <c r="E49" s="37">
        <v>1200</v>
      </c>
      <c r="ALI49"/>
    </row>
    <row r="50" spans="1:998" s="2" customFormat="1">
      <c r="A50" s="30" t="s">
        <v>64</v>
      </c>
      <c r="B50" s="30" t="s">
        <v>64</v>
      </c>
      <c r="C50" s="35" t="s">
        <v>65</v>
      </c>
      <c r="D50" s="36"/>
      <c r="E50" s="38">
        <v>1</v>
      </c>
      <c r="ALJ50"/>
    </row>
    <row r="51" spans="1:998" ht="17.25" thickBot="1">
      <c r="A51" s="44" t="s">
        <v>66</v>
      </c>
      <c r="B51" s="44"/>
      <c r="C51" s="44"/>
      <c r="D51" s="44"/>
      <c r="E51" s="39" t="e">
        <f>SUM(#REF!)</f>
        <v>#REF!</v>
      </c>
    </row>
    <row r="52" spans="1:998" ht="18.75">
      <c r="A52" s="40"/>
      <c r="B52" s="41"/>
      <c r="C52" s="42"/>
      <c r="D52" s="42"/>
    </row>
  </sheetData>
  <autoFilter ref="A2:E54" xr:uid="{00000000-0009-0000-0000-000000000000}"/>
  <mergeCells count="5">
    <mergeCell ref="C2:D2"/>
    <mergeCell ref="A51:D51"/>
    <mergeCell ref="A2:A3"/>
    <mergeCell ref="B2:B3"/>
    <mergeCell ref="E2:E3"/>
  </mergeCells>
  <phoneticPr fontId="12" type="noConversion"/>
  <conditionalFormatting sqref="C15:D15">
    <cfRule type="expression" priority="10">
      <formula>#REF!="품절"</formula>
    </cfRule>
  </conditionalFormatting>
  <conditionalFormatting sqref="E5:E21">
    <cfRule type="cellIs" priority="3" operator="equal">
      <formula>0</formula>
    </cfRule>
  </conditionalFormatting>
  <conditionalFormatting sqref="C4:D21">
    <cfRule type="expression" priority="22">
      <formula>#REF!="단종"</formula>
    </cfRule>
    <cfRule type="expression" priority="23">
      <formula>#REF!="품절"</formula>
    </cfRule>
  </conditionalFormatting>
  <conditionalFormatting sqref="C6:D7">
    <cfRule type="expression" priority="24">
      <formula>#REF!="품절"</formula>
    </cfRule>
  </conditionalFormatting>
  <conditionalFormatting sqref="C32:D34">
    <cfRule type="expression" priority="26">
      <formula>#REF!="품절"</formula>
    </cfRule>
    <cfRule type="expression" priority="27">
      <formula>#REF!="단종"</formula>
    </cfRule>
    <cfRule type="expression" priority="28">
      <formula>#REF!=품절</formula>
    </cfRule>
  </conditionalFormatting>
  <pageMargins left="0.7" right="0.7" top="0.75" bottom="0.75" header="0.51180555555555496" footer="0.51180555555555496"/>
  <pageSetup paperSize="9" firstPageNumber="0" orientation="landscape" useFirstPageNumber="1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Larissa Khegay</dc:creator>
  <cp:lastModifiedBy>k86msk@gmail.com</cp:lastModifiedBy>
  <cp:revision>4</cp:revision>
  <cp:lastPrinted>2026-07-23T07:33:00Z</cp:lastPrinted>
  <dcterms:created xsi:type="dcterms:W3CDTF">2025-11-10T07:33:00Z</dcterms:created>
  <dcterms:modified xsi:type="dcterms:W3CDTF">2026-08-04T13:24:39Z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ICV">
    <vt:lpwstr>B6E20F2D442449FD88B774C8B24D9ED0_12</vt:lpwstr>
  </property>
  <property fmtid="{D5CDD505-2E9C-101B-9397-08002B2CF9AE}" pid="9" name="KSOProductBuildVer">
    <vt:lpwstr>1049-12.1.0.27458</vt:lpwstr>
  </property>
  <property fmtid="{D5CDD505-2E9C-101B-9397-08002B2CF9AE}" pid="10" name="CalculationRule">
    <vt:i4>0</vt:i4>
  </property>
</Properties>
</file>
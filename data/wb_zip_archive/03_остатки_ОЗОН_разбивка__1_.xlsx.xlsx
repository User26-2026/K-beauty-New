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Можно продать" sheetId="2" state="visible" r:id="rId4"/>
    <sheet name="Продать частично" sheetId="3" state="visible" r:id="rId5"/>
    <sheet name="Нельзя продать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<sst xmlns="http://schemas.openxmlformats.org/spreadsheetml/2006/main" count="203" uniqueCount="168">
  <si>
    <t xml:space="preserve">Сводка по остаткам для ОЗОН</t>
  </si>
  <si>
    <t xml:space="preserve">Дата анализа: 18.08.2026   •   валюта: ₽ (себестоимость по последнему приходу)</t>
  </si>
  <si>
    <t xml:space="preserve">Категория</t>
  </si>
  <si>
    <t xml:space="preserve">Позиций</t>
  </si>
  <si>
    <t xml:space="preserve">Себестоимость, ₽</t>
  </si>
  <si>
    <t xml:space="preserve">1. Можно продать полностью</t>
  </si>
  <si>
    <t xml:space="preserve">2. Продать частично (всего)</t>
  </si>
  <si>
    <t xml:space="preserve">    из них: продадим за 6 мес</t>
  </si>
  <si>
    <t xml:space="preserve">    из них: ОСТАНЕТСЯ (зависнет)</t>
  </si>
  <si>
    <t xml:space="preserve">3. Нельзя продать</t>
  </si>
  <si>
    <t xml:space="preserve">ИТОГО себестоимость всех остатков</t>
  </si>
  <si>
    <t xml:space="preserve">Оценка ликвидности за 6 месяцев</t>
  </si>
  <si>
    <t xml:space="preserve">Реализуемо за 6 мес (полностью + продаваемая часть)</t>
  </si>
  <si>
    <t xml:space="preserve">Зависает (остаток частичных + неликвид)</t>
  </si>
  <si>
    <t xml:space="preserve">Примечания</t>
  </si>
  <si>
    <t xml:space="preserve">• Товар отнесён к «можно продать полностью», если запас уходит за 6 мес (продажи/мес × 6 ≥ остаток), иначе — «частично».</t>
  </si>
  <si>
    <t xml:space="preserve">• 2 позиции PETITFEE [1 pair] (Gold, Black Pearl &amp; Gold) перенесены из «можно продать» в «нельзя продать»: пометка «да» стояла</t>
  </si>
  <si>
    <t xml:space="preserve">   ошибочно, срок годности истёк (06.2025 и 11.2025). Включены в оптовый прайс со скидкой 50%.</t>
  </si>
  <si>
    <t xml:space="preserve">• 2 позиции MANYO (Bifida Biome Complex Ampoule и Bifida Complex Gel Cleanser) отнесены к «частично»: в колонке B не стояла</t>
  </si>
  <si>
    <t xml:space="preserve">   пометка «не все кол-во», но по скорости продаж остаток не распродаётся за 6 мес.</t>
  </si>
  <si>
    <t xml:space="preserve">• ⚠️ COSRX Salicylic Cleanser — смешанная партия: часть (391 шт) с истёкшим сроком 01.2026, часть (200 шт) до 07.2027. Проверить физически.</t>
  </si>
  <si>
    <t xml:space="preserve">• HEIMISH All Clean Balm (мини) в «нельзя продать» — себестоимость не указана в исходнике, в сумму не вошла.</t>
  </si>
  <si>
    <t xml:space="preserve">• Красная заливка — просрочено; жёлтая — истекает в ближайшие 6 мес или смешанная партия.</t>
  </si>
  <si>
    <t xml:space="preserve">№</t>
  </si>
  <si>
    <t xml:space="preserve">Артикул WB</t>
  </si>
  <si>
    <t xml:space="preserve">Наименование</t>
  </si>
  <si>
    <t xml:space="preserve">Себестоимость
за ед., ₽</t>
  </si>
  <si>
    <t xml:space="preserve">Остаток,
шт</t>
  </si>
  <si>
    <t xml:space="preserve">Продажи
/мес</t>
  </si>
  <si>
    <t xml:space="preserve">Себестоимость
остатка, ₽</t>
  </si>
  <si>
    <t xml:space="preserve">Срок
годности</t>
  </si>
  <si>
    <t xml:space="preserve">Статус срока</t>
  </si>
  <si>
    <t xml:space="preserve">COSRX - Salicylic Acid Daily Gentle Cleanser [150ml] / Пенка с салициловой кислотой для проблемной кожи</t>
  </si>
  <si>
    <t xml:space="preserve">01/26 (391шт) / 07/27 (200шт)</t>
  </si>
  <si>
    <t xml:space="preserve">смешанная партия — проверить</t>
  </si>
  <si>
    <t xml:space="preserve">DEOPROCE SHAMPOO - BLACK GARLIC INTENSME ENERGY [600ml] мягкая упаковка Шампунь с черным чесноком против выпадения волос</t>
  </si>
  <si>
    <t xml:space="preserve">DEOPROCE SHAMPOO+BALSAM - BLACK GARLIC[2000ml]</t>
  </si>
  <si>
    <t xml:space="preserve">DR. JART - Ctrl+A Teatreatment Toner [120ml] / Тонер тоник для лица увлажняющий с чайным деревом</t>
  </si>
  <si>
    <t xml:space="preserve">ELIZAVECCA - CER-100 Collagen Ceramide Coating Protein Treatment [100ml] / Коллагеновая маска для волос</t>
  </si>
  <si>
    <t xml:space="preserve">06.2028</t>
  </si>
  <si>
    <t xml:space="preserve">ок</t>
  </si>
  <si>
    <t xml:space="preserve">ELIZAVECCA - Milky Piggy EGF elastic retinol [100ml] / Антивозрастной крем для лица с ретинолом и EGF</t>
  </si>
  <si>
    <t xml:space="preserve">01.2027</t>
  </si>
  <si>
    <t xml:space="preserve">истекает &lt;6 мес</t>
  </si>
  <si>
    <t xml:space="preserve">ENOUGH - Gold Snail Moisture Foundation [Tone 13] / Тональный крем с муцином улитки 13 тон</t>
  </si>
  <si>
    <t xml:space="preserve">ENOUGH - Gold Snail Moisture Foundation [Tone 21] / Тональный крем с муцином улитки 21 тон</t>
  </si>
  <si>
    <t xml:space="preserve">ENOUGH - Collagen 3in1 Whitening Moisture Foundation [Tone 13] / Тональный крем для лица с коллагеном 3в1 [13 тон]</t>
  </si>
  <si>
    <t xml:space="preserve">ENOUGH - Collagen 3in1 Whitening Moisture Foundation [Tone 21] / Тональный крем для лица с коллагеном 3в1 [21 тон]</t>
  </si>
  <si>
    <t xml:space="preserve">ENOUGH - Premium 8 Peptide Full Cover Perfect Foundation [Tone 13] / Тональный крем с пептидами 13 тон</t>
  </si>
  <si>
    <t xml:space="preserve">ENOUGH - Premium 8 Peptide Full Cover Perfect Foundation [Tone 21] / Тональный крем с пептидами 21 тон</t>
  </si>
  <si>
    <t xml:space="preserve">ETUDE - Baking Powder BB Deep Cleansing Foam [160ml] / Пенка с содой для глубокого очищения и снятия макияжа</t>
  </si>
  <si>
    <t xml:space="preserve">12.2027</t>
  </si>
  <si>
    <t xml:space="preserve">ETUDE - Baking Powder Crunch Pore Scrub [24*7ml] / Очищающий скраб для лица с содой</t>
  </si>
  <si>
    <t xml:space="preserve">JIGOTT - Ассорти набор масок [27ml х 15]</t>
  </si>
  <si>
    <t xml:space="preserve">MANYO - Galac Whitening Vita Serum [50ml] / Осветляющая сыворотка с Витамином C</t>
  </si>
  <si>
    <t xml:space="preserve">MANYO - Bifida Biome Ampoule Lotion [300ml] / Укрепляющий лосьон с бифидобактериями</t>
  </si>
  <si>
    <t xml:space="preserve">09.2027</t>
  </si>
  <si>
    <t xml:space="preserve">MANYO - Pure Cleansing Oil [200ml] / Гидрофильное масло для глубокого очищения</t>
  </si>
  <si>
    <t xml:space="preserve">08.2027</t>
  </si>
  <si>
    <t xml:space="preserve">MANYO BIFIDA INFUSION SHOT AMPOULE 1DX [50ml] / Сыворотка с микроиглами и пробиотиками</t>
  </si>
  <si>
    <t xml:space="preserve">PETITFEE - Collagen &amp; CoQ10 Hydrogel Eye Patch [60ea] / Гидрогелевые патчи для глаз с коллагеном и коэнзимом Q10</t>
  </si>
  <si>
    <t xml:space="preserve">PETITFEE - Bera Glucan Deep Firming Eye Patch [60ea] / Тканевые патчи для век увлажняющие</t>
  </si>
  <si>
    <t xml:space="preserve">PETITFEE - Artichoke Soothing Hydrogel Eye Patch [60ea] / Смягчающие гидрогелевые патчи для глаз с экстрактом артишока</t>
  </si>
  <si>
    <t xml:space="preserve">PETITFEE - Aura Quartz Hydrogel Eye Patch [60ea]</t>
  </si>
  <si>
    <t xml:space="preserve">PETITFEE - Cacao Energizing Hydrogel Eye Patch [60ea] / Тонизирующие гидрогелевые патчи для глаз с экстрактом какао</t>
  </si>
  <si>
    <t xml:space="preserve">PETITFEE - Chamomile Lightening Hydrogel Eye Patch [60ea] / Успокаивающие гидрогелевые патчи для глаз с экстрактом ромашки</t>
  </si>
  <si>
    <t xml:space="preserve">PETITFEE - Gold &amp; EGF Hydrogel Eye &amp; Spot Patch [60ea]/ гидрогелевые патчи с золотом и EGF</t>
  </si>
  <si>
    <t xml:space="preserve">PETITFEE - Pink Vita Brightening Eye Patch [60ea] / Тканевые патчи для век увлажняющие</t>
  </si>
  <si>
    <t xml:space="preserve">PETITFEE - Black Pearl &amp; Gold Hydrogel Eye Patch [60ea] / Гидрогелевые патчи для глаз с черным жемчугом и золотом</t>
  </si>
  <si>
    <t xml:space="preserve">PETITFEE - Agave Cooling Hydrogel Eye Patch [60ea] / Охлаждающие гидрогелевые патчи для глаз с экстрактом агавы</t>
  </si>
  <si>
    <t xml:space="preserve">PETITFEE - Gold &amp; Snail Hydrogel Eye Patch [60ea] / Гидрогелевые патчи для глаз с золотом и улиткой</t>
  </si>
  <si>
    <t xml:space="preserve">PETITFEE - Gold Hydrogel Eye Patch [60ea] / гидрогелевые патчи для глаз с золотом</t>
  </si>
  <si>
    <t xml:space="preserve">PETITFEE - Agave Cooling Hydrogel Face Mask [5pcs] / Охлаждающая гидрогелевая маска для лица с экстрактом агавы</t>
  </si>
  <si>
    <t xml:space="preserve">11.2027</t>
  </si>
  <si>
    <t xml:space="preserve">PETITFEE - Gold Hydrogel Mask Pack [5pcs] / Гидрогелевая маска для лица с золотом</t>
  </si>
  <si>
    <t xml:space="preserve">PETITFEE - Cacao Energizing Hydrogel Mask Pack [5pcs] / Тонизирующая гидрогелевая маска для лица с экстрактом какао</t>
  </si>
  <si>
    <t xml:space="preserve">PETITFEE - Artichoke Soothing Hydrogel Face Mask [5pcs] / Смягчающая гидрогелевая маска для лица с экстрактом артишока</t>
  </si>
  <si>
    <t xml:space="preserve">PETITFEE - Gold &amp; Snail Hydrogel Mask Pack [5pcs] / Гидрогелевая маска для лица с золотом и экстрактом улитки</t>
  </si>
  <si>
    <t xml:space="preserve">PETITFEE - Black Pearl &amp; Gold Hydrogel Mask Pack [5pcs] / Гидрогелевая маска для лица с черным жемчугом и золотом</t>
  </si>
  <si>
    <t xml:space="preserve">ROUND LAB 1025 DOKDO CLEANSER_150ml - Увлажняющая пенка для умывания лица</t>
  </si>
  <si>
    <t xml:space="preserve">ROUND LAB BIRCH JUICE MOISTURIZING CREAM_80ml -Увлажняющий крем с березовым соком</t>
  </si>
  <si>
    <t xml:space="preserve">03.2028</t>
  </si>
  <si>
    <t xml:space="preserve">ROUND LAB MUGWORT CALMING CLEANSER_150ml - Очищающая пенка для умывания лица от прыщей и акне</t>
  </si>
  <si>
    <t xml:space="preserve">11.2028</t>
  </si>
  <si>
    <t xml:space="preserve">ROUND LAB SOYBEAN PANTHENOL CREAM_80ml - Крем для лица с чёрной соей и пантенолом успокаивающий</t>
  </si>
  <si>
    <t xml:space="preserve">02.2028</t>
  </si>
  <si>
    <t xml:space="preserve">ROUND LAB PINE CALMING CICA AMPOULE_30ml - Сыворотка для жирной кожи лица увлажняющая с центеллой</t>
  </si>
  <si>
    <t xml:space="preserve">07.2027</t>
  </si>
  <si>
    <t xml:space="preserve">ROUND LAB 1025 DOKDO TONER_200ml / Отшелушивающий тоник с морской водой</t>
  </si>
  <si>
    <t xml:space="preserve">Celimax Dual Barrier Creamy Toner, тонер 150 мл</t>
  </si>
  <si>
    <t xml:space="preserve">CELIMAX THE VITA-A RETINAL SHOT TIGHTENING BOOSTER [15ml]/Подтягивающий бустер-крем с ретинолом для лица</t>
  </si>
  <si>
    <t xml:space="preserve">CELIMAX THE VITA-A RETINOL SHOT TIGHTENING SERUM [30ml]/Сыворотка с ретинолом и микроиглами для лица</t>
  </si>
  <si>
    <t xml:space="preserve">CELIMAX JI WOO GAE CICA BHA BLEMISH TONER PAD_10EA [30ml]/успокаивающие тонер-пэды</t>
  </si>
  <si>
    <t xml:space="preserve">CELIMAX PORE+DARK SPOT BRIGHTENING CREAM [35ml]/Крем для выравнивания тона и рельефа кожи лица</t>
  </si>
  <si>
    <t xml:space="preserve">CELIMAX DUAL BARRIER SKIN WEARABLE CREAM [50ml]/Крем для восстановления защитного барьера кожи лица</t>
  </si>
  <si>
    <t xml:space="preserve">CELIMAX JI WOO GAE CICA BHA BLEMISH TONER PAD [170ml / 60pads]/Тонер-пэды от воспалений</t>
  </si>
  <si>
    <t xml:space="preserve">CELIMAX THE REAL NONI ENERGY AMPOULE_30ML (NEW) [30ml]/Восстанавливающая сыворотка с экстрактом нони для лица</t>
  </si>
  <si>
    <t xml:space="preserve">CELIMAX PORE+DARK SPOT BRIGHTENING PAD [100ml / 40pads]/Тонер-пэды для выравнивания тона и рельефа кожи</t>
  </si>
  <si>
    <t xml:space="preserve">CELIMAX PORE+DARK SPOT BRIGHTENING SERUM_30ml [30ml]/Сыворотка для выравнивания тона и рельефа кожи лица</t>
  </si>
  <si>
    <t xml:space="preserve">CELIMAX THE REAL NONI MOISTURE BALANCING TONER (NEW) [150ml]/Восстанавливающий тонер с экстрактом нони</t>
  </si>
  <si>
    <t xml:space="preserve">VT PDRN ESSENCE 100 / Укрепляющая бустер-эссенция с ПДРН</t>
  </si>
  <si>
    <t xml:space="preserve">VT REEDLE SHOT 100 / Бустер-сыворотка с микроиглами</t>
  </si>
  <si>
    <t xml:space="preserve">ИТОГО «можно продать»</t>
  </si>
  <si>
    <t xml:space="preserve">Себест.
за ед., ₽</t>
  </si>
  <si>
    <t xml:space="preserve">Продадим
за 6 мес, шт</t>
  </si>
  <si>
    <t xml:space="preserve">Останется,
шт</t>
  </si>
  <si>
    <t xml:space="preserve">Себест.
продаваемого, ₽</t>
  </si>
  <si>
    <t xml:space="preserve">Себест.
остатка, ₽</t>
  </si>
  <si>
    <t xml:space="preserve">Себест.
всего, ₽</t>
  </si>
  <si>
    <t xml:space="preserve">ENOUGH - Collagen Moisture Foundation [Tone 13] / Тональный крем для лица с коллагеном 13 тон</t>
  </si>
  <si>
    <t xml:space="preserve">ENOUGH - Collagen Moisture Foundation [Tone 21] / Тональный крем для лица с коллагеном 21 тон</t>
  </si>
  <si>
    <t xml:space="preserve">ETUDE - Baking Powder Crunch Pore Scrub [200ml] / Очищающий скраб для лица с содой</t>
  </si>
  <si>
    <t xml:space="preserve">HEIMISH - Artless Glow Base SPF50+ PA+++(Renew) [40ml] / База под макияж SPF50+ PA+++</t>
  </si>
  <si>
    <t xml:space="preserve">JIGOTT - Snail Lifting Cream [70ml] / Крем для лица увлажняющий антивозрастной</t>
  </si>
  <si>
    <t xml:space="preserve">JIGOTT - Snail Reparing Cream [100ml] / Крем для лица увлажняющий антивозрастной с муцином улитки</t>
  </si>
  <si>
    <t xml:space="preserve">JIGOTT - Birds Nest Firming Cream [70ml] / Антивозрастной крем с экстрактом ласточкиного гнезда</t>
  </si>
  <si>
    <t xml:space="preserve">JIGOTT - Ultimate Real Collagen Toner [300ml] / тонер с коллагеном антивозрастной</t>
  </si>
  <si>
    <t xml:space="preserve">JIGOTT - Daily Real Cica Toner [300ml] / Тонер для лица с центеллой азиатской</t>
  </si>
  <si>
    <t xml:space="preserve">JIGOTT - Aura Secret Hyaluronec Acid Toner [300ml] / Тонер с гиалуроновой кислотой антивозрастной</t>
  </si>
  <si>
    <t xml:space="preserve">JIGOTT - Moisture Real Aloe Vera Toner [300ml] / Тонер для лица увлажняющий с экстрактом алоэ</t>
  </si>
  <si>
    <t xml:space="preserve">JMSOLUTION - MASK PACK BLACK [30ml*10ea] - ассорти набор 10шт в упаковке</t>
  </si>
  <si>
    <t xml:space="preserve">JMSOLUTION - MASK PACK DISNEY [30ml*10ea] - ассорти набор из 10шт</t>
  </si>
  <si>
    <t xml:space="preserve">MANYO - Bifida Biome Complex Ampoule [50ml] / Антивозрастная сыворотка для лица</t>
  </si>
  <si>
    <t xml:space="preserve">MANYO BIFIDA COMPLEX AMPOULE GEL CLEANSER [400ml] / Гель для умывания с бифидобактериями</t>
  </si>
  <si>
    <t xml:space="preserve">ИТОГО «частично»</t>
  </si>
  <si>
    <t xml:space="preserve">DEOPROCE SHAMPOO - BLACK GARLIC INTENSME ENERGY [600ml] мягкая упаковка с колпачком,Шампунь с черным чесноком против выпадения волос</t>
  </si>
  <si>
    <t xml:space="preserve">DEOPROCE SHAMPOO - BLACK GARLIC INTENSME ENERGY [200ml]/ Шампунь с черным чесноком против выпадения волос</t>
  </si>
  <si>
    <t xml:space="preserve">EKEL - Ampule Сream Сollagen [70ml] / Крем для лица ампульный с коллагеном</t>
  </si>
  <si>
    <t xml:space="preserve">ELIZAVECCA - Hell-Pore Galactomyces Pure Ample / Сыворотка для лица с экстрактом галактомисиса</t>
  </si>
  <si>
    <t xml:space="preserve">05.2026</t>
  </si>
  <si>
    <t xml:space="preserve">ПРОСРОЧЕН</t>
  </si>
  <si>
    <t xml:space="preserve">ENOUGH - Collagen Moisture Essential Cream [50ml] / Увлажняющий крем для лица с коллагеном</t>
  </si>
  <si>
    <t xml:space="preserve">ENOUGH - Collagen Whitening Moisture Cream 3in1 [50g] / Антивозрастной отбеливающий крем с коллагеном</t>
  </si>
  <si>
    <t xml:space="preserve">ENOUGH Collagen whitening cover tip concealer #01 [9g]/Консилер для лица (основная карточка) 4.5 рейтинг</t>
  </si>
  <si>
    <t xml:space="preserve">ENOUGH Collagen whitening cover tip concealer #02 [9g]/Консилер для лица (основная карточка)</t>
  </si>
  <si>
    <t xml:space="preserve">ENOUGH Collagen whitening cover tip concealer #03 [9g]/ Консилер для лица (основаная карточка)</t>
  </si>
  <si>
    <t xml:space="preserve">ENOUGH - Collagen Moisture BB Cream SPF47 PA+++ [50ml] / Увлажняющий BB крем с коллагеном</t>
  </si>
  <si>
    <t xml:space="preserve">10.2026</t>
  </si>
  <si>
    <t xml:space="preserve">FARMSTAY - Collagen &amp; Hyaluronic Acid All-In One Ampoule [250ml] / Сыворотка с коллагеном и гиалуроновой кислотой</t>
  </si>
  <si>
    <t xml:space="preserve">FARMSTAY - Black Garlic Nourishing Shampoo [530ml] / Шампунь-кондиционер 2в1 с экстрактом черного чеснока</t>
  </si>
  <si>
    <t xml:space="preserve">FARMSTAY - Gold Snail Premium Cream [50ml] / Омолаживающий крем с муцином улитки и коллоидным золотом</t>
  </si>
  <si>
    <t xml:space="preserve">04.2028</t>
  </si>
  <si>
    <t xml:space="preserve">FARMSTAY - Escargot Noblesse Intensive Cream [50g] / Крем с муцином королевской улитки</t>
  </si>
  <si>
    <t xml:space="preserve">FARMSTAY ESCARGOT NOBLESSE INTENSIVE AMPOULE/ сыворотка с улиткой</t>
  </si>
  <si>
    <t xml:space="preserve">FARMSTAY - Argan Oil Complete Volume Up Shampoo &amp; Conditioner [530ml] / Шампунь-кондиционер с аргановым маслом</t>
  </si>
  <si>
    <t xml:space="preserve">FARMSTAY - Collagen Water Full Shampoo &amp; Conditioner [530ml] / Шампунь-кондиционер 2в1 с коллагеном</t>
  </si>
  <si>
    <t xml:space="preserve">FARMSTAY - Collagen Water Full Moist Rolling Eye Serum [25ml] / Сыворотка роллер для глаз</t>
  </si>
  <si>
    <t xml:space="preserve">FARMSTAY - Collagen Water Full Moist Cream [100g] / Увлажняющий крем с коллагеном</t>
  </si>
  <si>
    <t xml:space="preserve">FARMSTAY - Collagen Pure Cleansing Foam [180ml]/Пенка для умывания</t>
  </si>
  <si>
    <t xml:space="preserve">HEIMISH - All Clean Balm / Очищающий гидрофильный бальзам щербет МИНИ ВЕРСИЯ</t>
  </si>
  <si>
    <t xml:space="preserve">LEBELAGE - Dr. Peptide Derma Eye Cream [40ml] / Крем для глаз антивозрастной с пептидами</t>
  </si>
  <si>
    <t xml:space="preserve">LANEIGE LIP SLEEPING MASK-BERRY [3g]</t>
  </si>
  <si>
    <t xml:space="preserve">MASIL - 8 Seconds Salon Hair Mask 350ml Set [350ml+8ml*2]</t>
  </si>
  <si>
    <t xml:space="preserve">PETITFEE - Black Pearl &amp; Gold Hydrogel Eye Patch [1 pairs]/ Гидрогелевые патчи для глаз с черным жемчугом и золотом 1 пара</t>
  </si>
  <si>
    <t xml:space="preserve">11.2025</t>
  </si>
  <si>
    <t xml:space="preserve">PETITFEE - Gold Hydrogel Eye Patch [1 Pairs] / гидрогелевые патчи для глаз с золотом 1 пара</t>
  </si>
  <si>
    <t xml:space="preserve">06.2025</t>
  </si>
  <si>
    <t xml:space="preserve">SKIN1004 - Madagascar Centella Ampoule [30ml] / Сыворотка для лица успокаивающая из экстракта центеллы.</t>
  </si>
  <si>
    <t xml:space="preserve">SKIN1004 - Madagascar Centella Hyalu-Cica Sleeping Pack [30ml] / Увлажняющая гиалуроновая ночная маска для сухой кожи</t>
  </si>
  <si>
    <t xml:space="preserve">SOME BY MI - AHA-BHA-PHA 30 Days Miracle Cleansing Bar [106g] / Мыло для проблемной кожи с aha bha кислотами</t>
  </si>
  <si>
    <t xml:space="preserve">08.2026</t>
  </si>
  <si>
    <t xml:space="preserve">SOME BY MI - AHA-BHA-PHA 30 Days Miracle Cream [60g] / Крем для лица</t>
  </si>
  <si>
    <t xml:space="preserve">12.2026</t>
  </si>
  <si>
    <t xml:space="preserve">THE ORDINARY - Argireline Solution 10% [30ml] / Сыворотка для лица от прыщей и акне с ниацинамидом 10 %</t>
  </si>
  <si>
    <t xml:space="preserve">04.2026</t>
  </si>
  <si>
    <t xml:space="preserve">THE ORDINARY - Glycolic Acid 7% Toning Solution [KOR] [240ml] / Тоник с гликолевой кислотой 7%</t>
  </si>
  <si>
    <t xml:space="preserve">10.2027</t>
  </si>
  <si>
    <t xml:space="preserve">ИТОГО «нельзя продать»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</si>
</sst>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&quot; ₽&quot;"/>
    <numFmt numFmtId="167" formatCode="0.0%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9"/>
      <name val="Arial"/>
      <family val="0"/>
      <charset val="1"/>
    </font>
    <font>
      <sz val="10"/>
      <color rgb="FF9C57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B5" s="4" t="s">
        <v>5</v>
      </c>
      <c r="C5" s="5" t="n">
        <f aca="false">COUNTA('Можно продать'!C2:C57)</f>
        <v>56</v>
      </c>
      <c r="D5" s="6" t="n">
        <f aca="false">'Можно продать'!G58</f>
        <v>28671013.03</v>
      </c>
    </row>
    <row r="6" customFormat="false" ht="15" hidden="false" customHeight="false" outlineLevel="0" collapsed="false">
      <c r="B6" s="4" t="s">
        <v>6</v>
      </c>
      <c r="C6" s="5" t="n">
        <f aca="false">COUNTA('Продать частично'!C2:C16)</f>
        <v>15</v>
      </c>
      <c r="D6" s="6" t="n">
        <f aca="false">'Продать частично'!K17</f>
        <v>10271011.76</v>
      </c>
    </row>
    <row r="7" customFormat="false" ht="15" hidden="false" customHeight="false" outlineLevel="0" collapsed="false">
      <c r="B7" s="4" t="s">
        <v>7</v>
      </c>
      <c r="C7" s="5"/>
      <c r="D7" s="6" t="n">
        <f aca="false">'Продать частично'!I17</f>
        <v>3534559.2</v>
      </c>
    </row>
    <row r="8" customFormat="false" ht="15" hidden="false" customHeight="false" outlineLevel="0" collapsed="false">
      <c r="B8" s="7" t="s">
        <v>8</v>
      </c>
      <c r="C8" s="8"/>
      <c r="D8" s="9" t="n">
        <f aca="false">'Продать частично'!J17</f>
        <v>6736452.56</v>
      </c>
    </row>
    <row r="9" customFormat="false" ht="15" hidden="false" customHeight="false" outlineLevel="0" collapsed="false">
      <c r="B9" s="7" t="s">
        <v>9</v>
      </c>
      <c r="C9" s="8" t="n">
        <f aca="false">COUNTA('Нельзя продать'!C2:C33)</f>
        <v>32</v>
      </c>
      <c r="D9" s="9" t="n">
        <f aca="false">'Нельзя продать'!F34</f>
        <v>10360777</v>
      </c>
    </row>
    <row r="10" customFormat="false" ht="15" hidden="false" customHeight="false" outlineLevel="0" collapsed="false">
      <c r="B10" s="10" t="s">
        <v>10</v>
      </c>
      <c r="C10" s="11" t="n">
        <f aca="false">C5+C6+C9</f>
        <v>103</v>
      </c>
      <c r="D10" s="12" t="n">
        <f aca="false">D5+D6+D9</f>
        <v>49302801.79</v>
      </c>
    </row>
    <row r="12" customFormat="false" ht="15" hidden="false" customHeight="false" outlineLevel="0" collapsed="false">
      <c r="B12" s="13" t="s">
        <v>11</v>
      </c>
    </row>
    <row r="13" customFormat="false" ht="23.85" hidden="false" customHeight="false" outlineLevel="0" collapsed="false">
      <c r="B13" s="14" t="s">
        <v>12</v>
      </c>
      <c r="C13" s="15" t="n">
        <f aca="false">D13/D10</f>
        <v>0.653219919776085</v>
      </c>
      <c r="D13" s="16" t="n">
        <f aca="false">D5+D7</f>
        <v>32205572.23</v>
      </c>
    </row>
    <row r="14" customFormat="false" ht="15" hidden="false" customHeight="false" outlineLevel="0" collapsed="false">
      <c r="B14" s="17" t="s">
        <v>13</v>
      </c>
      <c r="C14" s="18" t="n">
        <f aca="false">D14/D10</f>
        <v>0.346780080223915</v>
      </c>
      <c r="D14" s="19" t="n">
        <f aca="false">D8+D9</f>
        <v>17097229.56</v>
      </c>
    </row>
    <row r="16" customFormat="false" ht="15" hidden="false" customHeight="false" outlineLevel="0" collapsed="false">
      <c r="B16" s="13" t="s">
        <v>14</v>
      </c>
    </row>
    <row r="17" customFormat="false" ht="22.35" hidden="false" customHeight="true" outlineLevel="0" collapsed="false">
      <c r="B17" s="20" t="s">
        <v>15</v>
      </c>
      <c r="C17" s="20"/>
      <c r="D17" s="20"/>
    </row>
    <row r="18" customFormat="false" ht="22.35" hidden="false" customHeight="true" outlineLevel="0" collapsed="false">
      <c r="B18" s="20" t="s">
        <v>16</v>
      </c>
      <c r="C18" s="20"/>
      <c r="D18" s="20"/>
    </row>
    <row r="19" customFormat="false" ht="22.35" hidden="false" customHeight="true" outlineLevel="0" collapsed="false">
      <c r="B19" s="20" t="s">
        <v>17</v>
      </c>
      <c r="C19" s="20"/>
      <c r="D19" s="20"/>
    </row>
    <row r="20" customFormat="false" ht="22.35" hidden="false" customHeight="true" outlineLevel="0" collapsed="false">
      <c r="B20" s="20" t="s">
        <v>18</v>
      </c>
      <c r="C20" s="20"/>
      <c r="D20" s="20"/>
    </row>
    <row r="21" customFormat="false" ht="15" hidden="false" customHeight="true" outlineLevel="0" collapsed="false">
      <c r="B21" s="20" t="s">
        <v>19</v>
      </c>
      <c r="C21" s="20"/>
      <c r="D21" s="20"/>
    </row>
    <row r="22" customFormat="false" ht="22.35" hidden="false" customHeight="true" outlineLevel="0" collapsed="false">
      <c r="B22" s="20" t="s">
        <v>20</v>
      </c>
      <c r="C22" s="20"/>
      <c r="D22" s="20"/>
    </row>
    <row r="23" customFormat="false" ht="22.35" hidden="false" customHeight="true" outlineLevel="0" collapsed="false">
      <c r="B23" s="20" t="s">
        <v>21</v>
      </c>
      <c r="C23" s="20"/>
      <c r="D23" s="20"/>
    </row>
    <row r="24" customFormat="false" ht="22.35" hidden="false" customHeight="true" outlineLevel="0" collapsed="false">
      <c r="B24" s="20" t="s">
        <v>22</v>
      </c>
      <c r="C24" s="20"/>
      <c r="D24" s="20"/>
    </row>
  </sheetData>
  <mergeCells count="8">
    <mergeCell ref="B17:D17"/>
    <mergeCell ref="B18:D18"/>
    <mergeCell ref="B19:D19"/>
    <mergeCell ref="B20:D20"/>
    <mergeCell ref="B21:D21"/>
    <mergeCell ref="B22:D22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42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customFormat="false" ht="46.25" hidden="false" customHeight="false" outlineLevel="0" collapsed="false">
      <c r="A2" s="5" t="n">
        <v>1</v>
      </c>
      <c r="B2" s="21" t="n">
        <v>204258828</v>
      </c>
      <c r="C2" s="4" t="s">
        <v>32</v>
      </c>
      <c r="D2" s="6" t="n">
        <v>343.82</v>
      </c>
      <c r="E2" s="22" t="n">
        <v>410</v>
      </c>
      <c r="F2" s="5"/>
      <c r="G2" s="6" t="n">
        <f aca="false">D2*E2</f>
        <v>140966.2</v>
      </c>
      <c r="H2" s="5" t="s">
        <v>33</v>
      </c>
      <c r="I2" s="23" t="s">
        <v>34</v>
      </c>
    </row>
    <row r="3" customFormat="false" ht="35.05" hidden="false" customHeight="false" outlineLevel="0" collapsed="false">
      <c r="A3" s="5" t="n">
        <v>2</v>
      </c>
      <c r="B3" s="21" t="n">
        <v>608837066</v>
      </c>
      <c r="C3" s="4" t="s">
        <v>35</v>
      </c>
      <c r="D3" s="6" t="n">
        <v>269.87</v>
      </c>
      <c r="E3" s="22" t="n">
        <v>66</v>
      </c>
      <c r="F3" s="5"/>
      <c r="G3" s="6" t="n">
        <f aca="false">D3*E3</f>
        <v>17811.42</v>
      </c>
      <c r="H3" s="5"/>
      <c r="I3" s="5"/>
    </row>
    <row r="4" customFormat="false" ht="15" hidden="false" customHeight="false" outlineLevel="0" collapsed="false">
      <c r="A4" s="5" t="n">
        <v>3</v>
      </c>
      <c r="B4" s="21" t="n">
        <v>214305722</v>
      </c>
      <c r="C4" s="4" t="s">
        <v>36</v>
      </c>
      <c r="D4" s="6" t="n">
        <v>726.85</v>
      </c>
      <c r="E4" s="22" t="n">
        <v>443</v>
      </c>
      <c r="F4" s="5"/>
      <c r="G4" s="6" t="n">
        <f aca="false">D4*E4</f>
        <v>321994.55</v>
      </c>
      <c r="H4" s="5"/>
      <c r="I4" s="5"/>
    </row>
    <row r="5" customFormat="false" ht="23.85" hidden="false" customHeight="false" outlineLevel="0" collapsed="false">
      <c r="A5" s="5" t="n">
        <v>4</v>
      </c>
      <c r="B5" s="21" t="n">
        <v>199427475</v>
      </c>
      <c r="C5" s="4" t="s">
        <v>37</v>
      </c>
      <c r="D5" s="6" t="n">
        <v>637.89</v>
      </c>
      <c r="E5" s="22" t="n">
        <v>174</v>
      </c>
      <c r="F5" s="5"/>
      <c r="G5" s="6" t="n">
        <f aca="false">D5*E5</f>
        <v>110992.86</v>
      </c>
      <c r="H5" s="5"/>
      <c r="I5" s="5"/>
    </row>
    <row r="6" customFormat="false" ht="23.85" hidden="false" customHeight="false" outlineLevel="0" collapsed="false">
      <c r="A6" s="5" t="n">
        <v>5</v>
      </c>
      <c r="B6" s="21" t="n">
        <v>207796350</v>
      </c>
      <c r="C6" s="4" t="s">
        <v>38</v>
      </c>
      <c r="D6" s="6" t="n">
        <v>242.23</v>
      </c>
      <c r="E6" s="22" t="n">
        <v>453</v>
      </c>
      <c r="F6" s="5"/>
      <c r="G6" s="6" t="n">
        <f aca="false">D6*E6</f>
        <v>109730.19</v>
      </c>
      <c r="H6" s="5" t="s">
        <v>39</v>
      </c>
      <c r="I6" s="5" t="s">
        <v>40</v>
      </c>
    </row>
    <row r="7" customFormat="false" ht="23.85" hidden="false" customHeight="false" outlineLevel="0" collapsed="false">
      <c r="A7" s="5" t="n">
        <v>6</v>
      </c>
      <c r="B7" s="21" t="n">
        <v>190160008</v>
      </c>
      <c r="C7" s="4" t="s">
        <v>41</v>
      </c>
      <c r="D7" s="6" t="n">
        <v>602.18</v>
      </c>
      <c r="E7" s="22" t="n">
        <v>235</v>
      </c>
      <c r="F7" s="5"/>
      <c r="G7" s="6" t="n">
        <f aca="false">D7*E7</f>
        <v>141512.3</v>
      </c>
      <c r="H7" s="5" t="s">
        <v>42</v>
      </c>
      <c r="I7" s="23" t="s">
        <v>43</v>
      </c>
    </row>
    <row r="8" customFormat="false" ht="23.85" hidden="false" customHeight="false" outlineLevel="0" collapsed="false">
      <c r="A8" s="5" t="n">
        <v>7</v>
      </c>
      <c r="B8" s="21" t="n">
        <v>207796789</v>
      </c>
      <c r="C8" s="4" t="s">
        <v>44</v>
      </c>
      <c r="D8" s="6" t="n">
        <v>245.65</v>
      </c>
      <c r="E8" s="22" t="n">
        <v>95</v>
      </c>
      <c r="F8" s="5"/>
      <c r="G8" s="6" t="n">
        <f aca="false">D8*E8</f>
        <v>23336.75</v>
      </c>
      <c r="H8" s="5"/>
      <c r="I8" s="5"/>
    </row>
    <row r="9" customFormat="false" ht="23.85" hidden="false" customHeight="false" outlineLevel="0" collapsed="false">
      <c r="A9" s="5" t="n">
        <v>8</v>
      </c>
      <c r="B9" s="21" t="n">
        <v>207796898</v>
      </c>
      <c r="C9" s="4" t="s">
        <v>45</v>
      </c>
      <c r="D9" s="6" t="n">
        <v>270.81</v>
      </c>
      <c r="E9" s="22" t="n">
        <v>97</v>
      </c>
      <c r="F9" s="5"/>
      <c r="G9" s="6" t="n">
        <f aca="false">D9*E9</f>
        <v>26268.57</v>
      </c>
      <c r="H9" s="5"/>
      <c r="I9" s="5"/>
    </row>
    <row r="10" customFormat="false" ht="23.85" hidden="false" customHeight="false" outlineLevel="0" collapsed="false">
      <c r="A10" s="5" t="n">
        <v>9</v>
      </c>
      <c r="B10" s="21" t="n">
        <v>151132051</v>
      </c>
      <c r="C10" s="4" t="s">
        <v>46</v>
      </c>
      <c r="D10" s="6" t="n">
        <v>238.13</v>
      </c>
      <c r="E10" s="22" t="n">
        <v>209</v>
      </c>
      <c r="F10" s="5"/>
      <c r="G10" s="6" t="n">
        <f aca="false">D10*E10</f>
        <v>49769.17</v>
      </c>
      <c r="H10" s="5"/>
      <c r="I10" s="5"/>
    </row>
    <row r="11" customFormat="false" ht="23.85" hidden="false" customHeight="false" outlineLevel="0" collapsed="false">
      <c r="A11" s="5" t="n">
        <v>10</v>
      </c>
      <c r="B11" s="21" t="n">
        <v>151132052</v>
      </c>
      <c r="C11" s="4" t="s">
        <v>47</v>
      </c>
      <c r="D11" s="6" t="n">
        <v>223.35</v>
      </c>
      <c r="E11" s="22" t="n">
        <v>78</v>
      </c>
      <c r="F11" s="5"/>
      <c r="G11" s="6" t="n">
        <f aca="false">D11*E11</f>
        <v>17421.3</v>
      </c>
      <c r="H11" s="5"/>
      <c r="I11" s="5"/>
    </row>
    <row r="12" customFormat="false" ht="23.85" hidden="false" customHeight="false" outlineLevel="0" collapsed="false">
      <c r="A12" s="5" t="n">
        <v>11</v>
      </c>
      <c r="B12" s="21" t="n">
        <v>170198738</v>
      </c>
      <c r="C12" s="4" t="s">
        <v>48</v>
      </c>
      <c r="D12" s="6" t="n">
        <v>335.9</v>
      </c>
      <c r="E12" s="22" t="n">
        <v>424</v>
      </c>
      <c r="F12" s="5"/>
      <c r="G12" s="6" t="n">
        <f aca="false">D12*E12</f>
        <v>142421.6</v>
      </c>
      <c r="H12" s="5"/>
      <c r="I12" s="5"/>
    </row>
    <row r="13" customFormat="false" ht="23.85" hidden="false" customHeight="false" outlineLevel="0" collapsed="false">
      <c r="A13" s="5" t="n">
        <v>12</v>
      </c>
      <c r="B13" s="21" t="n">
        <v>170198337</v>
      </c>
      <c r="C13" s="4" t="s">
        <v>49</v>
      </c>
      <c r="D13" s="6" t="n">
        <v>304.77</v>
      </c>
      <c r="E13" s="22" t="n">
        <v>208</v>
      </c>
      <c r="F13" s="5"/>
      <c r="G13" s="6" t="n">
        <f aca="false">D13*E13</f>
        <v>63392.16</v>
      </c>
      <c r="H13" s="5"/>
      <c r="I13" s="5"/>
    </row>
    <row r="14" customFormat="false" ht="23.85" hidden="false" customHeight="false" outlineLevel="0" collapsed="false">
      <c r="A14" s="5" t="n">
        <v>13</v>
      </c>
      <c r="B14" s="21" t="n">
        <v>307073881</v>
      </c>
      <c r="C14" s="4" t="s">
        <v>50</v>
      </c>
      <c r="D14" s="6" t="n">
        <v>292.89</v>
      </c>
      <c r="E14" s="22" t="n">
        <v>201</v>
      </c>
      <c r="F14" s="5"/>
      <c r="G14" s="6" t="n">
        <f aca="false">D14*E14</f>
        <v>58870.89</v>
      </c>
      <c r="H14" s="5" t="s">
        <v>51</v>
      </c>
      <c r="I14" s="5" t="s">
        <v>40</v>
      </c>
    </row>
    <row r="15" customFormat="false" ht="23.85" hidden="false" customHeight="false" outlineLevel="0" collapsed="false">
      <c r="A15" s="5" t="n">
        <v>14</v>
      </c>
      <c r="B15" s="21" t="n">
        <v>154160085</v>
      </c>
      <c r="C15" s="4" t="s">
        <v>52</v>
      </c>
      <c r="D15" s="6" t="n">
        <v>389.99</v>
      </c>
      <c r="E15" s="22" t="n">
        <v>216</v>
      </c>
      <c r="F15" s="5"/>
      <c r="G15" s="6" t="n">
        <f aca="false">D15*E15</f>
        <v>84237.84</v>
      </c>
      <c r="H15" s="5"/>
      <c r="I15" s="5"/>
    </row>
    <row r="16" customFormat="false" ht="15" hidden="false" customHeight="false" outlineLevel="0" collapsed="false">
      <c r="A16" s="5" t="n">
        <v>15</v>
      </c>
      <c r="B16" s="21" t="n">
        <v>255574453</v>
      </c>
      <c r="C16" s="4" t="s">
        <v>53</v>
      </c>
      <c r="D16" s="6" t="n">
        <v>334.05</v>
      </c>
      <c r="E16" s="22" t="n">
        <v>1350</v>
      </c>
      <c r="F16" s="5"/>
      <c r="G16" s="6" t="n">
        <f aca="false">D16*E16</f>
        <v>450967.5</v>
      </c>
      <c r="H16" s="5"/>
      <c r="I16" s="5"/>
    </row>
    <row r="17" customFormat="false" ht="23.85" hidden="false" customHeight="false" outlineLevel="0" collapsed="false">
      <c r="A17" s="5" t="n">
        <v>16</v>
      </c>
      <c r="B17" s="21" t="n">
        <v>198156472</v>
      </c>
      <c r="C17" s="4" t="s">
        <v>54</v>
      </c>
      <c r="D17" s="6" t="n">
        <v>646.83</v>
      </c>
      <c r="E17" s="22" t="n">
        <v>852</v>
      </c>
      <c r="F17" s="5" t="n">
        <v>150</v>
      </c>
      <c r="G17" s="6" t="n">
        <f aca="false">D17*E17</f>
        <v>551099.16</v>
      </c>
      <c r="H17" s="5"/>
      <c r="I17" s="5"/>
    </row>
    <row r="18" customFormat="false" ht="23.85" hidden="false" customHeight="false" outlineLevel="0" collapsed="false">
      <c r="A18" s="5" t="n">
        <v>17</v>
      </c>
      <c r="B18" s="21" t="n">
        <v>198143251</v>
      </c>
      <c r="C18" s="4" t="s">
        <v>55</v>
      </c>
      <c r="D18" s="6" t="n">
        <v>735.34</v>
      </c>
      <c r="E18" s="22" t="n">
        <v>744</v>
      </c>
      <c r="F18" s="5" t="n">
        <v>150</v>
      </c>
      <c r="G18" s="6" t="n">
        <f aca="false">D18*E18</f>
        <v>547092.96</v>
      </c>
      <c r="H18" s="5" t="s">
        <v>56</v>
      </c>
      <c r="I18" s="5" t="s">
        <v>40</v>
      </c>
    </row>
    <row r="19" customFormat="false" ht="23.85" hidden="false" customHeight="false" outlineLevel="0" collapsed="false">
      <c r="A19" s="5" t="n">
        <v>18</v>
      </c>
      <c r="B19" s="21" t="n">
        <v>198156698</v>
      </c>
      <c r="C19" s="4" t="s">
        <v>57</v>
      </c>
      <c r="D19" s="6" t="n">
        <v>853</v>
      </c>
      <c r="E19" s="22" t="n">
        <v>243</v>
      </c>
      <c r="F19" s="5" t="n">
        <v>60</v>
      </c>
      <c r="G19" s="6" t="n">
        <f aca="false">D19*E19</f>
        <v>207279</v>
      </c>
      <c r="H19" s="5" t="s">
        <v>58</v>
      </c>
      <c r="I19" s="5" t="s">
        <v>40</v>
      </c>
    </row>
    <row r="20" customFormat="false" ht="23.85" hidden="false" customHeight="false" outlineLevel="0" collapsed="false">
      <c r="A20" s="5" t="n">
        <v>19</v>
      </c>
      <c r="B20" s="21" t="n">
        <v>868700077</v>
      </c>
      <c r="C20" s="4" t="s">
        <v>59</v>
      </c>
      <c r="D20" s="6" t="n">
        <v>996.75</v>
      </c>
      <c r="E20" s="22" t="n">
        <v>784</v>
      </c>
      <c r="F20" s="5" t="n">
        <v>350</v>
      </c>
      <c r="G20" s="6" t="n">
        <f aca="false">D20*E20</f>
        <v>781452</v>
      </c>
      <c r="H20" s="5"/>
      <c r="I20" s="5"/>
    </row>
    <row r="21" customFormat="false" ht="35.05" hidden="false" customHeight="false" outlineLevel="0" collapsed="false">
      <c r="A21" s="5" t="n">
        <v>20</v>
      </c>
      <c r="B21" s="21" t="n">
        <v>179611231</v>
      </c>
      <c r="C21" s="4" t="s">
        <v>60</v>
      </c>
      <c r="D21" s="6" t="n">
        <v>385.05</v>
      </c>
      <c r="E21" s="22" t="n">
        <v>1006</v>
      </c>
      <c r="F21" s="5"/>
      <c r="G21" s="6" t="n">
        <f aca="false">D21*E21</f>
        <v>387360.3</v>
      </c>
      <c r="H21" s="5"/>
      <c r="I21" s="5"/>
    </row>
    <row r="22" customFormat="false" ht="23.85" hidden="false" customHeight="false" outlineLevel="0" collapsed="false">
      <c r="A22" s="5" t="n">
        <v>21</v>
      </c>
      <c r="B22" s="21" t="n">
        <v>180988755</v>
      </c>
      <c r="C22" s="4" t="s">
        <v>61</v>
      </c>
      <c r="D22" s="6" t="n">
        <v>486.69</v>
      </c>
      <c r="E22" s="22" t="n">
        <v>586</v>
      </c>
      <c r="F22" s="5"/>
      <c r="G22" s="6" t="n">
        <f aca="false">D22*E22</f>
        <v>285200.34</v>
      </c>
      <c r="H22" s="5"/>
      <c r="I22" s="5"/>
    </row>
    <row r="23" customFormat="false" ht="35.05" hidden="false" customHeight="false" outlineLevel="0" collapsed="false">
      <c r="A23" s="5" t="n">
        <v>22</v>
      </c>
      <c r="B23" s="21" t="n">
        <v>179611278</v>
      </c>
      <c r="C23" s="4" t="s">
        <v>62</v>
      </c>
      <c r="D23" s="6" t="n">
        <v>415.46</v>
      </c>
      <c r="E23" s="22" t="n">
        <v>300</v>
      </c>
      <c r="F23" s="5"/>
      <c r="G23" s="6" t="n">
        <f aca="false">D23*E23</f>
        <v>124638</v>
      </c>
      <c r="H23" s="5"/>
      <c r="I23" s="5"/>
    </row>
    <row r="24" customFormat="false" ht="15" hidden="false" customHeight="false" outlineLevel="0" collapsed="false">
      <c r="A24" s="5" t="n">
        <v>23</v>
      </c>
      <c r="B24" s="21" t="n">
        <v>180992464</v>
      </c>
      <c r="C24" s="4" t="s">
        <v>63</v>
      </c>
      <c r="D24" s="6" t="n">
        <v>591.29</v>
      </c>
      <c r="E24" s="22" t="n">
        <v>95</v>
      </c>
      <c r="F24" s="5"/>
      <c r="G24" s="6" t="n">
        <f aca="false">D24*E24</f>
        <v>56172.55</v>
      </c>
      <c r="H24" s="5"/>
      <c r="I24" s="5"/>
    </row>
    <row r="25" customFormat="false" ht="35.05" hidden="false" customHeight="false" outlineLevel="0" collapsed="false">
      <c r="A25" s="5" t="n">
        <v>24</v>
      </c>
      <c r="B25" s="21" t="n">
        <v>179611304</v>
      </c>
      <c r="C25" s="4" t="s">
        <v>64</v>
      </c>
      <c r="D25" s="6" t="n">
        <v>415.46</v>
      </c>
      <c r="E25" s="22" t="n">
        <v>713</v>
      </c>
      <c r="F25" s="5"/>
      <c r="G25" s="6" t="n">
        <f aca="false">D25*E25</f>
        <v>296222.98</v>
      </c>
      <c r="H25" s="5"/>
      <c r="I25" s="5"/>
    </row>
    <row r="26" customFormat="false" ht="35.05" hidden="false" customHeight="false" outlineLevel="0" collapsed="false">
      <c r="A26" s="5" t="n">
        <v>25</v>
      </c>
      <c r="B26" s="21" t="n">
        <v>179611318</v>
      </c>
      <c r="C26" s="4" t="s">
        <v>65</v>
      </c>
      <c r="D26" s="6" t="n">
        <v>415.46</v>
      </c>
      <c r="E26" s="22" t="n">
        <v>288</v>
      </c>
      <c r="F26" s="5"/>
      <c r="G26" s="6" t="n">
        <f aca="false">D26*E26</f>
        <v>119652.48</v>
      </c>
      <c r="H26" s="5"/>
      <c r="I26" s="5"/>
    </row>
    <row r="27" customFormat="false" ht="23.85" hidden="false" customHeight="false" outlineLevel="0" collapsed="false">
      <c r="A27" s="5" t="n">
        <v>26</v>
      </c>
      <c r="B27" s="21" t="n">
        <v>180711041</v>
      </c>
      <c r="C27" s="4" t="s">
        <v>66</v>
      </c>
      <c r="D27" s="6" t="n">
        <v>385.05</v>
      </c>
      <c r="E27" s="22" t="n">
        <v>72</v>
      </c>
      <c r="F27" s="5"/>
      <c r="G27" s="6" t="n">
        <f aca="false">D27*E27</f>
        <v>27723.6</v>
      </c>
      <c r="H27" s="5"/>
      <c r="I27" s="5"/>
    </row>
    <row r="28" customFormat="false" ht="23.85" hidden="false" customHeight="false" outlineLevel="0" collapsed="false">
      <c r="A28" s="5" t="n">
        <v>27</v>
      </c>
      <c r="B28" s="21" t="n">
        <v>180987509</v>
      </c>
      <c r="C28" s="4" t="s">
        <v>67</v>
      </c>
      <c r="D28" s="6" t="n">
        <v>486.69</v>
      </c>
      <c r="E28" s="22" t="n">
        <v>267</v>
      </c>
      <c r="F28" s="5"/>
      <c r="G28" s="6" t="n">
        <f aca="false">D28*E28</f>
        <v>129946.23</v>
      </c>
      <c r="H28" s="5"/>
      <c r="I28" s="5"/>
    </row>
    <row r="29" customFormat="false" ht="23.85" hidden="false" customHeight="false" outlineLevel="0" collapsed="false">
      <c r="A29" s="5" t="n">
        <v>28</v>
      </c>
      <c r="B29" s="21" t="n">
        <v>151175880</v>
      </c>
      <c r="C29" s="4" t="s">
        <v>68</v>
      </c>
      <c r="D29" s="6" t="n">
        <v>387.67</v>
      </c>
      <c r="E29" s="22" t="n">
        <v>909</v>
      </c>
      <c r="F29" s="5"/>
      <c r="G29" s="6" t="n">
        <f aca="false">D29*E29</f>
        <v>352392.03</v>
      </c>
      <c r="H29" s="5"/>
      <c r="I29" s="5"/>
    </row>
    <row r="30" customFormat="false" ht="35.05" hidden="false" customHeight="false" outlineLevel="0" collapsed="false">
      <c r="A30" s="5" t="n">
        <v>29</v>
      </c>
      <c r="B30" s="21" t="n">
        <v>151175877</v>
      </c>
      <c r="C30" s="4" t="s">
        <v>69</v>
      </c>
      <c r="D30" s="6" t="n">
        <v>415.46</v>
      </c>
      <c r="E30" s="22" t="n">
        <v>933</v>
      </c>
      <c r="F30" s="5"/>
      <c r="G30" s="6" t="n">
        <f aca="false">D30*E30</f>
        <v>387624.18</v>
      </c>
      <c r="H30" s="5"/>
      <c r="I30" s="5"/>
    </row>
    <row r="31" customFormat="false" ht="23.85" hidden="false" customHeight="false" outlineLevel="0" collapsed="false">
      <c r="A31" s="5" t="n">
        <v>30</v>
      </c>
      <c r="B31" s="21" t="n">
        <v>179611207</v>
      </c>
      <c r="C31" s="4" t="s">
        <v>70</v>
      </c>
      <c r="D31" s="6" t="n">
        <v>415.46</v>
      </c>
      <c r="E31" s="22" t="n">
        <v>877</v>
      </c>
      <c r="F31" s="5"/>
      <c r="G31" s="6" t="n">
        <f aca="false">D31*E31</f>
        <v>364358.42</v>
      </c>
      <c r="H31" s="5"/>
      <c r="I31" s="5"/>
    </row>
    <row r="32" customFormat="false" ht="23.85" hidden="false" customHeight="false" outlineLevel="0" collapsed="false">
      <c r="A32" s="5" t="n">
        <v>31</v>
      </c>
      <c r="B32" s="21" t="n">
        <v>180711104</v>
      </c>
      <c r="C32" s="4" t="s">
        <v>71</v>
      </c>
      <c r="D32" s="6" t="n">
        <v>415.46</v>
      </c>
      <c r="E32" s="22" t="n">
        <v>694</v>
      </c>
      <c r="F32" s="5"/>
      <c r="G32" s="6" t="n">
        <f aca="false">D32*E32</f>
        <v>288329.24</v>
      </c>
      <c r="H32" s="5"/>
      <c r="I32" s="5"/>
    </row>
    <row r="33" customFormat="false" ht="35.05" hidden="false" customHeight="false" outlineLevel="0" collapsed="false">
      <c r="A33" s="5" t="n">
        <v>32</v>
      </c>
      <c r="B33" s="21" t="n">
        <v>226115324</v>
      </c>
      <c r="C33" s="4" t="s">
        <v>72</v>
      </c>
      <c r="D33" s="6" t="n">
        <v>486.41</v>
      </c>
      <c r="E33" s="22" t="n">
        <v>951</v>
      </c>
      <c r="F33" s="5"/>
      <c r="G33" s="6" t="n">
        <f aca="false">D33*E33</f>
        <v>462575.91</v>
      </c>
      <c r="H33" s="5" t="s">
        <v>73</v>
      </c>
      <c r="I33" s="5" t="s">
        <v>40</v>
      </c>
    </row>
    <row r="34" customFormat="false" ht="23.85" hidden="false" customHeight="false" outlineLevel="0" collapsed="false">
      <c r="A34" s="5" t="n">
        <v>33</v>
      </c>
      <c r="B34" s="21" t="n">
        <v>226114935</v>
      </c>
      <c r="C34" s="4" t="s">
        <v>74</v>
      </c>
      <c r="D34" s="6" t="n">
        <v>507.16</v>
      </c>
      <c r="E34" s="22" t="n">
        <v>722</v>
      </c>
      <c r="F34" s="5"/>
      <c r="G34" s="6" t="n">
        <f aca="false">D34*E34</f>
        <v>366169.52</v>
      </c>
      <c r="H34" s="5"/>
      <c r="I34" s="5"/>
    </row>
    <row r="35" customFormat="false" ht="35.05" hidden="false" customHeight="false" outlineLevel="0" collapsed="false">
      <c r="A35" s="5" t="n">
        <v>34</v>
      </c>
      <c r="B35" s="21" t="n">
        <v>226115248</v>
      </c>
      <c r="C35" s="4" t="s">
        <v>75</v>
      </c>
      <c r="D35" s="6" t="n">
        <v>496.86</v>
      </c>
      <c r="E35" s="22" t="n">
        <v>609</v>
      </c>
      <c r="F35" s="5"/>
      <c r="G35" s="6" t="n">
        <f aca="false">D35*E35</f>
        <v>302587.74</v>
      </c>
      <c r="H35" s="5"/>
      <c r="I35" s="5"/>
    </row>
    <row r="36" customFormat="false" ht="35.05" hidden="false" customHeight="false" outlineLevel="0" collapsed="false">
      <c r="A36" s="5" t="n">
        <v>35</v>
      </c>
      <c r="B36" s="21" t="n">
        <v>226114831</v>
      </c>
      <c r="C36" s="4" t="s">
        <v>76</v>
      </c>
      <c r="D36" s="6" t="n">
        <v>498.54</v>
      </c>
      <c r="E36" s="22" t="n">
        <v>539</v>
      </c>
      <c r="F36" s="5"/>
      <c r="G36" s="6" t="n">
        <f aca="false">D36*E36</f>
        <v>268713.06</v>
      </c>
      <c r="H36" s="5"/>
      <c r="I36" s="5"/>
    </row>
    <row r="37" customFormat="false" ht="35.05" hidden="false" customHeight="false" outlineLevel="0" collapsed="false">
      <c r="A37" s="5" t="n">
        <v>36</v>
      </c>
      <c r="B37" s="21" t="n">
        <v>226115141</v>
      </c>
      <c r="C37" s="4" t="s">
        <v>77</v>
      </c>
      <c r="D37" s="6" t="n">
        <v>478.17</v>
      </c>
      <c r="E37" s="22" t="n">
        <v>453</v>
      </c>
      <c r="F37" s="5"/>
      <c r="G37" s="6" t="n">
        <f aca="false">D37*E37</f>
        <v>216611.01</v>
      </c>
      <c r="H37" s="5"/>
      <c r="I37" s="5"/>
    </row>
    <row r="38" customFormat="false" ht="35.05" hidden="false" customHeight="false" outlineLevel="0" collapsed="false">
      <c r="A38" s="5" t="n">
        <v>37</v>
      </c>
      <c r="B38" s="21" t="n">
        <v>226115478</v>
      </c>
      <c r="C38" s="4" t="s">
        <v>78</v>
      </c>
      <c r="D38" s="6" t="n">
        <v>478.05</v>
      </c>
      <c r="E38" s="22" t="n">
        <v>526</v>
      </c>
      <c r="F38" s="5"/>
      <c r="G38" s="6" t="n">
        <f aca="false">D38*E38</f>
        <v>251454.3</v>
      </c>
      <c r="H38" s="5"/>
      <c r="I38" s="5"/>
    </row>
    <row r="39" customFormat="false" ht="23.85" hidden="false" customHeight="false" outlineLevel="0" collapsed="false">
      <c r="A39" s="5" t="n">
        <v>38</v>
      </c>
      <c r="B39" s="21" t="n">
        <v>437154709</v>
      </c>
      <c r="C39" s="4" t="s">
        <v>79</v>
      </c>
      <c r="D39" s="6" t="n">
        <v>463.19</v>
      </c>
      <c r="E39" s="22" t="n">
        <v>7156</v>
      </c>
      <c r="F39" s="5"/>
      <c r="G39" s="6" t="n">
        <f aca="false">D39*E39</f>
        <v>3314587.64</v>
      </c>
      <c r="H39" s="5"/>
      <c r="I39" s="5"/>
    </row>
    <row r="40" customFormat="false" ht="23.85" hidden="false" customHeight="false" outlineLevel="0" collapsed="false">
      <c r="A40" s="5" t="n">
        <v>39</v>
      </c>
      <c r="B40" s="21" t="n">
        <v>437190353</v>
      </c>
      <c r="C40" s="4" t="s">
        <v>80</v>
      </c>
      <c r="D40" s="6" t="n">
        <v>1092.96</v>
      </c>
      <c r="E40" s="22" t="n">
        <v>260</v>
      </c>
      <c r="F40" s="5"/>
      <c r="G40" s="6" t="n">
        <f aca="false">D40*E40</f>
        <v>284169.6</v>
      </c>
      <c r="H40" s="5" t="s">
        <v>81</v>
      </c>
      <c r="I40" s="5" t="s">
        <v>40</v>
      </c>
    </row>
    <row r="41" customFormat="false" ht="23.85" hidden="false" customHeight="false" outlineLevel="0" collapsed="false">
      <c r="A41" s="5" t="n">
        <v>40</v>
      </c>
      <c r="B41" s="21" t="n">
        <v>437242640</v>
      </c>
      <c r="C41" s="4" t="s">
        <v>82</v>
      </c>
      <c r="D41" s="6" t="n">
        <v>512.32</v>
      </c>
      <c r="E41" s="22" t="n">
        <v>1422</v>
      </c>
      <c r="F41" s="5"/>
      <c r="G41" s="6" t="n">
        <f aca="false">D41*E41</f>
        <v>728519.04</v>
      </c>
      <c r="H41" s="5" t="s">
        <v>83</v>
      </c>
      <c r="I41" s="5" t="s">
        <v>40</v>
      </c>
    </row>
    <row r="42" customFormat="false" ht="23.85" hidden="false" customHeight="false" outlineLevel="0" collapsed="false">
      <c r="A42" s="5" t="n">
        <v>41</v>
      </c>
      <c r="B42" s="21" t="n">
        <v>437254254</v>
      </c>
      <c r="C42" s="4" t="s">
        <v>84</v>
      </c>
      <c r="D42" s="6" t="n">
        <v>1161.41</v>
      </c>
      <c r="E42" s="22" t="n">
        <v>148</v>
      </c>
      <c r="F42" s="5"/>
      <c r="G42" s="6" t="n">
        <f aca="false">D42*E42</f>
        <v>171888.68</v>
      </c>
      <c r="H42" s="5" t="s">
        <v>85</v>
      </c>
      <c r="I42" s="5" t="s">
        <v>40</v>
      </c>
    </row>
    <row r="43" customFormat="false" ht="35.05" hidden="false" customHeight="false" outlineLevel="0" collapsed="false">
      <c r="A43" s="5" t="n">
        <v>42</v>
      </c>
      <c r="B43" s="21" t="n">
        <v>437776835</v>
      </c>
      <c r="C43" s="4" t="s">
        <v>86</v>
      </c>
      <c r="D43" s="6" t="n">
        <v>819.72</v>
      </c>
      <c r="E43" s="22" t="n">
        <v>37</v>
      </c>
      <c r="F43" s="5"/>
      <c r="G43" s="6" t="n">
        <f aca="false">D43*E43</f>
        <v>30329.64</v>
      </c>
      <c r="H43" s="5" t="s">
        <v>87</v>
      </c>
      <c r="I43" s="5" t="s">
        <v>40</v>
      </c>
    </row>
    <row r="44" customFormat="false" ht="23.85" hidden="false" customHeight="false" outlineLevel="0" collapsed="false">
      <c r="A44" s="5" t="n">
        <v>43</v>
      </c>
      <c r="B44" s="21" t="n">
        <v>1123574113</v>
      </c>
      <c r="C44" s="4" t="s">
        <v>88</v>
      </c>
      <c r="D44" s="6" t="n">
        <v>484.93</v>
      </c>
      <c r="E44" s="22" t="n">
        <v>996</v>
      </c>
      <c r="F44" s="5"/>
      <c r="G44" s="6" t="n">
        <f aca="false">D44*E44</f>
        <v>482990.28</v>
      </c>
      <c r="H44" s="5"/>
      <c r="I44" s="5"/>
    </row>
    <row r="45" customFormat="false" ht="15" hidden="false" customHeight="false" outlineLevel="0" collapsed="false">
      <c r="A45" s="5" t="n">
        <v>44</v>
      </c>
      <c r="B45" s="21" t="n">
        <v>868516027</v>
      </c>
      <c r="C45" s="4" t="s">
        <v>89</v>
      </c>
      <c r="D45" s="6" t="n">
        <v>663.86</v>
      </c>
      <c r="E45" s="22" t="n">
        <v>4885</v>
      </c>
      <c r="F45" s="5"/>
      <c r="G45" s="6" t="n">
        <f aca="false">D45*E45</f>
        <v>3242956.1</v>
      </c>
      <c r="H45" s="5"/>
      <c r="I45" s="5"/>
    </row>
    <row r="46" customFormat="false" ht="35.05" hidden="false" customHeight="false" outlineLevel="0" collapsed="false">
      <c r="A46" s="5" t="n">
        <v>45</v>
      </c>
      <c r="B46" s="21" t="n">
        <v>551387355</v>
      </c>
      <c r="C46" s="4" t="s">
        <v>90</v>
      </c>
      <c r="D46" s="6" t="n">
        <v>512.18</v>
      </c>
      <c r="E46" s="22" t="n">
        <v>9766</v>
      </c>
      <c r="F46" s="5"/>
      <c r="G46" s="6" t="n">
        <f aca="false">D46*E46</f>
        <v>5001949.88</v>
      </c>
      <c r="H46" s="5"/>
      <c r="I46" s="5"/>
    </row>
    <row r="47" customFormat="false" ht="23.85" hidden="false" customHeight="false" outlineLevel="0" collapsed="false">
      <c r="A47" s="5" t="n">
        <v>46</v>
      </c>
      <c r="B47" s="21" t="n">
        <v>551465879</v>
      </c>
      <c r="C47" s="4" t="s">
        <v>91</v>
      </c>
      <c r="D47" s="6" t="n">
        <v>532.1</v>
      </c>
      <c r="E47" s="22" t="n">
        <v>3562</v>
      </c>
      <c r="F47" s="5"/>
      <c r="G47" s="6" t="n">
        <f aca="false">D47*E47</f>
        <v>1895340.2</v>
      </c>
      <c r="H47" s="5"/>
      <c r="I47" s="5"/>
    </row>
    <row r="48" customFormat="false" ht="23.85" hidden="false" customHeight="false" outlineLevel="0" collapsed="false">
      <c r="A48" s="5" t="n">
        <v>47</v>
      </c>
      <c r="B48" s="21" t="n">
        <v>551600265</v>
      </c>
      <c r="C48" s="4" t="s">
        <v>92</v>
      </c>
      <c r="D48" s="6" t="n">
        <v>96.94</v>
      </c>
      <c r="E48" s="22" t="n">
        <v>1696</v>
      </c>
      <c r="F48" s="5"/>
      <c r="G48" s="6" t="n">
        <f aca="false">D48*E48</f>
        <v>164410.24</v>
      </c>
      <c r="H48" s="5"/>
      <c r="I48" s="5"/>
    </row>
    <row r="49" customFormat="false" ht="23.85" hidden="false" customHeight="false" outlineLevel="0" collapsed="false">
      <c r="A49" s="5" t="n">
        <v>48</v>
      </c>
      <c r="B49" s="21" t="n">
        <v>551447345</v>
      </c>
      <c r="C49" s="4" t="s">
        <v>93</v>
      </c>
      <c r="D49" s="6" t="n">
        <v>623.43</v>
      </c>
      <c r="E49" s="22" t="n">
        <v>99</v>
      </c>
      <c r="F49" s="5"/>
      <c r="G49" s="6" t="n">
        <f aca="false">D49*E49</f>
        <v>61719.57</v>
      </c>
      <c r="H49" s="5"/>
      <c r="I49" s="5"/>
    </row>
    <row r="50" customFormat="false" ht="35.05" hidden="false" customHeight="false" outlineLevel="0" collapsed="false">
      <c r="A50" s="5" t="n">
        <v>49</v>
      </c>
      <c r="B50" s="21" t="n">
        <v>551392965</v>
      </c>
      <c r="C50" s="4" t="s">
        <v>94</v>
      </c>
      <c r="D50" s="6" t="n">
        <v>864.11</v>
      </c>
      <c r="E50" s="22" t="n">
        <v>446</v>
      </c>
      <c r="F50" s="5"/>
      <c r="G50" s="6" t="n">
        <f aca="false">D50*E50</f>
        <v>385393.06</v>
      </c>
      <c r="H50" s="5"/>
      <c r="I50" s="5"/>
    </row>
    <row r="51" customFormat="false" ht="23.85" hidden="false" customHeight="false" outlineLevel="0" collapsed="false">
      <c r="A51" s="5" t="n">
        <v>50</v>
      </c>
      <c r="B51" s="21" t="n">
        <v>551607905</v>
      </c>
      <c r="C51" s="4" t="s">
        <v>95</v>
      </c>
      <c r="D51" s="6" t="n">
        <v>707.88</v>
      </c>
      <c r="E51" s="22" t="n">
        <v>1620</v>
      </c>
      <c r="F51" s="5"/>
      <c r="G51" s="6" t="n">
        <f aca="false">D51*E51</f>
        <v>1146765.6</v>
      </c>
      <c r="H51" s="5"/>
      <c r="I51" s="5"/>
    </row>
    <row r="52" customFormat="false" ht="35.05" hidden="false" customHeight="false" outlineLevel="0" collapsed="false">
      <c r="A52" s="5" t="n">
        <v>51</v>
      </c>
      <c r="B52" s="21" t="n">
        <v>551472457</v>
      </c>
      <c r="C52" s="4" t="s">
        <v>96</v>
      </c>
      <c r="D52" s="6" t="n">
        <v>763.83</v>
      </c>
      <c r="E52" s="22" t="n">
        <v>62</v>
      </c>
      <c r="F52" s="5"/>
      <c r="G52" s="6" t="n">
        <f aca="false">D52*E52</f>
        <v>47357.46</v>
      </c>
      <c r="H52" s="5"/>
      <c r="I52" s="5"/>
    </row>
    <row r="53" customFormat="false" ht="35.05" hidden="false" customHeight="false" outlineLevel="0" collapsed="false">
      <c r="A53" s="5" t="n">
        <v>52</v>
      </c>
      <c r="B53" s="21" t="n">
        <v>551540924</v>
      </c>
      <c r="C53" s="4" t="s">
        <v>97</v>
      </c>
      <c r="D53" s="6" t="n">
        <v>556.18</v>
      </c>
      <c r="E53" s="22" t="n">
        <v>1795</v>
      </c>
      <c r="F53" s="5"/>
      <c r="G53" s="6" t="n">
        <f aca="false">D53*E53</f>
        <v>998343.1</v>
      </c>
      <c r="H53" s="5"/>
      <c r="I53" s="5"/>
    </row>
    <row r="54" customFormat="false" ht="35.05" hidden="false" customHeight="false" outlineLevel="0" collapsed="false">
      <c r="A54" s="5" t="n">
        <v>53</v>
      </c>
      <c r="B54" s="21" t="n">
        <v>551482493</v>
      </c>
      <c r="C54" s="4" t="s">
        <v>98</v>
      </c>
      <c r="D54" s="6" t="n">
        <v>687.58</v>
      </c>
      <c r="E54" s="22" t="n">
        <v>124</v>
      </c>
      <c r="F54" s="5"/>
      <c r="G54" s="6" t="n">
        <f aca="false">D54*E54</f>
        <v>85259.92</v>
      </c>
      <c r="H54" s="5"/>
      <c r="I54" s="5"/>
    </row>
    <row r="55" customFormat="false" ht="23.85" hidden="false" customHeight="false" outlineLevel="0" collapsed="false">
      <c r="A55" s="5" t="n">
        <v>54</v>
      </c>
      <c r="B55" s="21" t="n">
        <v>551518955</v>
      </c>
      <c r="C55" s="4" t="s">
        <v>99</v>
      </c>
      <c r="D55" s="6" t="n">
        <v>719.58</v>
      </c>
      <c r="E55" s="22" t="n">
        <v>194</v>
      </c>
      <c r="F55" s="5"/>
      <c r="G55" s="6" t="n">
        <f aca="false">D55*E55</f>
        <v>139598.52</v>
      </c>
      <c r="H55" s="5"/>
      <c r="I55" s="5"/>
    </row>
    <row r="56" customFormat="false" ht="23.85" hidden="false" customHeight="false" outlineLevel="0" collapsed="false">
      <c r="A56" s="5" t="n">
        <v>55</v>
      </c>
      <c r="B56" s="21" t="n">
        <v>1119249556</v>
      </c>
      <c r="C56" s="4" t="s">
        <v>100</v>
      </c>
      <c r="D56" s="6" t="n">
        <v>1335.95</v>
      </c>
      <c r="E56" s="22" t="n">
        <v>1069</v>
      </c>
      <c r="F56" s="5"/>
      <c r="G56" s="6" t="n">
        <f aca="false">D56*E56</f>
        <v>1428130.55</v>
      </c>
      <c r="H56" s="5"/>
      <c r="I56" s="5"/>
    </row>
    <row r="57" customFormat="false" ht="15" hidden="false" customHeight="false" outlineLevel="0" collapsed="false">
      <c r="A57" s="5" t="n">
        <v>56</v>
      </c>
      <c r="B57" s="21" t="n">
        <v>1123494802</v>
      </c>
      <c r="C57" s="4" t="s">
        <v>101</v>
      </c>
      <c r="D57" s="6" t="n">
        <v>974.04</v>
      </c>
      <c r="E57" s="22" t="n">
        <v>541</v>
      </c>
      <c r="F57" s="5"/>
      <c r="G57" s="6" t="n">
        <f aca="false">D57*E57</f>
        <v>526955.64</v>
      </c>
      <c r="H57" s="5"/>
      <c r="I57" s="5"/>
    </row>
    <row r="58" customFormat="false" ht="15" hidden="false" customHeight="false" outlineLevel="0" collapsed="false">
      <c r="A58" s="24"/>
      <c r="B58" s="24"/>
      <c r="C58" s="24" t="s">
        <v>102</v>
      </c>
      <c r="D58" s="24"/>
      <c r="E58" s="25" t="n">
        <f aca="false">SUM(E2:E57)</f>
        <v>53700</v>
      </c>
      <c r="F58" s="24"/>
      <c r="G58" s="12" t="n">
        <f aca="false">SUM(G2:G57)</f>
        <v>28671013.03</v>
      </c>
      <c r="H58" s="24"/>
      <c r="I5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2" min="12" style="0" width="11"/>
    <col collapsed="false" customWidth="true" hidden="false" outlineLevel="0" max="13" min="13" style="0" width="20"/>
  </cols>
  <sheetData>
    <row r="1" customFormat="false" ht="42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103</v>
      </c>
      <c r="E1" s="3" t="s">
        <v>27</v>
      </c>
      <c r="F1" s="3" t="s">
        <v>28</v>
      </c>
      <c r="G1" s="3" t="s">
        <v>104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30</v>
      </c>
      <c r="M1" s="3" t="s">
        <v>31</v>
      </c>
    </row>
    <row r="2" customFormat="false" ht="23.85" hidden="false" customHeight="false" outlineLevel="0" collapsed="false">
      <c r="A2" s="5" t="n">
        <v>1</v>
      </c>
      <c r="B2" s="21" t="n">
        <v>150925321</v>
      </c>
      <c r="C2" s="4" t="s">
        <v>109</v>
      </c>
      <c r="D2" s="6" t="n">
        <v>216.45</v>
      </c>
      <c r="E2" s="22" t="n">
        <v>1066</v>
      </c>
      <c r="F2" s="5" t="n">
        <v>150</v>
      </c>
      <c r="G2" s="22" t="n">
        <f aca="false">F2*6</f>
        <v>900</v>
      </c>
      <c r="H2" s="22" t="n">
        <f aca="false">E2-G2</f>
        <v>166</v>
      </c>
      <c r="I2" s="6" t="n">
        <f aca="false">D2*G2</f>
        <v>194805</v>
      </c>
      <c r="J2" s="6" t="n">
        <f aca="false">D2*H2</f>
        <v>35930.7</v>
      </c>
      <c r="K2" s="6" t="n">
        <f aca="false">D2*E2</f>
        <v>230735.7</v>
      </c>
      <c r="L2" s="5"/>
      <c r="M2" s="5"/>
    </row>
    <row r="3" customFormat="false" ht="23.85" hidden="false" customHeight="false" outlineLevel="0" collapsed="false">
      <c r="A3" s="5" t="n">
        <v>2</v>
      </c>
      <c r="B3" s="21" t="n">
        <v>150925322</v>
      </c>
      <c r="C3" s="4" t="s">
        <v>110</v>
      </c>
      <c r="D3" s="6" t="n">
        <v>242.88</v>
      </c>
      <c r="E3" s="22" t="n">
        <v>2250</v>
      </c>
      <c r="F3" s="5" t="n">
        <v>150</v>
      </c>
      <c r="G3" s="22" t="n">
        <f aca="false">F3*6</f>
        <v>900</v>
      </c>
      <c r="H3" s="22" t="n">
        <f aca="false">E3-G3</f>
        <v>1350</v>
      </c>
      <c r="I3" s="6" t="n">
        <f aca="false">D3*G3</f>
        <v>218592</v>
      </c>
      <c r="J3" s="6" t="n">
        <f aca="false">D3*H3</f>
        <v>327888</v>
      </c>
      <c r="K3" s="6" t="n">
        <f aca="false">D3*E3</f>
        <v>546480</v>
      </c>
      <c r="L3" s="5"/>
      <c r="M3" s="5"/>
    </row>
    <row r="4" customFormat="false" ht="23.85" hidden="false" customHeight="false" outlineLevel="0" collapsed="false">
      <c r="A4" s="5" t="n">
        <v>3</v>
      </c>
      <c r="B4" s="21" t="n">
        <v>151313163</v>
      </c>
      <c r="C4" s="4" t="s">
        <v>111</v>
      </c>
      <c r="D4" s="6" t="n">
        <v>361.03</v>
      </c>
      <c r="E4" s="22" t="n">
        <v>7902</v>
      </c>
      <c r="F4" s="5" t="n">
        <v>200</v>
      </c>
      <c r="G4" s="22" t="n">
        <f aca="false">F4*6</f>
        <v>1200</v>
      </c>
      <c r="H4" s="22" t="n">
        <f aca="false">E4-G4</f>
        <v>6702</v>
      </c>
      <c r="I4" s="6" t="n">
        <f aca="false">D4*G4</f>
        <v>433236</v>
      </c>
      <c r="J4" s="6" t="n">
        <f aca="false">D4*H4</f>
        <v>2419623.06</v>
      </c>
      <c r="K4" s="6" t="n">
        <f aca="false">D4*E4</f>
        <v>2852859.06</v>
      </c>
      <c r="L4" s="5" t="s">
        <v>85</v>
      </c>
      <c r="M4" s="5" t="s">
        <v>40</v>
      </c>
    </row>
    <row r="5" customFormat="false" ht="23.85" hidden="false" customHeight="false" outlineLevel="0" collapsed="false">
      <c r="A5" s="5" t="n">
        <v>4</v>
      </c>
      <c r="B5" s="21" t="n">
        <v>207466866</v>
      </c>
      <c r="C5" s="4" t="s">
        <v>112</v>
      </c>
      <c r="D5" s="6" t="n">
        <v>770.48</v>
      </c>
      <c r="E5" s="22" t="n">
        <v>1025</v>
      </c>
      <c r="F5" s="5" t="n">
        <v>100</v>
      </c>
      <c r="G5" s="22" t="n">
        <f aca="false">F5*6</f>
        <v>600</v>
      </c>
      <c r="H5" s="22" t="n">
        <f aca="false">E5-G5</f>
        <v>425</v>
      </c>
      <c r="I5" s="6" t="n">
        <f aca="false">D5*G5</f>
        <v>462288</v>
      </c>
      <c r="J5" s="6" t="n">
        <f aca="false">D5*H5</f>
        <v>327454</v>
      </c>
      <c r="K5" s="6" t="n">
        <f aca="false">D5*E5</f>
        <v>789742</v>
      </c>
      <c r="L5" s="5"/>
      <c r="M5" s="5"/>
    </row>
    <row r="6" customFormat="false" ht="23.85" hidden="false" customHeight="false" outlineLevel="0" collapsed="false">
      <c r="A6" s="5" t="n">
        <v>5</v>
      </c>
      <c r="B6" s="21" t="n">
        <v>207482718</v>
      </c>
      <c r="C6" s="4" t="s">
        <v>113</v>
      </c>
      <c r="D6" s="6" t="n">
        <v>202.27</v>
      </c>
      <c r="E6" s="22" t="n">
        <v>7618</v>
      </c>
      <c r="F6" s="5" t="n">
        <v>100</v>
      </c>
      <c r="G6" s="22" t="n">
        <f aca="false">F6*6</f>
        <v>600</v>
      </c>
      <c r="H6" s="22" t="n">
        <f aca="false">E6-G6</f>
        <v>7018</v>
      </c>
      <c r="I6" s="6" t="n">
        <f aca="false">D6*G6</f>
        <v>121362</v>
      </c>
      <c r="J6" s="6" t="n">
        <f aca="false">D6*H6</f>
        <v>1419530.86</v>
      </c>
      <c r="K6" s="6" t="n">
        <f aca="false">D6*E6</f>
        <v>1540892.86</v>
      </c>
      <c r="L6" s="5"/>
      <c r="M6" s="5"/>
    </row>
    <row r="7" customFormat="false" ht="35.05" hidden="false" customHeight="false" outlineLevel="0" collapsed="false">
      <c r="A7" s="5" t="n">
        <v>6</v>
      </c>
      <c r="B7" s="21" t="n">
        <v>207483179</v>
      </c>
      <c r="C7" s="4" t="s">
        <v>114</v>
      </c>
      <c r="D7" s="6" t="n">
        <v>185.86</v>
      </c>
      <c r="E7" s="22" t="n">
        <v>1233</v>
      </c>
      <c r="F7" s="5" t="n">
        <v>100</v>
      </c>
      <c r="G7" s="22" t="n">
        <f aca="false">F7*6</f>
        <v>600</v>
      </c>
      <c r="H7" s="22" t="n">
        <f aca="false">E7-G7</f>
        <v>633</v>
      </c>
      <c r="I7" s="6" t="n">
        <f aca="false">D7*G7</f>
        <v>111516</v>
      </c>
      <c r="J7" s="6" t="n">
        <f aca="false">D7*H7</f>
        <v>117649.38</v>
      </c>
      <c r="K7" s="6" t="n">
        <f aca="false">D7*E7</f>
        <v>229165.38</v>
      </c>
      <c r="L7" s="5"/>
      <c r="M7" s="5"/>
    </row>
    <row r="8" customFormat="false" ht="35.05" hidden="false" customHeight="false" outlineLevel="0" collapsed="false">
      <c r="A8" s="5" t="n">
        <v>7</v>
      </c>
      <c r="B8" s="21" t="n">
        <v>207483780</v>
      </c>
      <c r="C8" s="4" t="s">
        <v>115</v>
      </c>
      <c r="D8" s="6" t="n">
        <v>202.27</v>
      </c>
      <c r="E8" s="22" t="n">
        <v>1814</v>
      </c>
      <c r="F8" s="5" t="n">
        <v>50</v>
      </c>
      <c r="G8" s="22" t="n">
        <f aca="false">F8*6</f>
        <v>300</v>
      </c>
      <c r="H8" s="22" t="n">
        <f aca="false">E8-G8</f>
        <v>1514</v>
      </c>
      <c r="I8" s="6" t="n">
        <f aca="false">D8*G8</f>
        <v>60681</v>
      </c>
      <c r="J8" s="6" t="n">
        <f aca="false">D8*H8</f>
        <v>306236.78</v>
      </c>
      <c r="K8" s="6" t="n">
        <f aca="false">D8*E8</f>
        <v>366917.78</v>
      </c>
      <c r="L8" s="5" t="s">
        <v>39</v>
      </c>
      <c r="M8" s="5" t="s">
        <v>40</v>
      </c>
    </row>
    <row r="9" customFormat="false" ht="23.85" hidden="false" customHeight="false" outlineLevel="0" collapsed="false">
      <c r="A9" s="5" t="n">
        <v>8</v>
      </c>
      <c r="B9" s="21" t="n">
        <v>212760119</v>
      </c>
      <c r="C9" s="4" t="s">
        <v>116</v>
      </c>
      <c r="D9" s="6" t="n">
        <v>265.36</v>
      </c>
      <c r="E9" s="22" t="n">
        <v>1296</v>
      </c>
      <c r="F9" s="5" t="n">
        <v>100</v>
      </c>
      <c r="G9" s="22" t="n">
        <f aca="false">F9*6</f>
        <v>600</v>
      </c>
      <c r="H9" s="22" t="n">
        <f aca="false">E9-G9</f>
        <v>696</v>
      </c>
      <c r="I9" s="6" t="n">
        <f aca="false">D9*G9</f>
        <v>159216</v>
      </c>
      <c r="J9" s="6" t="n">
        <f aca="false">D9*H9</f>
        <v>184690.56</v>
      </c>
      <c r="K9" s="6" t="n">
        <f aca="false">D9*E9</f>
        <v>343906.56</v>
      </c>
      <c r="L9" s="5"/>
      <c r="M9" s="5"/>
    </row>
    <row r="10" customFormat="false" ht="23.85" hidden="false" customHeight="false" outlineLevel="0" collapsed="false">
      <c r="A10" s="5" t="n">
        <v>9</v>
      </c>
      <c r="B10" s="21" t="n">
        <v>212757456</v>
      </c>
      <c r="C10" s="4" t="s">
        <v>117</v>
      </c>
      <c r="D10" s="6" t="n">
        <v>265.36</v>
      </c>
      <c r="E10" s="22" t="n">
        <v>1468</v>
      </c>
      <c r="F10" s="5" t="n">
        <v>100</v>
      </c>
      <c r="G10" s="22" t="n">
        <f aca="false">F10*6</f>
        <v>600</v>
      </c>
      <c r="H10" s="22" t="n">
        <f aca="false">E10-G10</f>
        <v>868</v>
      </c>
      <c r="I10" s="6" t="n">
        <f aca="false">D10*G10</f>
        <v>159216</v>
      </c>
      <c r="J10" s="6" t="n">
        <f aca="false">D10*H10</f>
        <v>230332.48</v>
      </c>
      <c r="K10" s="6" t="n">
        <f aca="false">D10*E10</f>
        <v>389548.48</v>
      </c>
      <c r="L10" s="5"/>
      <c r="M10" s="5"/>
    </row>
    <row r="11" customFormat="false" ht="23.85" hidden="false" customHeight="false" outlineLevel="0" collapsed="false">
      <c r="A11" s="5" t="n">
        <v>10</v>
      </c>
      <c r="B11" s="21" t="n">
        <v>212883090</v>
      </c>
      <c r="C11" s="4" t="s">
        <v>118</v>
      </c>
      <c r="D11" s="6" t="n">
        <v>265.36</v>
      </c>
      <c r="E11" s="22" t="n">
        <v>422</v>
      </c>
      <c r="F11" s="5" t="n">
        <v>50</v>
      </c>
      <c r="G11" s="22" t="n">
        <f aca="false">F11*6</f>
        <v>300</v>
      </c>
      <c r="H11" s="22" t="n">
        <f aca="false">E11-G11</f>
        <v>122</v>
      </c>
      <c r="I11" s="6" t="n">
        <f aca="false">D11*G11</f>
        <v>79608</v>
      </c>
      <c r="J11" s="6" t="n">
        <f aca="false">D11*H11</f>
        <v>32373.92</v>
      </c>
      <c r="K11" s="6" t="n">
        <f aca="false">D11*E11</f>
        <v>111981.92</v>
      </c>
      <c r="L11" s="5"/>
      <c r="M11" s="5"/>
    </row>
    <row r="12" customFormat="false" ht="23.85" hidden="false" customHeight="false" outlineLevel="0" collapsed="false">
      <c r="A12" s="5" t="n">
        <v>11</v>
      </c>
      <c r="B12" s="21" t="n">
        <v>212759698</v>
      </c>
      <c r="C12" s="4" t="s">
        <v>119</v>
      </c>
      <c r="D12" s="6" t="n">
        <v>265.36</v>
      </c>
      <c r="E12" s="22" t="n">
        <v>356</v>
      </c>
      <c r="F12" s="5" t="n">
        <v>50</v>
      </c>
      <c r="G12" s="22" t="n">
        <f aca="false">F12*6</f>
        <v>300</v>
      </c>
      <c r="H12" s="22" t="n">
        <f aca="false">E12-G12</f>
        <v>56</v>
      </c>
      <c r="I12" s="6" t="n">
        <f aca="false">D12*G12</f>
        <v>79608</v>
      </c>
      <c r="J12" s="6" t="n">
        <f aca="false">D12*H12</f>
        <v>14860.16</v>
      </c>
      <c r="K12" s="6" t="n">
        <f aca="false">D12*E12</f>
        <v>94468.16</v>
      </c>
      <c r="L12" s="5"/>
      <c r="M12" s="5"/>
    </row>
    <row r="13" customFormat="false" ht="23.85" hidden="false" customHeight="false" outlineLevel="0" collapsed="false">
      <c r="A13" s="5" t="n">
        <v>12</v>
      </c>
      <c r="B13" s="21" t="n">
        <v>214977901</v>
      </c>
      <c r="C13" s="4" t="s">
        <v>120</v>
      </c>
      <c r="D13" s="6" t="n">
        <v>463.2</v>
      </c>
      <c r="E13" s="22" t="n">
        <v>1039</v>
      </c>
      <c r="F13" s="5" t="n">
        <v>100</v>
      </c>
      <c r="G13" s="22" t="n">
        <f aca="false">F13*6</f>
        <v>600</v>
      </c>
      <c r="H13" s="22" t="n">
        <f aca="false">E13-G13</f>
        <v>439</v>
      </c>
      <c r="I13" s="6" t="n">
        <f aca="false">D13*G13</f>
        <v>277920</v>
      </c>
      <c r="J13" s="6" t="n">
        <f aca="false">D13*H13</f>
        <v>203344.8</v>
      </c>
      <c r="K13" s="6" t="n">
        <f aca="false">D13*E13</f>
        <v>481264.8</v>
      </c>
      <c r="L13" s="5"/>
      <c r="M13" s="5"/>
    </row>
    <row r="14" customFormat="false" ht="23.85" hidden="false" customHeight="false" outlineLevel="0" collapsed="false">
      <c r="A14" s="5" t="n">
        <v>13</v>
      </c>
      <c r="B14" s="21" t="n">
        <v>214964091</v>
      </c>
      <c r="C14" s="4" t="s">
        <v>121</v>
      </c>
      <c r="D14" s="6" t="n">
        <v>463.2</v>
      </c>
      <c r="E14" s="22" t="n">
        <v>832</v>
      </c>
      <c r="F14" s="5" t="n">
        <v>100</v>
      </c>
      <c r="G14" s="22" t="n">
        <f aca="false">F14*6</f>
        <v>600</v>
      </c>
      <c r="H14" s="22" t="n">
        <f aca="false">E14-G14</f>
        <v>232</v>
      </c>
      <c r="I14" s="6" t="n">
        <f aca="false">D14*G14</f>
        <v>277920</v>
      </c>
      <c r="J14" s="6" t="n">
        <f aca="false">D14*H14</f>
        <v>107462.4</v>
      </c>
      <c r="K14" s="6" t="n">
        <f aca="false">D14*E14</f>
        <v>385382.4</v>
      </c>
      <c r="L14" s="5"/>
      <c r="M14" s="5"/>
    </row>
    <row r="15" customFormat="false" ht="23.85" hidden="false" customHeight="false" outlineLevel="0" collapsed="false">
      <c r="A15" s="5" t="n">
        <v>14</v>
      </c>
      <c r="B15" s="21" t="n">
        <v>198147185</v>
      </c>
      <c r="C15" s="4" t="s">
        <v>122</v>
      </c>
      <c r="D15" s="6" t="n">
        <v>899.78</v>
      </c>
      <c r="E15" s="22" t="n">
        <v>1459</v>
      </c>
      <c r="F15" s="5" t="n">
        <v>150</v>
      </c>
      <c r="G15" s="22" t="n">
        <f aca="false">F15*6</f>
        <v>900</v>
      </c>
      <c r="H15" s="22" t="n">
        <f aca="false">E15-G15</f>
        <v>559</v>
      </c>
      <c r="I15" s="6" t="n">
        <f aca="false">D15*G15</f>
        <v>809802</v>
      </c>
      <c r="J15" s="6" t="n">
        <f aca="false">D15*H15</f>
        <v>502977.02</v>
      </c>
      <c r="K15" s="6" t="n">
        <f aca="false">D15*E15</f>
        <v>1312779.02</v>
      </c>
      <c r="L15" s="5"/>
      <c r="M15" s="5"/>
    </row>
    <row r="16" customFormat="false" ht="35.05" hidden="false" customHeight="false" outlineLevel="0" collapsed="false">
      <c r="A16" s="5" t="n">
        <v>15</v>
      </c>
      <c r="B16" s="21" t="n">
        <v>868575374</v>
      </c>
      <c r="C16" s="4" t="s">
        <v>123</v>
      </c>
      <c r="D16" s="6" t="n">
        <v>739.91</v>
      </c>
      <c r="E16" s="22" t="n">
        <v>804</v>
      </c>
      <c r="F16" s="5" t="n">
        <v>20</v>
      </c>
      <c r="G16" s="22" t="n">
        <f aca="false">F16*6</f>
        <v>120</v>
      </c>
      <c r="H16" s="22" t="n">
        <f aca="false">E16-G16</f>
        <v>684</v>
      </c>
      <c r="I16" s="6" t="n">
        <f aca="false">D16*G16</f>
        <v>88789.2</v>
      </c>
      <c r="J16" s="6" t="n">
        <f aca="false">D16*H16</f>
        <v>506098.44</v>
      </c>
      <c r="K16" s="6" t="n">
        <f aca="false">D16*E16</f>
        <v>594887.64</v>
      </c>
      <c r="L16" s="5"/>
      <c r="M16" s="5"/>
    </row>
    <row r="17" customFormat="false" ht="15" hidden="false" customHeight="false" outlineLevel="0" collapsed="false">
      <c r="A17" s="24"/>
      <c r="B17" s="24"/>
      <c r="C17" s="24" t="s">
        <v>124</v>
      </c>
      <c r="D17" s="24"/>
      <c r="E17" s="25" t="n">
        <f aca="false">SUM(E2:E16)</f>
        <v>30584</v>
      </c>
      <c r="F17" s="24"/>
      <c r="G17" s="25" t="n">
        <f aca="false">SUM(G2:G16)</f>
        <v>9120</v>
      </c>
      <c r="H17" s="25" t="n">
        <f aca="false">SUM(H2:H16)</f>
        <v>21464</v>
      </c>
      <c r="I17" s="12" t="n">
        <f aca="false">SUM(I2:I16)</f>
        <v>3534559.2</v>
      </c>
      <c r="J17" s="12" t="n">
        <f aca="false">SUM(J2:J16)</f>
        <v>6736452.56</v>
      </c>
      <c r="K17" s="12" t="n">
        <f aca="false">SUM(K2:K16)</f>
        <v>10271011.76</v>
      </c>
      <c r="L17" s="24"/>
      <c r="M17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20"/>
  </cols>
  <sheetData>
    <row r="1" customFormat="false" ht="42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29</v>
      </c>
      <c r="G1" s="3" t="s">
        <v>30</v>
      </c>
      <c r="H1" s="3" t="s">
        <v>31</v>
      </c>
    </row>
    <row r="2" customFormat="false" ht="35.05" hidden="false" customHeight="false" outlineLevel="0" collapsed="false">
      <c r="A2" s="5" t="n">
        <v>1</v>
      </c>
      <c r="B2" s="21" t="n">
        <v>608624295</v>
      </c>
      <c r="C2" s="4" t="s">
        <v>125</v>
      </c>
      <c r="D2" s="6" t="n">
        <v>314.85</v>
      </c>
      <c r="E2" s="22" t="n">
        <v>16</v>
      </c>
      <c r="F2" s="6" t="n">
        <f aca="false">D2*E2</f>
        <v>5037.6</v>
      </c>
      <c r="G2" s="5"/>
      <c r="H2" s="5"/>
    </row>
    <row r="3" customFormat="false" ht="35.05" hidden="false" customHeight="false" outlineLevel="0" collapsed="false">
      <c r="A3" s="5" t="n">
        <v>2</v>
      </c>
      <c r="B3" s="21" t="n">
        <v>608841921</v>
      </c>
      <c r="C3" s="4" t="s">
        <v>126</v>
      </c>
      <c r="D3" s="6" t="n">
        <v>151.13</v>
      </c>
      <c r="E3" s="22" t="n">
        <v>370</v>
      </c>
      <c r="F3" s="6" t="n">
        <f aca="false">D3*E3</f>
        <v>55918.1</v>
      </c>
      <c r="G3" s="5"/>
      <c r="H3" s="5"/>
    </row>
    <row r="4" customFormat="false" ht="23.85" hidden="false" customHeight="false" outlineLevel="0" collapsed="false">
      <c r="A4" s="5" t="n">
        <v>3</v>
      </c>
      <c r="B4" s="21" t="n">
        <v>208202076</v>
      </c>
      <c r="C4" s="4" t="s">
        <v>127</v>
      </c>
      <c r="D4" s="6" t="n">
        <v>142.13</v>
      </c>
      <c r="E4" s="22" t="n">
        <v>48</v>
      </c>
      <c r="F4" s="6" t="n">
        <f aca="false">D4*E4</f>
        <v>6822.24</v>
      </c>
      <c r="G4" s="5"/>
      <c r="H4" s="5"/>
    </row>
    <row r="5" customFormat="false" ht="23.85" hidden="false" customHeight="false" outlineLevel="0" collapsed="false">
      <c r="A5" s="5" t="n">
        <v>4</v>
      </c>
      <c r="B5" s="21" t="n">
        <v>206058262</v>
      </c>
      <c r="C5" s="4" t="s">
        <v>128</v>
      </c>
      <c r="D5" s="6" t="n">
        <v>447.64</v>
      </c>
      <c r="E5" s="22" t="n">
        <v>50</v>
      </c>
      <c r="F5" s="6" t="n">
        <f aca="false">D5*E5</f>
        <v>22382</v>
      </c>
      <c r="G5" s="5" t="s">
        <v>129</v>
      </c>
      <c r="H5" s="26" t="s">
        <v>130</v>
      </c>
    </row>
    <row r="6" customFormat="false" ht="23.85" hidden="false" customHeight="false" outlineLevel="0" collapsed="false">
      <c r="A6" s="5" t="n">
        <v>5</v>
      </c>
      <c r="B6" s="21" t="n">
        <v>238415286</v>
      </c>
      <c r="C6" s="4" t="s">
        <v>131</v>
      </c>
      <c r="D6" s="6" t="n">
        <v>161.3</v>
      </c>
      <c r="E6" s="22" t="n">
        <v>8199</v>
      </c>
      <c r="F6" s="6" t="n">
        <f aca="false">D6*E6</f>
        <v>1322498.7</v>
      </c>
      <c r="G6" s="5"/>
      <c r="H6" s="5"/>
    </row>
    <row r="7" customFormat="false" ht="23.85" hidden="false" customHeight="false" outlineLevel="0" collapsed="false">
      <c r="A7" s="5" t="n">
        <v>6</v>
      </c>
      <c r="B7" s="21" t="n">
        <v>238416010</v>
      </c>
      <c r="C7" s="4" t="s">
        <v>132</v>
      </c>
      <c r="D7" s="6" t="n">
        <v>183.88</v>
      </c>
      <c r="E7" s="22" t="n">
        <v>752</v>
      </c>
      <c r="F7" s="6" t="n">
        <f aca="false">D7*E7</f>
        <v>138277.76</v>
      </c>
      <c r="G7" s="5"/>
      <c r="H7" s="5"/>
    </row>
    <row r="8" customFormat="false" ht="23.85" hidden="false" customHeight="false" outlineLevel="0" collapsed="false">
      <c r="A8" s="5" t="n">
        <v>7</v>
      </c>
      <c r="B8" s="21" t="n">
        <v>212889025</v>
      </c>
      <c r="C8" s="4" t="s">
        <v>133</v>
      </c>
      <c r="D8" s="6" t="n">
        <v>183.24</v>
      </c>
      <c r="E8" s="22" t="n">
        <v>577</v>
      </c>
      <c r="F8" s="6" t="n">
        <f aca="false">D8*E8</f>
        <v>105729.48</v>
      </c>
      <c r="G8" s="5"/>
      <c r="H8" s="5"/>
    </row>
    <row r="9" customFormat="false" ht="23.85" hidden="false" customHeight="false" outlineLevel="0" collapsed="false">
      <c r="A9" s="5" t="n">
        <v>8</v>
      </c>
      <c r="B9" s="21" t="n">
        <v>212889027</v>
      </c>
      <c r="C9" s="4" t="s">
        <v>134</v>
      </c>
      <c r="D9" s="6" t="n">
        <v>183.24</v>
      </c>
      <c r="E9" s="22" t="n">
        <v>751</v>
      </c>
      <c r="F9" s="6" t="n">
        <f aca="false">D9*E9</f>
        <v>137613.24</v>
      </c>
      <c r="G9" s="5"/>
      <c r="H9" s="5"/>
    </row>
    <row r="10" customFormat="false" ht="23.85" hidden="false" customHeight="false" outlineLevel="0" collapsed="false">
      <c r="A10" s="5" t="n">
        <v>9</v>
      </c>
      <c r="B10" s="21" t="n">
        <v>212889028</v>
      </c>
      <c r="C10" s="4" t="s">
        <v>135</v>
      </c>
      <c r="D10" s="6" t="n">
        <v>183.24</v>
      </c>
      <c r="E10" s="22" t="n">
        <v>807</v>
      </c>
      <c r="F10" s="6" t="n">
        <f aca="false">D10*E10</f>
        <v>147874.68</v>
      </c>
      <c r="G10" s="5"/>
      <c r="H10" s="5"/>
    </row>
    <row r="11" customFormat="false" ht="23.85" hidden="false" customHeight="false" outlineLevel="0" collapsed="false">
      <c r="A11" s="5" t="n">
        <v>10</v>
      </c>
      <c r="B11" s="21" t="n">
        <v>238413828</v>
      </c>
      <c r="C11" s="4" t="s">
        <v>136</v>
      </c>
      <c r="D11" s="6" t="n">
        <v>189.27</v>
      </c>
      <c r="E11" s="22" t="n">
        <v>717</v>
      </c>
      <c r="F11" s="6" t="n">
        <f aca="false">D11*E11</f>
        <v>135706.59</v>
      </c>
      <c r="G11" s="5" t="s">
        <v>137</v>
      </c>
      <c r="H11" s="23" t="s">
        <v>43</v>
      </c>
    </row>
    <row r="12" customFormat="false" ht="23.85" hidden="false" customHeight="false" outlineLevel="0" collapsed="false">
      <c r="A12" s="5" t="n">
        <v>11</v>
      </c>
      <c r="B12" s="21" t="n">
        <v>168956391</v>
      </c>
      <c r="C12" s="4" t="s">
        <v>138</v>
      </c>
      <c r="D12" s="6" t="n">
        <v>347.76</v>
      </c>
      <c r="E12" s="22" t="n">
        <v>6608</v>
      </c>
      <c r="F12" s="6" t="n">
        <f aca="false">D12*E12</f>
        <v>2297998.08</v>
      </c>
      <c r="G12" s="5"/>
      <c r="H12" s="5"/>
    </row>
    <row r="13" customFormat="false" ht="23.85" hidden="false" customHeight="false" outlineLevel="0" collapsed="false">
      <c r="A13" s="5" t="n">
        <v>12</v>
      </c>
      <c r="B13" s="21" t="n">
        <v>207472742</v>
      </c>
      <c r="C13" s="4" t="s">
        <v>139</v>
      </c>
      <c r="D13" s="6" t="n">
        <v>396.72</v>
      </c>
      <c r="E13" s="22" t="n">
        <v>3354</v>
      </c>
      <c r="F13" s="6" t="n">
        <f aca="false">D13*E13</f>
        <v>1330598.88</v>
      </c>
      <c r="G13" s="5"/>
      <c r="H13" s="5"/>
    </row>
    <row r="14" customFormat="false" ht="35.05" hidden="false" customHeight="false" outlineLevel="0" collapsed="false">
      <c r="A14" s="5" t="n">
        <v>13</v>
      </c>
      <c r="B14" s="21" t="n">
        <v>207469760</v>
      </c>
      <c r="C14" s="4" t="s">
        <v>140</v>
      </c>
      <c r="D14" s="6" t="n">
        <v>431.05</v>
      </c>
      <c r="E14" s="22" t="n">
        <v>1102</v>
      </c>
      <c r="F14" s="6" t="n">
        <f aca="false">D14*E14</f>
        <v>475017.1</v>
      </c>
      <c r="G14" s="5" t="s">
        <v>141</v>
      </c>
      <c r="H14" s="5" t="s">
        <v>40</v>
      </c>
    </row>
    <row r="15" customFormat="false" ht="23.85" hidden="false" customHeight="false" outlineLevel="0" collapsed="false">
      <c r="A15" s="5" t="n">
        <v>14</v>
      </c>
      <c r="B15" s="21" t="n">
        <v>169076150</v>
      </c>
      <c r="C15" s="4" t="s">
        <v>142</v>
      </c>
      <c r="D15" s="6" t="n">
        <v>313.84</v>
      </c>
      <c r="E15" s="22" t="n">
        <v>962</v>
      </c>
      <c r="F15" s="6" t="n">
        <f aca="false">D15*E15</f>
        <v>301914.08</v>
      </c>
      <c r="G15" s="5"/>
      <c r="H15" s="5"/>
    </row>
    <row r="16" customFormat="false" ht="23.85" hidden="false" customHeight="false" outlineLevel="0" collapsed="false">
      <c r="A16" s="5" t="n">
        <v>15</v>
      </c>
      <c r="B16" s="21" t="n">
        <v>419630142</v>
      </c>
      <c r="C16" s="4" t="s">
        <v>143</v>
      </c>
      <c r="D16" s="6" t="n">
        <v>390.46</v>
      </c>
      <c r="E16" s="22" t="n">
        <v>1021</v>
      </c>
      <c r="F16" s="6" t="n">
        <f aca="false">D16*E16</f>
        <v>398659.66</v>
      </c>
      <c r="G16" s="5"/>
      <c r="H16" s="5"/>
    </row>
    <row r="17" customFormat="false" ht="35.05" hidden="false" customHeight="false" outlineLevel="0" collapsed="false">
      <c r="A17" s="5" t="n">
        <v>16</v>
      </c>
      <c r="B17" s="21" t="n">
        <v>207476309</v>
      </c>
      <c r="C17" s="4" t="s">
        <v>144</v>
      </c>
      <c r="D17" s="6" t="n">
        <v>400.76</v>
      </c>
      <c r="E17" s="22" t="n">
        <v>2524</v>
      </c>
      <c r="F17" s="6" t="n">
        <f aca="false">D17*E17</f>
        <v>1011518.24</v>
      </c>
      <c r="G17" s="5"/>
      <c r="H17" s="5"/>
    </row>
    <row r="18" customFormat="false" ht="23.85" hidden="false" customHeight="false" outlineLevel="0" collapsed="false">
      <c r="A18" s="5" t="n">
        <v>17</v>
      </c>
      <c r="B18" s="21" t="n">
        <v>207475898</v>
      </c>
      <c r="C18" s="4" t="s">
        <v>145</v>
      </c>
      <c r="D18" s="6" t="n">
        <v>396.72</v>
      </c>
      <c r="E18" s="22" t="n">
        <v>3669</v>
      </c>
      <c r="F18" s="6" t="n">
        <f aca="false">D18*E18</f>
        <v>1455565.68</v>
      </c>
      <c r="G18" s="5"/>
      <c r="H18" s="5"/>
    </row>
    <row r="19" customFormat="false" ht="23.85" hidden="false" customHeight="false" outlineLevel="0" collapsed="false">
      <c r="A19" s="5" t="n">
        <v>18</v>
      </c>
      <c r="B19" s="21" t="n">
        <v>212885914</v>
      </c>
      <c r="C19" s="4" t="s">
        <v>146</v>
      </c>
      <c r="D19" s="6" t="n">
        <v>231.73</v>
      </c>
      <c r="E19" s="22" t="n">
        <v>470</v>
      </c>
      <c r="F19" s="6" t="n">
        <f aca="false">D19*E19</f>
        <v>108913.1</v>
      </c>
      <c r="G19" s="5"/>
      <c r="H19" s="5"/>
    </row>
    <row r="20" customFormat="false" ht="23.85" hidden="false" customHeight="false" outlineLevel="0" collapsed="false">
      <c r="A20" s="5" t="n">
        <v>19</v>
      </c>
      <c r="B20" s="21" t="n">
        <v>207477077</v>
      </c>
      <c r="C20" s="4" t="s">
        <v>147</v>
      </c>
      <c r="D20" s="6" t="n">
        <v>484.42</v>
      </c>
      <c r="E20" s="22" t="n">
        <v>277</v>
      </c>
      <c r="F20" s="6" t="n">
        <f aca="false">D20*E20</f>
        <v>134184.34</v>
      </c>
      <c r="G20" s="5"/>
      <c r="H20" s="5"/>
    </row>
    <row r="21" customFormat="false" ht="23.85" hidden="false" customHeight="false" outlineLevel="0" collapsed="false">
      <c r="A21" s="5" t="n">
        <v>20</v>
      </c>
      <c r="B21" s="21" t="n">
        <v>207476777</v>
      </c>
      <c r="C21" s="4" t="s">
        <v>148</v>
      </c>
      <c r="D21" s="6" t="n">
        <v>161.47</v>
      </c>
      <c r="E21" s="22" t="n">
        <v>515</v>
      </c>
      <c r="F21" s="6" t="n">
        <f aca="false">D21*E21</f>
        <v>83157.05</v>
      </c>
      <c r="G21" s="5"/>
      <c r="H21" s="5"/>
    </row>
    <row r="22" customFormat="false" ht="23.85" hidden="false" customHeight="false" outlineLevel="0" collapsed="false">
      <c r="A22" s="5" t="n">
        <v>21</v>
      </c>
      <c r="B22" s="21"/>
      <c r="C22" s="4" t="s">
        <v>149</v>
      </c>
      <c r="D22" s="6"/>
      <c r="E22" s="22" t="n">
        <v>400</v>
      </c>
      <c r="F22" s="6" t="n">
        <v>0</v>
      </c>
      <c r="G22" s="5"/>
      <c r="H22" s="5"/>
    </row>
    <row r="23" customFormat="false" ht="23.85" hidden="false" customHeight="false" outlineLevel="0" collapsed="false">
      <c r="A23" s="5" t="n">
        <v>22</v>
      </c>
      <c r="B23" s="21" t="n">
        <v>210575566</v>
      </c>
      <c r="C23" s="4" t="s">
        <v>150</v>
      </c>
      <c r="D23" s="6" t="n">
        <v>108.15</v>
      </c>
      <c r="E23" s="22" t="n">
        <v>410</v>
      </c>
      <c r="F23" s="6" t="n">
        <f aca="false">D23*E23</f>
        <v>44341.5</v>
      </c>
      <c r="G23" s="5"/>
      <c r="H23" s="5"/>
    </row>
    <row r="24" customFormat="false" ht="15" hidden="false" customHeight="false" outlineLevel="0" collapsed="false">
      <c r="A24" s="5" t="n">
        <v>23</v>
      </c>
      <c r="B24" s="21" t="n">
        <v>868761530</v>
      </c>
      <c r="C24" s="4" t="s">
        <v>151</v>
      </c>
      <c r="D24" s="6" t="n">
        <v>130.86</v>
      </c>
      <c r="E24" s="22" t="n">
        <v>290</v>
      </c>
      <c r="F24" s="6" t="n">
        <f aca="false">D24*E24</f>
        <v>37949.4</v>
      </c>
      <c r="G24" s="5"/>
      <c r="H24" s="5"/>
    </row>
    <row r="25" customFormat="false" ht="15" hidden="false" customHeight="false" outlineLevel="0" collapsed="false">
      <c r="A25" s="5" t="n">
        <v>24</v>
      </c>
      <c r="B25" s="21" t="n">
        <v>183030830</v>
      </c>
      <c r="C25" s="4" t="s">
        <v>152</v>
      </c>
      <c r="D25" s="6" t="n">
        <v>669.05</v>
      </c>
      <c r="E25" s="22" t="n">
        <v>109</v>
      </c>
      <c r="F25" s="6" t="n">
        <f aca="false">D25*E25</f>
        <v>72926.45</v>
      </c>
      <c r="G25" s="5"/>
      <c r="H25" s="5"/>
    </row>
    <row r="26" customFormat="false" ht="35.05" hidden="false" customHeight="false" outlineLevel="0" collapsed="false">
      <c r="A26" s="5" t="n">
        <v>25</v>
      </c>
      <c r="B26" s="21"/>
      <c r="C26" s="4" t="s">
        <v>153</v>
      </c>
      <c r="D26" s="6" t="n">
        <v>71.24</v>
      </c>
      <c r="E26" s="22" t="n">
        <v>320</v>
      </c>
      <c r="F26" s="6" t="n">
        <f aca="false">D26*E26</f>
        <v>22796.8</v>
      </c>
      <c r="G26" s="5" t="s">
        <v>154</v>
      </c>
      <c r="H26" s="26" t="s">
        <v>130</v>
      </c>
    </row>
    <row r="27" customFormat="false" ht="23.85" hidden="false" customHeight="false" outlineLevel="0" collapsed="false">
      <c r="A27" s="5" t="n">
        <v>26</v>
      </c>
      <c r="B27" s="21"/>
      <c r="C27" s="4" t="s">
        <v>155</v>
      </c>
      <c r="D27" s="6" t="n">
        <v>71.24</v>
      </c>
      <c r="E27" s="22" t="n">
        <v>428</v>
      </c>
      <c r="F27" s="6" t="n">
        <f aca="false">D27*E27</f>
        <v>30490.72</v>
      </c>
      <c r="G27" s="5" t="s">
        <v>156</v>
      </c>
      <c r="H27" s="26" t="s">
        <v>130</v>
      </c>
    </row>
    <row r="28" customFormat="false" ht="23.85" hidden="false" customHeight="false" outlineLevel="0" collapsed="false">
      <c r="A28" s="5" t="n">
        <v>27</v>
      </c>
      <c r="B28" s="21" t="n">
        <v>214311963</v>
      </c>
      <c r="C28" s="4" t="s">
        <v>157</v>
      </c>
      <c r="D28" s="6" t="n">
        <v>367.89</v>
      </c>
      <c r="E28" s="22" t="n">
        <v>30</v>
      </c>
      <c r="F28" s="6" t="n">
        <f aca="false">D28*E28</f>
        <v>11036.7</v>
      </c>
      <c r="G28" s="5"/>
      <c r="H28" s="5"/>
    </row>
    <row r="29" customFormat="false" ht="35.05" hidden="false" customHeight="false" outlineLevel="0" collapsed="false">
      <c r="A29" s="5" t="n">
        <v>28</v>
      </c>
      <c r="B29" s="21" t="n">
        <v>214312149</v>
      </c>
      <c r="C29" s="4" t="s">
        <v>158</v>
      </c>
      <c r="D29" s="6" t="n">
        <v>294.15</v>
      </c>
      <c r="E29" s="22" t="n">
        <v>22</v>
      </c>
      <c r="F29" s="6" t="n">
        <f aca="false">D29*E29</f>
        <v>6471.3</v>
      </c>
      <c r="G29" s="5"/>
      <c r="H29" s="5"/>
    </row>
    <row r="30" customFormat="false" ht="23.85" hidden="false" customHeight="false" outlineLevel="0" collapsed="false">
      <c r="A30" s="5" t="n">
        <v>29</v>
      </c>
      <c r="B30" s="21" t="n">
        <v>248928046</v>
      </c>
      <c r="C30" s="4" t="s">
        <v>159</v>
      </c>
      <c r="D30" s="6" t="n">
        <v>549.71</v>
      </c>
      <c r="E30" s="22" t="n">
        <v>527</v>
      </c>
      <c r="F30" s="6" t="n">
        <f aca="false">D30*E30</f>
        <v>289697.17</v>
      </c>
      <c r="G30" s="5" t="s">
        <v>160</v>
      </c>
      <c r="H30" s="26" t="s">
        <v>130</v>
      </c>
    </row>
    <row r="31" customFormat="false" ht="23.85" hidden="false" customHeight="false" outlineLevel="0" collapsed="false">
      <c r="A31" s="5" t="n">
        <v>30</v>
      </c>
      <c r="B31" s="21" t="n">
        <v>248929125</v>
      </c>
      <c r="C31" s="4" t="s">
        <v>161</v>
      </c>
      <c r="D31" s="6" t="n">
        <v>1057.2</v>
      </c>
      <c r="E31" s="22" t="n">
        <v>55</v>
      </c>
      <c r="F31" s="6" t="n">
        <f aca="false">D31*E31</f>
        <v>58146</v>
      </c>
      <c r="G31" s="5" t="s">
        <v>162</v>
      </c>
      <c r="H31" s="23" t="s">
        <v>43</v>
      </c>
    </row>
    <row r="32" customFormat="false" ht="23.85" hidden="false" customHeight="false" outlineLevel="0" collapsed="false">
      <c r="A32" s="5" t="n">
        <v>31</v>
      </c>
      <c r="B32" s="21" t="n">
        <v>214312385</v>
      </c>
      <c r="C32" s="4" t="s">
        <v>163</v>
      </c>
      <c r="D32" s="6" t="n">
        <v>722.04</v>
      </c>
      <c r="E32" s="22" t="n">
        <v>117</v>
      </c>
      <c r="F32" s="6" t="n">
        <f aca="false">D32*E32</f>
        <v>84478.68</v>
      </c>
      <c r="G32" s="5" t="s">
        <v>164</v>
      </c>
      <c r="H32" s="26" t="s">
        <v>130</v>
      </c>
    </row>
    <row r="33" customFormat="false" ht="23.85" hidden="false" customHeight="false" outlineLevel="0" collapsed="false">
      <c r="A33" s="5" t="n">
        <v>32</v>
      </c>
      <c r="B33" s="21" t="n">
        <v>247275092</v>
      </c>
      <c r="C33" s="4" t="s">
        <v>165</v>
      </c>
      <c r="D33" s="6" t="n">
        <v>845.49</v>
      </c>
      <c r="E33" s="22" t="n">
        <v>32</v>
      </c>
      <c r="F33" s="6" t="n">
        <f aca="false">D33*E33</f>
        <v>27055.68</v>
      </c>
      <c r="G33" s="5" t="s">
        <v>166</v>
      </c>
      <c r="H33" s="5" t="s">
        <v>40</v>
      </c>
    </row>
    <row r="34" customFormat="false" ht="15" hidden="false" customHeight="false" outlineLevel="0" collapsed="false">
      <c r="A34" s="24"/>
      <c r="B34" s="24"/>
      <c r="C34" s="24" t="s">
        <v>167</v>
      </c>
      <c r="D34" s="24"/>
      <c r="E34" s="25" t="n">
        <f aca="false">SUM(E2:E33)</f>
        <v>35529</v>
      </c>
      <c r="F34" s="12" t="n">
        <f aca="false">SUM(F2:F33)</f>
        <v>10360777</v>
      </c>
      <c r="G34" s="24"/>
      <c r="H3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2026-08-18T13:19:35Z</dcterms:created>
  <dc:creator>openpyxl</dc:creator>
  <dc:description/>
  <dc:language>en-US</dc:language>
  <cp:lastModifiedBy/>
  <dcterms:modified xsi:type="dcterms:W3CDTF">2026-08-18T13:19:35Z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
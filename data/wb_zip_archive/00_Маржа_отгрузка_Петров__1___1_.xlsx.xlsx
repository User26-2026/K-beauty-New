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" sheetId="1" state="visible" r:id="rId3"/>
    <sheet name="Маржа по позициям" sheetId="2" state="visible" r:id="rId4"/>
    <sheet name="По брендам" sheetId="3" state="visible" r:id="rId5"/>
  </sheets>
  <definedNames>
    <definedName function="false" hidden="true" localSheetId="1" name="_xlnm._FilterDatabase" vbProcedure="false">'Маржа по позициям'!$A$1:$S$48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<sst xmlns="http://schemas.openxmlformats.org/spreadsheetml/2006/main" count="257" uniqueCount="116">
  <si>
    <t xml:space="preserve">Отгрузка ИП Петров Е.А. от 20.08.2026</t>
  </si>
  <si>
    <t xml:space="preserve">ТОРГ-12 № 00142, 47 позиций, 6 047 шт</t>
  </si>
  <si>
    <t xml:space="preserve">Изменяемые параметры</t>
  </si>
  <si>
    <t xml:space="preserve">Курс KRW/RUB, ₽ за 1000 вон</t>
  </si>
  <si>
    <t xml:space="preserve">ЦБ РФ на 20.08.2026</t>
  </si>
  <si>
    <t xml:space="preserve">Коэффициент доставки до Москвы</t>
  </si>
  <si>
    <t xml:space="preserve">30% сверху к цене закупа в Корее</t>
  </si>
  <si>
    <t xml:space="preserve">Учётная себестоимость (последний приход)</t>
  </si>
  <si>
    <t xml:space="preserve">Себестоимость, ₽</t>
  </si>
  <si>
    <t xml:space="preserve">Прибыль, ₽</t>
  </si>
  <si>
    <t xml:space="preserve">Наценка</t>
  </si>
  <si>
    <t xml:space="preserve">Если закупить сегодня в Корее</t>
  </si>
  <si>
    <t xml:space="preserve">Закуп, вон</t>
  </si>
  <si>
    <t xml:space="preserve">Закуп, ₽</t>
  </si>
  <si>
    <t xml:space="preserve">Доставка 30%, ₽</t>
  </si>
  <si>
    <t xml:space="preserve">Итого в Москве, ₽</t>
  </si>
  <si>
    <t xml:space="preserve">Разница</t>
  </si>
  <si>
    <t xml:space="preserve">насколько прибыль ниже учётной</t>
  </si>
  <si>
    <t xml:space="preserve">№</t>
  </si>
  <si>
    <t xml:space="preserve">Бренд</t>
  </si>
  <si>
    <t xml:space="preserve">Наименование</t>
  </si>
  <si>
    <t xml:space="preserve">Кол-во</t>
  </si>
  <si>
    <t xml:space="preserve">Цена продажи, ₽</t>
  </si>
  <si>
    <t xml:space="preserve">Наценка, %</t>
  </si>
  <si>
    <t xml:space="preserve">Прибыль на ед., ₽</t>
  </si>
  <si>
    <t xml:space="preserve">Прибыль всего, ₽</t>
  </si>
  <si>
    <t xml:space="preserve">Выручка, ₽</t>
  </si>
  <si>
    <t xml:space="preserve">Источник себест.</t>
  </si>
  <si>
    <t xml:space="preserve">Закуп, вон/шт</t>
  </si>
  <si>
    <t xml:space="preserve">Закуп всего, вон</t>
  </si>
  <si>
    <t xml:space="preserve">Закуп сегодня, ₽</t>
  </si>
  <si>
    <t xml:space="preserve">Себест. сегодня за ед., ₽</t>
  </si>
  <si>
    <t xml:space="preserve">Маржа к сегодняшней закупке</t>
  </si>
  <si>
    <t xml:space="preserve">Источник цены закупа</t>
  </si>
  <si>
    <t xml:space="preserve">ENOUGH</t>
  </si>
  <si>
    <t xml:space="preserve">ENOUGH - Collagen Moisture Essential Cream [50ml]</t>
  </si>
  <si>
    <t xml:space="preserve">артикул</t>
  </si>
  <si>
    <t xml:space="preserve">прайс</t>
  </si>
  <si>
    <t xml:space="preserve">ENOUGH - Collagen Whitening Moisture Cream 3in1 [50g]</t>
  </si>
  <si>
    <t xml:space="preserve">ENOUGH - Collagen Moisture Foundation [Tone 13]</t>
  </si>
  <si>
    <t xml:space="preserve">ENOUGH - Collagen Moisture Foundation [Tone 21]</t>
  </si>
  <si>
    <t xml:space="preserve">ENOUGH - Collagen 3in1 Whitening Moisture Foundation [Tone 13]</t>
  </si>
  <si>
    <t xml:space="preserve">ENOUGH - Premium 8 Peptide Full Cover Perfect Foundation [Tone 13]</t>
  </si>
  <si>
    <t xml:space="preserve">ETUDE</t>
  </si>
  <si>
    <t xml:space="preserve">ETUDE - Baking Powder Crunch Pore Scrub [200ml]</t>
  </si>
  <si>
    <t xml:space="preserve">ETUDE - Baking Powder Crunch Pore Scrub [24*7ml]</t>
  </si>
  <si>
    <t xml:space="preserve">FARMSTAY</t>
  </si>
  <si>
    <t xml:space="preserve">FARMSTAY - Collagen Pure Cleansing Foam [180ml]</t>
  </si>
  <si>
    <t xml:space="preserve">JMSOLUTION</t>
  </si>
  <si>
    <t xml:space="preserve">JMSOLUTION - ACTIVE BLACK CAVIAR Mask [30ml*10ea]</t>
  </si>
  <si>
    <t xml:space="preserve">название 100%</t>
  </si>
  <si>
    <t xml:space="preserve">аналог</t>
  </si>
  <si>
    <t xml:space="preserve">JMSOLUTION - Active Golden Caviar Nourishing Mask [30ml*10ea]</t>
  </si>
  <si>
    <t xml:space="preserve">JMSOLUTION - Active Jellyfish Vital Mask [30ml*10ea]</t>
  </si>
  <si>
    <t xml:space="preserve">JMSOLUTION - Active Birds Nest Moisture Mask [30ml*10ea]</t>
  </si>
  <si>
    <t xml:space="preserve">JMSOLUTION GLORY AQUA FULLERENE MASK DELUXE [30ml*10ea]</t>
  </si>
  <si>
    <t xml:space="preserve">название 75%</t>
  </si>
  <si>
    <t xml:space="preserve">JMSOLUTION - Glory Aqua  TOCOPHEROL VITAMIN C MASK PLUS [30ml*10ea]</t>
  </si>
  <si>
    <t xml:space="preserve">указана вручную</t>
  </si>
  <si>
    <t xml:space="preserve">JMSOLUTION - Panthelene Intensive Barrier Mask [30ml*10ea]</t>
  </si>
  <si>
    <t xml:space="preserve">название 71%</t>
  </si>
  <si>
    <t xml:space="preserve">JMSOLUTION - The Natural Cordyceps Melitaris Mask Moisture [30ml*10ea]</t>
  </si>
  <si>
    <t xml:space="preserve">JMSOLUTION - Water Luminous S.O.S. Ringer  AMINO MASK PLUS Black [35ml*10ea]</t>
  </si>
  <si>
    <t xml:space="preserve">название 80%</t>
  </si>
  <si>
    <t xml:space="preserve">JMSOLUTION - Green Dear Tiger Cica Mask [30ml*10ea]</t>
  </si>
  <si>
    <t xml:space="preserve">название 89%</t>
  </si>
  <si>
    <t xml:space="preserve">MANYO</t>
  </si>
  <si>
    <t xml:space="preserve">MANYO - Bifida Biome Complex Ampoule [50ml]</t>
  </si>
  <si>
    <t xml:space="preserve">MANYO - Galac Whitening Vita Serum [50ml]</t>
  </si>
  <si>
    <t xml:space="preserve">MANYO - Bifida Biome Ampoule Lotion [300ml]</t>
  </si>
  <si>
    <t xml:space="preserve">MANYO BIFIDA COMPLEX AMPOULE GEL CLEANSER [400ml]</t>
  </si>
  <si>
    <t xml:space="preserve">MANYO BIFIDA INFUSION SHOT AMPOULE 1DX [50ml]</t>
  </si>
  <si>
    <t xml:space="preserve">PETITFEE</t>
  </si>
  <si>
    <t xml:space="preserve">PETITFEE - Collagen &amp; CoQ10 Hydrogel Eye Patch [60ea]</t>
  </si>
  <si>
    <t xml:space="preserve">PETITFEE - Bera Glucan Deep Firming Eye Patch [60ea]</t>
  </si>
  <si>
    <t xml:space="preserve">PETITFEE - Artichoke Soothing Hydrogel Eye Patch [60ea]</t>
  </si>
  <si>
    <t xml:space="preserve">PETITFEE - Cacao Energizing Hydrogel Eye Patch [60ea]</t>
  </si>
  <si>
    <t xml:space="preserve">PETITFEE - Chamomile Lightening Hydrogel Eye Patch [60ea]</t>
  </si>
  <si>
    <t xml:space="preserve">PETITFEE - Gold &amp; EGF Hydrogel Eye &amp; Spot Patch [60ea]</t>
  </si>
  <si>
    <t xml:space="preserve">PETITFEE - Pink Vita Brightening Eye Patch [60ea]</t>
  </si>
  <si>
    <t xml:space="preserve">PETITFEE - Black Pearl &amp; Gold Hydrogel Eye Patch [60ea]</t>
  </si>
  <si>
    <t xml:space="preserve">PETITFEE - Agave Cooling Hydrogel Eye Patch [60ea]</t>
  </si>
  <si>
    <t xml:space="preserve">PETITFEE - Gold &amp; Snail Hydrogel Eye Patch [60ea]</t>
  </si>
  <si>
    <t xml:space="preserve">PETITFEE - Gold Hydrogel Eye Patch [60ea]</t>
  </si>
  <si>
    <t xml:space="preserve">PETITFEE - Agave Cooling Hydrogel Face Mask [5pcs]</t>
  </si>
  <si>
    <t xml:space="preserve">PETITFEE - Gold Hydrogel Mask Pack [5pcs]</t>
  </si>
  <si>
    <t xml:space="preserve">PETITFEE - Cacao Energizing Hydrogel Mask Pack [5pcs]</t>
  </si>
  <si>
    <t xml:space="preserve">PETITFEE - Artichoke Soothing Hydrogel Face Mask [5pcs]</t>
  </si>
  <si>
    <t xml:space="preserve">PETITFEE - Gold &amp; Snail Hydrogel Mask Pack [5pcs]</t>
  </si>
  <si>
    <t xml:space="preserve">PETITFEE - Black Pearl &amp; Gold Hydrogel Mask Pack [5pcs]</t>
  </si>
  <si>
    <t xml:space="preserve">CELIMAX</t>
  </si>
  <si>
    <t xml:space="preserve">CELIMAX DUAL BARRIER CREAMY TONER [150ml]</t>
  </si>
  <si>
    <t xml:space="preserve">VT</t>
  </si>
  <si>
    <t xml:space="preserve">VT PDRN ESSENCE 100</t>
  </si>
  <si>
    <t xml:space="preserve">FARMSTAY - Collagen &amp; Hyaluronic Acid All-In One Ampoule [250ml]</t>
  </si>
  <si>
    <t xml:space="preserve">FARMSTAY - Collagen Water Full Moist Rolling Eye Serum [25ml]</t>
  </si>
  <si>
    <t xml:space="preserve">JIGOTT</t>
  </si>
  <si>
    <t xml:space="preserve">JIGOTT - Snail Reparing Cream [100ml]</t>
  </si>
  <si>
    <t xml:space="preserve">MANYO - Pure Cleansing Oil [200ml]</t>
  </si>
  <si>
    <t xml:space="preserve">ИТОГО</t>
  </si>
  <si>
    <t xml:space="preserve">Позиций</t>
  </si>
  <si>
    <t xml:space="preserve">Кол-во, шт</t>
  </si>
  <si>
    <t xml:space="preserve">Себест. учётная, ₽</t>
  </si>
  <si>
    <t xml:space="preserve">Прибыль учётная, ₽</t>
  </si>
  <si>
    <t xml:space="preserve">Наценка учётная</t>
  </si>
  <si>
    <t xml:space="preserve">Доля выручки</t>
  </si>
  <si>
    <t xml:space="preserve">Доля прибыли</t>
  </si>
  <si>
    <t xml:space="preserve">Доля по штукам</t>
  </si>
  <si>
    <t xml:space="preserve">Средняя цена, ₽</t>
  </si>
  <si>
    <t xml:space="preserve">Итого в Москве сегодня, ₽</t>
  </si>
  <si>
    <t xml:space="preserve">Прибыль сегодня, ₽</t>
  </si>
  <si>
    <t xml:space="preserve">Наценка сегодня</t>
  </si>
  <si>
    <t xml:space="preserve">Доля закупки</t>
  </si>
  <si>
    <t xml:space="preserve">Доля по штукам показывает физический объём: логистика и сборка считаются в штуках, а не в рублях.</t>
  </si>
  <si>
    <t xml:space="preserve">Учётная себестоимость — колонка «по последнему приходу» из файла ОСТАТКИ на 18,08,26.</t>
  </si>
  <si>
    <t xml:space="preserve">Сегодняшняя — цена закупа в вонах × курс × коэффициент доставки. Курс и коэффициент на листе «Параметры».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</si>
</sst>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0.0%"/>
    <numFmt numFmtId="168" formatCode="0.0%;[RED]\-0.0%"/>
    <numFmt numFmtId="169" formatCode="#,##0;[RED]\-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AF1F8"/>
      </patternFill>
    </fill>
    <fill>
      <patternFill patternType="solid">
        <fgColor rgb="FFFFFFFF"/>
        <bgColor rgb="FFEAF1F8"/>
      </patternFill>
    </fill>
    <fill>
      <patternFill patternType="solid">
        <fgColor rgb="FF1F4E79"/>
        <bgColor rgb="FF003366"/>
      </patternFill>
    </fill>
    <fill>
      <patternFill patternType="solid">
        <fgColor rgb="FF7F6000"/>
        <bgColor rgb="FF666666"/>
      </patternFill>
    </fill>
    <fill>
      <patternFill patternType="solid">
        <fgColor rgb="FFDCE6F1"/>
        <bgColor rgb="FFEAF1F8"/>
      </patternFill>
    </fill>
    <fill>
      <patternFill patternType="solid">
        <fgColor rgb="FFEAF1F8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  <col collapsed="false" customWidth="true" hidden="false" outlineLevel="0" max="3" min="3" style="1" width="5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2" t="s">
        <v>2</v>
      </c>
    </row>
    <row r="5" customFormat="false" ht="15" hidden="false" customHeight="true" outlineLevel="0" collapsed="false">
      <c r="A5" s="2" t="s">
        <v>3</v>
      </c>
      <c r="B5" s="4" t="n">
        <v>58.2</v>
      </c>
      <c r="C5" s="5" t="s">
        <v>4</v>
      </c>
    </row>
    <row r="6" customFormat="false" ht="15" hidden="false" customHeight="true" outlineLevel="0" collapsed="false">
      <c r="A6" s="2" t="s">
        <v>5</v>
      </c>
      <c r="B6" s="4" t="n">
        <v>1.3</v>
      </c>
      <c r="C6" s="5" t="s">
        <v>6</v>
      </c>
    </row>
    <row r="8" customFormat="false" ht="15" hidden="false" customHeight="true" outlineLevel="0" collapsed="false">
      <c r="A8" s="2" t="s">
        <v>7</v>
      </c>
    </row>
    <row r="9" customFormat="false" ht="15" hidden="false" customHeight="true" outlineLevel="0" collapsed="false">
      <c r="A9" s="3" t="s">
        <v>8</v>
      </c>
      <c r="B9" s="6" t="n">
        <f aca="false">'По брендам'!E12</f>
        <v>2472660.36</v>
      </c>
    </row>
    <row r="10" customFormat="false" ht="15" hidden="false" customHeight="true" outlineLevel="0" collapsed="false">
      <c r="A10" s="3" t="s">
        <v>9</v>
      </c>
      <c r="B10" s="6" t="n">
        <f aca="false">'По брендам'!F12</f>
        <v>246502.64</v>
      </c>
    </row>
    <row r="11" customFormat="false" ht="15" hidden="false" customHeight="true" outlineLevel="0" collapsed="false">
      <c r="A11" s="3" t="s">
        <v>10</v>
      </c>
      <c r="B11" s="7" t="n">
        <f aca="false">'По брендам'!G12</f>
        <v>0.0996912653220194</v>
      </c>
    </row>
    <row r="13" customFormat="false" ht="15" hidden="false" customHeight="true" outlineLevel="0" collapsed="false">
      <c r="A13" s="2" t="s">
        <v>11</v>
      </c>
    </row>
    <row r="14" customFormat="false" ht="15" hidden="false" customHeight="true" outlineLevel="0" collapsed="false">
      <c r="A14" s="3" t="s">
        <v>12</v>
      </c>
      <c r="B14" s="6" t="n">
        <f aca="false">'По брендам'!L12</f>
        <v>33413270</v>
      </c>
    </row>
    <row r="15" customFormat="false" ht="15" hidden="false" customHeight="true" outlineLevel="0" collapsed="false">
      <c r="A15" s="3" t="s">
        <v>13</v>
      </c>
      <c r="B15" s="6" t="n">
        <f aca="false">B14*B5/1000</f>
        <v>1944652.314</v>
      </c>
    </row>
    <row r="16" customFormat="false" ht="15" hidden="false" customHeight="true" outlineLevel="0" collapsed="false">
      <c r="A16" s="3" t="s">
        <v>14</v>
      </c>
      <c r="B16" s="6" t="n">
        <f aca="false">B15*(B6-1)</f>
        <v>583395.6942</v>
      </c>
    </row>
    <row r="17" customFormat="false" ht="15" hidden="false" customHeight="true" outlineLevel="0" collapsed="false">
      <c r="A17" s="3" t="s">
        <v>15</v>
      </c>
      <c r="B17" s="6" t="n">
        <f aca="false">B15*B6</f>
        <v>2528048.0082</v>
      </c>
    </row>
    <row r="18" customFormat="false" ht="15" hidden="false" customHeight="true" outlineLevel="0" collapsed="false">
      <c r="A18" s="3" t="s">
        <v>9</v>
      </c>
      <c r="B18" s="6" t="n">
        <f aca="false">'По брендам'!D12-B17</f>
        <v>191114.9918</v>
      </c>
    </row>
    <row r="19" customFormat="false" ht="15" hidden="false" customHeight="true" outlineLevel="0" collapsed="false">
      <c r="A19" s="3" t="s">
        <v>10</v>
      </c>
      <c r="B19" s="7" t="n">
        <f aca="false">B18/B17</f>
        <v>0.0755978490836003</v>
      </c>
    </row>
    <row r="21" customFormat="false" ht="15" hidden="false" customHeight="true" outlineLevel="0" collapsed="false">
      <c r="A21" s="3" t="s">
        <v>16</v>
      </c>
      <c r="B21" s="6" t="n">
        <f aca="false">B18-B10</f>
        <v>-55387.6482</v>
      </c>
      <c r="C21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54"/>
    <col collapsed="false" customWidth="true" hidden="false" outlineLevel="0" max="4" min="4" style="1" width="9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0"/>
    <col collapsed="false" customWidth="true" hidden="false" outlineLevel="0" max="9" min="8" style="1" width="15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17"/>
    <col collapsed="false" customWidth="true" hidden="false" outlineLevel="0" max="13" min="13" style="1" width="13"/>
    <col collapsed="false" customWidth="true" hidden="false" outlineLevel="0" max="14" min="14" style="1" width="15"/>
    <col collapsed="false" customWidth="true" hidden="false" outlineLevel="0" max="15" min="15" style="1" width="14"/>
    <col collapsed="false" customWidth="true" hidden="false" outlineLevel="0" max="17" min="16" style="1" width="15"/>
    <col collapsed="false" customWidth="true" hidden="false" outlineLevel="0" max="18" min="18" style="1" width="16"/>
    <col collapsed="false" customWidth="true" hidden="false" outlineLevel="0" max="19" min="19" style="1" width="15"/>
  </cols>
  <sheetData>
    <row r="1" customFormat="false" ht="39.75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8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12</v>
      </c>
      <c r="L1" s="8" t="s">
        <v>27</v>
      </c>
      <c r="M1" s="9" t="s">
        <v>28</v>
      </c>
      <c r="N1" s="9" t="s">
        <v>29</v>
      </c>
      <c r="O1" s="9" t="s">
        <v>30</v>
      </c>
      <c r="P1" s="9" t="s">
        <v>15</v>
      </c>
      <c r="Q1" s="9" t="s">
        <v>31</v>
      </c>
      <c r="R1" s="9" t="s">
        <v>32</v>
      </c>
      <c r="S1" s="9" t="s">
        <v>33</v>
      </c>
    </row>
    <row r="2" customFormat="false" ht="15" hidden="false" customHeight="true" outlineLevel="0" collapsed="false">
      <c r="A2" s="10" t="n">
        <v>1</v>
      </c>
      <c r="B2" s="10" t="s">
        <v>34</v>
      </c>
      <c r="C2" s="11" t="s">
        <v>35</v>
      </c>
      <c r="D2" s="12" t="n">
        <v>400</v>
      </c>
      <c r="E2" s="12" t="n">
        <v>177</v>
      </c>
      <c r="F2" s="13" t="n">
        <v>161.3</v>
      </c>
      <c r="G2" s="14" t="n">
        <f aca="false">(E2-F2)/F2</f>
        <v>0.0973341599504029</v>
      </c>
      <c r="H2" s="13" t="n">
        <f aca="false">E2-F2</f>
        <v>15.7</v>
      </c>
      <c r="I2" s="12" t="n">
        <f aca="false">D2*H2</f>
        <v>6280</v>
      </c>
      <c r="J2" s="12" t="n">
        <f aca="false">D2*E2</f>
        <v>70800</v>
      </c>
      <c r="K2" s="12" t="n">
        <v>2100</v>
      </c>
      <c r="L2" s="10" t="s">
        <v>36</v>
      </c>
      <c r="M2" s="15" t="n">
        <v>2100</v>
      </c>
      <c r="N2" s="15" t="n">
        <f aca="false">D2*M2</f>
        <v>840000</v>
      </c>
      <c r="O2" s="15" t="n">
        <f aca="false">N2*Параметры!$B$5/1000</f>
        <v>48888</v>
      </c>
      <c r="P2" s="15" t="n">
        <f aca="false">O2*Параметры!$B$6</f>
        <v>63554.4</v>
      </c>
      <c r="Q2" s="15" t="n">
        <f aca="false">P2/D2</f>
        <v>158.886</v>
      </c>
      <c r="R2" s="16" t="n">
        <f aca="false">(J2-P2)/P2</f>
        <v>0.114006268645444</v>
      </c>
      <c r="S2" s="17" t="s">
        <v>37</v>
      </c>
    </row>
    <row r="3" customFormat="false" ht="15" hidden="false" customHeight="true" outlineLevel="0" collapsed="false">
      <c r="A3" s="10" t="n">
        <v>2</v>
      </c>
      <c r="B3" s="10" t="s">
        <v>34</v>
      </c>
      <c r="C3" s="11" t="s">
        <v>38</v>
      </c>
      <c r="D3" s="12" t="n">
        <v>200</v>
      </c>
      <c r="E3" s="12" t="n">
        <v>202</v>
      </c>
      <c r="F3" s="13" t="n">
        <v>183.88</v>
      </c>
      <c r="G3" s="14" t="n">
        <f aca="false">(E3-F3)/F3</f>
        <v>0.0985425277354797</v>
      </c>
      <c r="H3" s="13" t="n">
        <f aca="false">E3-F3</f>
        <v>18.12</v>
      </c>
      <c r="I3" s="12" t="n">
        <f aca="false">D3*H3</f>
        <v>3624</v>
      </c>
      <c r="J3" s="12" t="n">
        <f aca="false">D3*E3</f>
        <v>40400</v>
      </c>
      <c r="K3" s="12" t="n">
        <v>2500</v>
      </c>
      <c r="L3" s="10" t="s">
        <v>36</v>
      </c>
      <c r="M3" s="15" t="n">
        <v>2500</v>
      </c>
      <c r="N3" s="15" t="n">
        <f aca="false">D3*M3</f>
        <v>500000</v>
      </c>
      <c r="O3" s="15" t="n">
        <f aca="false">N3*Параметры!$B$5/1000</f>
        <v>29100</v>
      </c>
      <c r="P3" s="15" t="n">
        <f aca="false">O3*Параметры!$B$6</f>
        <v>37830</v>
      </c>
      <c r="Q3" s="15" t="n">
        <f aca="false">P3/D3</f>
        <v>189.15</v>
      </c>
      <c r="R3" s="16" t="n">
        <f aca="false">(J3-P3)/P3</f>
        <v>0.0679355009251916</v>
      </c>
      <c r="S3" s="17" t="s">
        <v>37</v>
      </c>
    </row>
    <row r="4" customFormat="false" ht="15" hidden="false" customHeight="true" outlineLevel="0" collapsed="false">
      <c r="A4" s="10" t="n">
        <v>3</v>
      </c>
      <c r="B4" s="10" t="s">
        <v>34</v>
      </c>
      <c r="C4" s="11" t="s">
        <v>39</v>
      </c>
      <c r="D4" s="12" t="n">
        <v>300</v>
      </c>
      <c r="E4" s="12" t="n">
        <v>238</v>
      </c>
      <c r="F4" s="13" t="n">
        <v>216.45</v>
      </c>
      <c r="G4" s="14" t="n">
        <f aca="false">(E4-F4)/F4</f>
        <v>0.0995610995610996</v>
      </c>
      <c r="H4" s="13" t="n">
        <f aca="false">E4-F4</f>
        <v>21.55</v>
      </c>
      <c r="I4" s="12" t="n">
        <f aca="false">D4*H4</f>
        <v>6465</v>
      </c>
      <c r="J4" s="12" t="n">
        <f aca="false">D4*E4</f>
        <v>71400</v>
      </c>
      <c r="K4" s="12" t="n">
        <v>2700</v>
      </c>
      <c r="L4" s="10" t="s">
        <v>36</v>
      </c>
      <c r="M4" s="15" t="n">
        <v>2700</v>
      </c>
      <c r="N4" s="15" t="n">
        <f aca="false">D4*M4</f>
        <v>810000</v>
      </c>
      <c r="O4" s="15" t="n">
        <f aca="false">N4*Параметры!$B$5/1000</f>
        <v>47142</v>
      </c>
      <c r="P4" s="15" t="n">
        <f aca="false">O4*Параметры!$B$6</f>
        <v>61284.6</v>
      </c>
      <c r="Q4" s="15" t="n">
        <f aca="false">P4/D4</f>
        <v>204.282</v>
      </c>
      <c r="R4" s="16" t="n">
        <f aca="false">(J4-P4)/P4</f>
        <v>0.165056147874017</v>
      </c>
      <c r="S4" s="17" t="s">
        <v>37</v>
      </c>
    </row>
    <row r="5" customFormat="false" ht="15" hidden="false" customHeight="true" outlineLevel="0" collapsed="false">
      <c r="A5" s="10" t="n">
        <v>4</v>
      </c>
      <c r="B5" s="10" t="s">
        <v>34</v>
      </c>
      <c r="C5" s="11" t="s">
        <v>40</v>
      </c>
      <c r="D5" s="12" t="n">
        <v>200</v>
      </c>
      <c r="E5" s="12" t="n">
        <v>267</v>
      </c>
      <c r="F5" s="13" t="n">
        <v>242.88</v>
      </c>
      <c r="G5" s="14" t="n">
        <f aca="false">(E5-F5)/F5</f>
        <v>0.0993083003952569</v>
      </c>
      <c r="H5" s="13" t="n">
        <f aca="false">E5-F5</f>
        <v>24.12</v>
      </c>
      <c r="I5" s="12" t="n">
        <f aca="false">D5*H5</f>
        <v>4824</v>
      </c>
      <c r="J5" s="12" t="n">
        <f aca="false">D5*E5</f>
        <v>53400</v>
      </c>
      <c r="K5" s="12" t="n">
        <v>2700</v>
      </c>
      <c r="L5" s="10" t="s">
        <v>36</v>
      </c>
      <c r="M5" s="15" t="n">
        <v>2700</v>
      </c>
      <c r="N5" s="15" t="n">
        <f aca="false">D5*M5</f>
        <v>540000</v>
      </c>
      <c r="O5" s="15" t="n">
        <f aca="false">N5*Параметры!$B$5/1000</f>
        <v>31428</v>
      </c>
      <c r="P5" s="15" t="n">
        <f aca="false">O5*Параметры!$B$6</f>
        <v>40856.4</v>
      </c>
      <c r="Q5" s="15" t="n">
        <f aca="false">P5/D5</f>
        <v>204.282</v>
      </c>
      <c r="R5" s="16" t="n">
        <f aca="false">(J5-P5)/P5</f>
        <v>0.307016770934297</v>
      </c>
      <c r="S5" s="17" t="s">
        <v>37</v>
      </c>
    </row>
    <row r="6" customFormat="false" ht="23.25" hidden="false" customHeight="true" outlineLevel="0" collapsed="false">
      <c r="A6" s="10" t="n">
        <v>5</v>
      </c>
      <c r="B6" s="10" t="s">
        <v>34</v>
      </c>
      <c r="C6" s="11" t="s">
        <v>41</v>
      </c>
      <c r="D6" s="12" t="n">
        <v>100</v>
      </c>
      <c r="E6" s="12" t="n">
        <v>262</v>
      </c>
      <c r="F6" s="13" t="n">
        <v>238.13</v>
      </c>
      <c r="G6" s="14" t="n">
        <f aca="false">(E6-F6)/F6</f>
        <v>0.100239365052702</v>
      </c>
      <c r="H6" s="13" t="n">
        <f aca="false">E6-F6</f>
        <v>23.87</v>
      </c>
      <c r="I6" s="12" t="n">
        <f aca="false">D6*H6</f>
        <v>2387</v>
      </c>
      <c r="J6" s="12" t="n">
        <f aca="false">D6*E6</f>
        <v>26200</v>
      </c>
      <c r="K6" s="12" t="n">
        <v>2992</v>
      </c>
      <c r="L6" s="10" t="s">
        <v>36</v>
      </c>
      <c r="M6" s="15" t="n">
        <v>2992</v>
      </c>
      <c r="N6" s="15" t="n">
        <f aca="false">D6*M6</f>
        <v>299200</v>
      </c>
      <c r="O6" s="15" t="n">
        <f aca="false">N6*Параметры!$B$5/1000</f>
        <v>17413.44</v>
      </c>
      <c r="P6" s="15" t="n">
        <f aca="false">O6*Параметры!$B$6</f>
        <v>22637.472</v>
      </c>
      <c r="Q6" s="15" t="n">
        <f aca="false">P6/D6</f>
        <v>226.37472</v>
      </c>
      <c r="R6" s="16" t="n">
        <f aca="false">(J6-P6)/P6</f>
        <v>0.157373049428841</v>
      </c>
      <c r="S6" s="17" t="s">
        <v>37</v>
      </c>
    </row>
    <row r="7" customFormat="false" ht="23.25" hidden="false" customHeight="true" outlineLevel="0" collapsed="false">
      <c r="A7" s="10" t="n">
        <v>6</v>
      </c>
      <c r="B7" s="10" t="s">
        <v>34</v>
      </c>
      <c r="C7" s="11" t="s">
        <v>42</v>
      </c>
      <c r="D7" s="12" t="n">
        <v>200</v>
      </c>
      <c r="E7" s="12" t="n">
        <v>369</v>
      </c>
      <c r="F7" s="13" t="n">
        <v>335.9</v>
      </c>
      <c r="G7" s="14" t="n">
        <f aca="false">(E7-F7)/F7</f>
        <v>0.0985412325096756</v>
      </c>
      <c r="H7" s="13" t="n">
        <f aca="false">E7-F7</f>
        <v>33.1</v>
      </c>
      <c r="I7" s="12" t="n">
        <f aca="false">D7*H7</f>
        <v>6620.00000000001</v>
      </c>
      <c r="J7" s="12" t="n">
        <f aca="false">D7*E7</f>
        <v>73800</v>
      </c>
      <c r="K7" s="12" t="n">
        <v>3850</v>
      </c>
      <c r="L7" s="10" t="s">
        <v>36</v>
      </c>
      <c r="M7" s="15" t="n">
        <v>3850</v>
      </c>
      <c r="N7" s="15" t="n">
        <f aca="false">D7*M7</f>
        <v>770000</v>
      </c>
      <c r="O7" s="15" t="n">
        <f aca="false">N7*Параметры!$B$5/1000</f>
        <v>44814</v>
      </c>
      <c r="P7" s="15" t="n">
        <f aca="false">O7*Параметры!$B$6</f>
        <v>58258.2</v>
      </c>
      <c r="Q7" s="15" t="n">
        <f aca="false">P7/D7</f>
        <v>291.291</v>
      </c>
      <c r="R7" s="16" t="n">
        <f aca="false">(J7-P7)/P7</f>
        <v>0.266774462650751</v>
      </c>
      <c r="S7" s="17" t="s">
        <v>37</v>
      </c>
    </row>
    <row r="8" customFormat="false" ht="15" hidden="false" customHeight="true" outlineLevel="0" collapsed="false">
      <c r="A8" s="10" t="n">
        <v>7</v>
      </c>
      <c r="B8" s="10" t="s">
        <v>43</v>
      </c>
      <c r="C8" s="11" t="s">
        <v>44</v>
      </c>
      <c r="D8" s="12" t="n">
        <v>360</v>
      </c>
      <c r="E8" s="12" t="n">
        <v>397</v>
      </c>
      <c r="F8" s="13" t="n">
        <v>361.03</v>
      </c>
      <c r="G8" s="14" t="n">
        <f aca="false">(E8-F8)/F8</f>
        <v>0.0996316095615324</v>
      </c>
      <c r="H8" s="13" t="n">
        <f aca="false">E8-F8</f>
        <v>35.97</v>
      </c>
      <c r="I8" s="12" t="n">
        <f aca="false">D8*H8</f>
        <v>12949.2</v>
      </c>
      <c r="J8" s="12" t="n">
        <f aca="false">D8*E8</f>
        <v>142920</v>
      </c>
      <c r="K8" s="12" t="n">
        <v>4500</v>
      </c>
      <c r="L8" s="10" t="s">
        <v>36</v>
      </c>
      <c r="M8" s="15" t="n">
        <v>4500</v>
      </c>
      <c r="N8" s="15" t="n">
        <f aca="false">D8*M8</f>
        <v>1620000</v>
      </c>
      <c r="O8" s="15" t="n">
        <f aca="false">N8*Параметры!$B$5/1000</f>
        <v>94284</v>
      </c>
      <c r="P8" s="15" t="n">
        <f aca="false">O8*Параметры!$B$6</f>
        <v>122569.2</v>
      </c>
      <c r="Q8" s="15" t="n">
        <f aca="false">P8/D8</f>
        <v>340.47</v>
      </c>
      <c r="R8" s="16" t="n">
        <f aca="false">(J8-P8)/P8</f>
        <v>0.166035186653743</v>
      </c>
      <c r="S8" s="17" t="s">
        <v>37</v>
      </c>
    </row>
    <row r="9" customFormat="false" ht="15" hidden="false" customHeight="true" outlineLevel="0" collapsed="false">
      <c r="A9" s="10" t="n">
        <v>8</v>
      </c>
      <c r="B9" s="10" t="s">
        <v>43</v>
      </c>
      <c r="C9" s="11" t="s">
        <v>45</v>
      </c>
      <c r="D9" s="12" t="n">
        <v>192</v>
      </c>
      <c r="E9" s="12" t="n">
        <v>429</v>
      </c>
      <c r="F9" s="13" t="n">
        <v>389.99</v>
      </c>
      <c r="G9" s="14" t="n">
        <f aca="false">(E9-F9)/F9</f>
        <v>0.100028205851432</v>
      </c>
      <c r="H9" s="13" t="n">
        <f aca="false">E9-F9</f>
        <v>39.01</v>
      </c>
      <c r="I9" s="12" t="n">
        <f aca="false">D9*H9</f>
        <v>7489.92</v>
      </c>
      <c r="J9" s="12" t="n">
        <f aca="false">D9*E9</f>
        <v>82368</v>
      </c>
      <c r="K9" s="12" t="n">
        <v>4900</v>
      </c>
      <c r="L9" s="10" t="s">
        <v>36</v>
      </c>
      <c r="M9" s="15" t="n">
        <v>4900</v>
      </c>
      <c r="N9" s="15" t="n">
        <f aca="false">D9*M9</f>
        <v>940800</v>
      </c>
      <c r="O9" s="15" t="n">
        <f aca="false">N9*Параметры!$B$5/1000</f>
        <v>54754.56</v>
      </c>
      <c r="P9" s="15" t="n">
        <f aca="false">O9*Параметры!$B$6</f>
        <v>71180.928</v>
      </c>
      <c r="Q9" s="15" t="n">
        <f aca="false">P9/D9</f>
        <v>370.734</v>
      </c>
      <c r="R9" s="16" t="n">
        <f aca="false">(J9-P9)/P9</f>
        <v>0.15716389648643</v>
      </c>
      <c r="S9" s="17" t="s">
        <v>37</v>
      </c>
    </row>
    <row r="10" customFormat="false" ht="15" hidden="false" customHeight="true" outlineLevel="0" collapsed="false">
      <c r="A10" s="10" t="n">
        <v>9</v>
      </c>
      <c r="B10" s="10" t="s">
        <v>46</v>
      </c>
      <c r="C10" s="11" t="s">
        <v>47</v>
      </c>
      <c r="D10" s="12" t="n">
        <v>100</v>
      </c>
      <c r="E10" s="12" t="n">
        <v>178</v>
      </c>
      <c r="F10" s="13" t="n">
        <v>161.47</v>
      </c>
      <c r="G10" s="14" t="n">
        <f aca="false">(E10-F10)/F10</f>
        <v>0.10237195763919</v>
      </c>
      <c r="H10" s="13" t="n">
        <f aca="false">E10-F10</f>
        <v>16.53</v>
      </c>
      <c r="I10" s="12" t="n">
        <f aca="false">D10*H10</f>
        <v>1653</v>
      </c>
      <c r="J10" s="12" t="n">
        <f aca="false">D10*E10</f>
        <v>17800</v>
      </c>
      <c r="K10" s="12" t="n">
        <v>1795</v>
      </c>
      <c r="L10" s="10" t="s">
        <v>36</v>
      </c>
      <c r="M10" s="15" t="n">
        <v>1795</v>
      </c>
      <c r="N10" s="15" t="n">
        <f aca="false">D10*M10</f>
        <v>179500</v>
      </c>
      <c r="O10" s="15" t="n">
        <f aca="false">N10*Параметры!$B$5/1000</f>
        <v>10446.9</v>
      </c>
      <c r="P10" s="15" t="n">
        <f aca="false">O10*Параметры!$B$6</f>
        <v>13580.97</v>
      </c>
      <c r="Q10" s="15" t="n">
        <f aca="false">P10/D10</f>
        <v>135.8097</v>
      </c>
      <c r="R10" s="16" t="n">
        <f aca="false">(J10-P10)/P10</f>
        <v>0.310657486173668</v>
      </c>
      <c r="S10" s="17" t="s">
        <v>37</v>
      </c>
    </row>
    <row r="11" customFormat="false" ht="15" hidden="false" customHeight="true" outlineLevel="0" collapsed="false">
      <c r="A11" s="10" t="n">
        <v>10</v>
      </c>
      <c r="B11" s="10" t="s">
        <v>48</v>
      </c>
      <c r="C11" s="11" t="s">
        <v>49</v>
      </c>
      <c r="D11" s="12" t="n">
        <v>40</v>
      </c>
      <c r="E11" s="12" t="n">
        <v>376</v>
      </c>
      <c r="F11" s="13" t="n">
        <v>342.27</v>
      </c>
      <c r="G11" s="14" t="n">
        <f aca="false">(E11-F11)/F11</f>
        <v>0.0985479299967862</v>
      </c>
      <c r="H11" s="13" t="n">
        <f aca="false">E11-F11</f>
        <v>33.73</v>
      </c>
      <c r="I11" s="12" t="n">
        <f aca="false">D11*H11</f>
        <v>1349.2</v>
      </c>
      <c r="J11" s="12" t="n">
        <f aca="false">D11*E11</f>
        <v>15040</v>
      </c>
      <c r="K11" s="10"/>
      <c r="L11" s="10" t="s">
        <v>50</v>
      </c>
      <c r="M11" s="18" t="n">
        <v>3300</v>
      </c>
      <c r="N11" s="18" t="n">
        <f aca="false">D11*M11</f>
        <v>132000</v>
      </c>
      <c r="O11" s="18" t="n">
        <f aca="false">N11*Параметры!$B$5/1000</f>
        <v>7682.4</v>
      </c>
      <c r="P11" s="18" t="n">
        <f aca="false">O11*Параметры!$B$6</f>
        <v>9987.12</v>
      </c>
      <c r="Q11" s="18" t="n">
        <f aca="false">P11/D11</f>
        <v>249.678</v>
      </c>
      <c r="R11" s="19" t="n">
        <f aca="false">(J11-P11)/P11</f>
        <v>0.505939650269547</v>
      </c>
      <c r="S11" s="20" t="s">
        <v>51</v>
      </c>
    </row>
    <row r="12" customFormat="false" ht="23.25" hidden="false" customHeight="true" outlineLevel="0" collapsed="false">
      <c r="A12" s="10" t="n">
        <v>11</v>
      </c>
      <c r="B12" s="10" t="s">
        <v>48</v>
      </c>
      <c r="C12" s="11" t="s">
        <v>52</v>
      </c>
      <c r="D12" s="12" t="n">
        <v>40</v>
      </c>
      <c r="E12" s="12" t="n">
        <v>376</v>
      </c>
      <c r="F12" s="13" t="n">
        <v>342.27</v>
      </c>
      <c r="G12" s="14" t="n">
        <f aca="false">(E12-F12)/F12</f>
        <v>0.0985479299967862</v>
      </c>
      <c r="H12" s="13" t="n">
        <f aca="false">E12-F12</f>
        <v>33.73</v>
      </c>
      <c r="I12" s="12" t="n">
        <f aca="false">D12*H12</f>
        <v>1349.2</v>
      </c>
      <c r="J12" s="12" t="n">
        <f aca="false">D12*E12</f>
        <v>15040</v>
      </c>
      <c r="K12" s="12" t="n">
        <v>3300</v>
      </c>
      <c r="L12" s="10" t="s">
        <v>50</v>
      </c>
      <c r="M12" s="15" t="n">
        <v>3300</v>
      </c>
      <c r="N12" s="15" t="n">
        <f aca="false">D12*M12</f>
        <v>132000</v>
      </c>
      <c r="O12" s="15" t="n">
        <f aca="false">N12*Параметры!$B$5/1000</f>
        <v>7682.4</v>
      </c>
      <c r="P12" s="15" t="n">
        <f aca="false">O12*Параметры!$B$6</f>
        <v>9987.12</v>
      </c>
      <c r="Q12" s="15" t="n">
        <f aca="false">P12/D12</f>
        <v>249.678</v>
      </c>
      <c r="R12" s="16" t="n">
        <f aca="false">(J12-P12)/P12</f>
        <v>0.505939650269547</v>
      </c>
      <c r="S12" s="17" t="s">
        <v>37</v>
      </c>
    </row>
    <row r="13" customFormat="false" ht="15" hidden="false" customHeight="true" outlineLevel="0" collapsed="false">
      <c r="A13" s="10" t="n">
        <v>12</v>
      </c>
      <c r="B13" s="10" t="s">
        <v>48</v>
      </c>
      <c r="C13" s="11" t="s">
        <v>53</v>
      </c>
      <c r="D13" s="12" t="n">
        <v>40</v>
      </c>
      <c r="E13" s="12" t="n">
        <v>376</v>
      </c>
      <c r="F13" s="13" t="n">
        <v>342.27</v>
      </c>
      <c r="G13" s="14" t="n">
        <f aca="false">(E13-F13)/F13</f>
        <v>0.0985479299967862</v>
      </c>
      <c r="H13" s="13" t="n">
        <f aca="false">E13-F13</f>
        <v>33.73</v>
      </c>
      <c r="I13" s="12" t="n">
        <f aca="false">D13*H13</f>
        <v>1349.2</v>
      </c>
      <c r="J13" s="12" t="n">
        <f aca="false">D13*E13</f>
        <v>15040</v>
      </c>
      <c r="K13" s="12" t="n">
        <v>3300</v>
      </c>
      <c r="L13" s="10" t="s">
        <v>50</v>
      </c>
      <c r="M13" s="15" t="n">
        <v>3300</v>
      </c>
      <c r="N13" s="15" t="n">
        <f aca="false">D13*M13</f>
        <v>132000</v>
      </c>
      <c r="O13" s="15" t="n">
        <f aca="false">N13*Параметры!$B$5/1000</f>
        <v>7682.4</v>
      </c>
      <c r="P13" s="15" t="n">
        <f aca="false">O13*Параметры!$B$6</f>
        <v>9987.12</v>
      </c>
      <c r="Q13" s="15" t="n">
        <f aca="false">P13/D13</f>
        <v>249.678</v>
      </c>
      <c r="R13" s="16" t="n">
        <f aca="false">(J13-P13)/P13</f>
        <v>0.505939650269547</v>
      </c>
      <c r="S13" s="17" t="s">
        <v>37</v>
      </c>
    </row>
    <row r="14" customFormat="false" ht="15" hidden="false" customHeight="true" outlineLevel="0" collapsed="false">
      <c r="A14" s="10" t="n">
        <v>13</v>
      </c>
      <c r="B14" s="10" t="s">
        <v>48</v>
      </c>
      <c r="C14" s="11" t="s">
        <v>54</v>
      </c>
      <c r="D14" s="12" t="n">
        <v>40</v>
      </c>
      <c r="E14" s="12" t="n">
        <v>376</v>
      </c>
      <c r="F14" s="13" t="n">
        <v>342.27</v>
      </c>
      <c r="G14" s="14" t="n">
        <f aca="false">(E14-F14)/F14</f>
        <v>0.0985479299967862</v>
      </c>
      <c r="H14" s="13" t="n">
        <f aca="false">E14-F14</f>
        <v>33.73</v>
      </c>
      <c r="I14" s="12" t="n">
        <f aca="false">D14*H14</f>
        <v>1349.2</v>
      </c>
      <c r="J14" s="12" t="n">
        <f aca="false">D14*E14</f>
        <v>15040</v>
      </c>
      <c r="K14" s="12" t="n">
        <v>3300</v>
      </c>
      <c r="L14" s="10" t="s">
        <v>50</v>
      </c>
      <c r="M14" s="15" t="n">
        <v>3300</v>
      </c>
      <c r="N14" s="15" t="n">
        <f aca="false">D14*M14</f>
        <v>132000</v>
      </c>
      <c r="O14" s="15" t="n">
        <f aca="false">N14*Параметры!$B$5/1000</f>
        <v>7682.4</v>
      </c>
      <c r="P14" s="15" t="n">
        <f aca="false">O14*Параметры!$B$6</f>
        <v>9987.12</v>
      </c>
      <c r="Q14" s="15" t="n">
        <f aca="false">P14/D14</f>
        <v>249.678</v>
      </c>
      <c r="R14" s="16" t="n">
        <f aca="false">(J14-P14)/P14</f>
        <v>0.505939650269547</v>
      </c>
      <c r="S14" s="17" t="s">
        <v>37</v>
      </c>
    </row>
    <row r="15" customFormat="false" ht="23.25" hidden="false" customHeight="true" outlineLevel="0" collapsed="false">
      <c r="A15" s="10" t="n">
        <v>14</v>
      </c>
      <c r="B15" s="10" t="s">
        <v>48</v>
      </c>
      <c r="C15" s="11" t="s">
        <v>55</v>
      </c>
      <c r="D15" s="12" t="n">
        <v>40</v>
      </c>
      <c r="E15" s="12" t="n">
        <v>495</v>
      </c>
      <c r="F15" s="13" t="n">
        <v>450.35</v>
      </c>
      <c r="G15" s="14" t="n">
        <f aca="false">(E15-F15)/F15</f>
        <v>0.0991451093593871</v>
      </c>
      <c r="H15" s="13" t="n">
        <f aca="false">E15-F15</f>
        <v>44.65</v>
      </c>
      <c r="I15" s="12" t="n">
        <f aca="false">D15*H15</f>
        <v>1786</v>
      </c>
      <c r="J15" s="12" t="n">
        <f aca="false">D15*E15</f>
        <v>19800</v>
      </c>
      <c r="K15" s="10"/>
      <c r="L15" s="10" t="s">
        <v>56</v>
      </c>
      <c r="M15" s="18" t="n">
        <v>4910</v>
      </c>
      <c r="N15" s="18" t="n">
        <f aca="false">D15*M15</f>
        <v>196400</v>
      </c>
      <c r="O15" s="18" t="n">
        <f aca="false">N15*Параметры!$B$5/1000</f>
        <v>11430.48</v>
      </c>
      <c r="P15" s="18" t="n">
        <f aca="false">O15*Параметры!$B$6</f>
        <v>14859.624</v>
      </c>
      <c r="Q15" s="18" t="n">
        <f aca="false">P15/D15</f>
        <v>371.4906</v>
      </c>
      <c r="R15" s="19" t="n">
        <f aca="false">(J15-P15)/P15</f>
        <v>0.332469785238173</v>
      </c>
      <c r="S15" s="20" t="s">
        <v>51</v>
      </c>
    </row>
    <row r="16" customFormat="false" ht="23.25" hidden="false" customHeight="true" outlineLevel="0" collapsed="false">
      <c r="A16" s="21" t="n">
        <v>15</v>
      </c>
      <c r="B16" s="21" t="s">
        <v>48</v>
      </c>
      <c r="C16" s="22" t="s">
        <v>57</v>
      </c>
      <c r="D16" s="23" t="n">
        <v>40</v>
      </c>
      <c r="E16" s="23" t="n">
        <v>495</v>
      </c>
      <c r="F16" s="24" t="n">
        <v>450</v>
      </c>
      <c r="G16" s="25" t="n">
        <f aca="false">(E16-F16)/F16</f>
        <v>0.1</v>
      </c>
      <c r="H16" s="24" t="n">
        <f aca="false">E16-F16</f>
        <v>45</v>
      </c>
      <c r="I16" s="23" t="n">
        <f aca="false">D16*H16</f>
        <v>1800</v>
      </c>
      <c r="J16" s="23" t="n">
        <f aca="false">D16*E16</f>
        <v>19800</v>
      </c>
      <c r="K16" s="21"/>
      <c r="L16" s="21" t="s">
        <v>58</v>
      </c>
      <c r="M16" s="18" t="n">
        <v>4910</v>
      </c>
      <c r="N16" s="18" t="n">
        <f aca="false">D16*M16</f>
        <v>196400</v>
      </c>
      <c r="O16" s="18" t="n">
        <f aca="false">N16*Параметры!$B$5/1000</f>
        <v>11430.48</v>
      </c>
      <c r="P16" s="18" t="n">
        <f aca="false">O16*Параметры!$B$6</f>
        <v>14859.624</v>
      </c>
      <c r="Q16" s="18" t="n">
        <f aca="false">P16/D16</f>
        <v>371.4906</v>
      </c>
      <c r="R16" s="19" t="n">
        <f aca="false">(J16-P16)/P16</f>
        <v>0.332469785238173</v>
      </c>
      <c r="S16" s="20" t="s">
        <v>51</v>
      </c>
    </row>
    <row r="17" customFormat="false" ht="15" hidden="false" customHeight="true" outlineLevel="0" collapsed="false">
      <c r="A17" s="10" t="n">
        <v>16</v>
      </c>
      <c r="B17" s="10" t="s">
        <v>48</v>
      </c>
      <c r="C17" s="11" t="s">
        <v>59</v>
      </c>
      <c r="D17" s="12" t="n">
        <v>40</v>
      </c>
      <c r="E17" s="12" t="n">
        <v>495</v>
      </c>
      <c r="F17" s="13" t="n">
        <v>450.35</v>
      </c>
      <c r="G17" s="14" t="n">
        <f aca="false">(E17-F17)/F17</f>
        <v>0.0991451093593871</v>
      </c>
      <c r="H17" s="13" t="n">
        <f aca="false">E17-F17</f>
        <v>44.65</v>
      </c>
      <c r="I17" s="12" t="n">
        <f aca="false">D17*H17</f>
        <v>1786</v>
      </c>
      <c r="J17" s="12" t="n">
        <f aca="false">D17*E17</f>
        <v>19800</v>
      </c>
      <c r="K17" s="10"/>
      <c r="L17" s="10" t="s">
        <v>60</v>
      </c>
      <c r="M17" s="18" t="n">
        <v>4910</v>
      </c>
      <c r="N17" s="18" t="n">
        <f aca="false">D17*M17</f>
        <v>196400</v>
      </c>
      <c r="O17" s="18" t="n">
        <f aca="false">N17*Параметры!$B$5/1000</f>
        <v>11430.48</v>
      </c>
      <c r="P17" s="18" t="n">
        <f aca="false">O17*Параметры!$B$6</f>
        <v>14859.624</v>
      </c>
      <c r="Q17" s="18" t="n">
        <f aca="false">P17/D17</f>
        <v>371.4906</v>
      </c>
      <c r="R17" s="19" t="n">
        <f aca="false">(J17-P17)/P17</f>
        <v>0.332469785238173</v>
      </c>
      <c r="S17" s="20" t="s">
        <v>51</v>
      </c>
    </row>
    <row r="18" customFormat="false" ht="23.25" hidden="false" customHeight="true" outlineLevel="0" collapsed="false">
      <c r="A18" s="10" t="n">
        <v>17</v>
      </c>
      <c r="B18" s="10" t="s">
        <v>48</v>
      </c>
      <c r="C18" s="11" t="s">
        <v>61</v>
      </c>
      <c r="D18" s="12" t="n">
        <v>40</v>
      </c>
      <c r="E18" s="12" t="n">
        <v>350</v>
      </c>
      <c r="F18" s="13" t="n">
        <v>318.45</v>
      </c>
      <c r="G18" s="14" t="n">
        <f aca="false">(E18-F18)/F18</f>
        <v>0.0990736379337416</v>
      </c>
      <c r="H18" s="13" t="n">
        <f aca="false">E18-F18</f>
        <v>31.55</v>
      </c>
      <c r="I18" s="12" t="n">
        <f aca="false">D18*H18</f>
        <v>1262</v>
      </c>
      <c r="J18" s="12" t="n">
        <f aca="false">D18*E18</f>
        <v>14000</v>
      </c>
      <c r="K18" s="10"/>
      <c r="L18" s="10" t="s">
        <v>50</v>
      </c>
      <c r="M18" s="18" t="n">
        <v>3300</v>
      </c>
      <c r="N18" s="18" t="n">
        <f aca="false">D18*M18</f>
        <v>132000</v>
      </c>
      <c r="O18" s="18" t="n">
        <f aca="false">N18*Параметры!$B$5/1000</f>
        <v>7682.4</v>
      </c>
      <c r="P18" s="18" t="n">
        <f aca="false">O18*Параметры!$B$6</f>
        <v>9987.12</v>
      </c>
      <c r="Q18" s="18" t="n">
        <f aca="false">P18/D18</f>
        <v>249.678</v>
      </c>
      <c r="R18" s="19" t="n">
        <f aca="false">(J18-P18)/P18</f>
        <v>0.401805525516866</v>
      </c>
      <c r="S18" s="20" t="s">
        <v>51</v>
      </c>
    </row>
    <row r="19" customFormat="false" ht="23.25" hidden="false" customHeight="true" outlineLevel="0" collapsed="false">
      <c r="A19" s="10" t="n">
        <v>18</v>
      </c>
      <c r="B19" s="10" t="s">
        <v>48</v>
      </c>
      <c r="C19" s="11" t="s">
        <v>62</v>
      </c>
      <c r="D19" s="12" t="n">
        <v>40</v>
      </c>
      <c r="E19" s="12" t="n">
        <v>495</v>
      </c>
      <c r="F19" s="13" t="n">
        <v>450.35</v>
      </c>
      <c r="G19" s="14" t="n">
        <f aca="false">(E19-F19)/F19</f>
        <v>0.0991451093593871</v>
      </c>
      <c r="H19" s="13" t="n">
        <f aca="false">E19-F19</f>
        <v>44.65</v>
      </c>
      <c r="I19" s="12" t="n">
        <f aca="false">D19*H19</f>
        <v>1786</v>
      </c>
      <c r="J19" s="12" t="n">
        <f aca="false">D19*E19</f>
        <v>19800</v>
      </c>
      <c r="K19" s="12" t="n">
        <v>4910</v>
      </c>
      <c r="L19" s="10" t="s">
        <v>63</v>
      </c>
      <c r="M19" s="15" t="n">
        <v>4910</v>
      </c>
      <c r="N19" s="15" t="n">
        <f aca="false">D19*M19</f>
        <v>196400</v>
      </c>
      <c r="O19" s="15" t="n">
        <f aca="false">N19*Параметры!$B$5/1000</f>
        <v>11430.48</v>
      </c>
      <c r="P19" s="15" t="n">
        <f aca="false">O19*Параметры!$B$6</f>
        <v>14859.624</v>
      </c>
      <c r="Q19" s="15" t="n">
        <f aca="false">P19/D19</f>
        <v>371.4906</v>
      </c>
      <c r="R19" s="16" t="n">
        <f aca="false">(J19-P19)/P19</f>
        <v>0.332469785238173</v>
      </c>
      <c r="S19" s="17" t="s">
        <v>37</v>
      </c>
    </row>
    <row r="20" customFormat="false" ht="15" hidden="false" customHeight="true" outlineLevel="0" collapsed="false">
      <c r="A20" s="10" t="n">
        <v>19</v>
      </c>
      <c r="B20" s="10" t="s">
        <v>48</v>
      </c>
      <c r="C20" s="11" t="s">
        <v>64</v>
      </c>
      <c r="D20" s="12" t="n">
        <v>40</v>
      </c>
      <c r="E20" s="12" t="n">
        <v>376</v>
      </c>
      <c r="F20" s="13" t="n">
        <v>342.27</v>
      </c>
      <c r="G20" s="14" t="n">
        <f aca="false">(E20-F20)/F20</f>
        <v>0.0985479299967862</v>
      </c>
      <c r="H20" s="13" t="n">
        <f aca="false">E20-F20</f>
        <v>33.73</v>
      </c>
      <c r="I20" s="12" t="n">
        <f aca="false">D20*H20</f>
        <v>1349.2</v>
      </c>
      <c r="J20" s="12" t="n">
        <f aca="false">D20*E20</f>
        <v>15040</v>
      </c>
      <c r="K20" s="12" t="n">
        <v>3300</v>
      </c>
      <c r="L20" s="10" t="s">
        <v>65</v>
      </c>
      <c r="M20" s="15" t="n">
        <v>3300</v>
      </c>
      <c r="N20" s="15" t="n">
        <f aca="false">D20*M20</f>
        <v>132000</v>
      </c>
      <c r="O20" s="15" t="n">
        <f aca="false">N20*Параметры!$B$5/1000</f>
        <v>7682.4</v>
      </c>
      <c r="P20" s="15" t="n">
        <f aca="false">O20*Параметры!$B$6</f>
        <v>9987.12</v>
      </c>
      <c r="Q20" s="15" t="n">
        <f aca="false">P20/D20</f>
        <v>249.678</v>
      </c>
      <c r="R20" s="16" t="n">
        <f aca="false">(J20-P20)/P20</f>
        <v>0.505939650269547</v>
      </c>
      <c r="S20" s="17" t="s">
        <v>37</v>
      </c>
    </row>
    <row r="21" customFormat="false" ht="15" hidden="false" customHeight="true" outlineLevel="0" collapsed="false">
      <c r="A21" s="10" t="n">
        <v>20</v>
      </c>
      <c r="B21" s="10" t="s">
        <v>66</v>
      </c>
      <c r="C21" s="11" t="s">
        <v>67</v>
      </c>
      <c r="D21" s="12" t="n">
        <v>70</v>
      </c>
      <c r="E21" s="12" t="n">
        <v>990</v>
      </c>
      <c r="F21" s="13" t="n">
        <v>899.78</v>
      </c>
      <c r="G21" s="14" t="n">
        <f aca="false">(E21-F21)/F21</f>
        <v>0.100268954633355</v>
      </c>
      <c r="H21" s="13" t="n">
        <f aca="false">E21-F21</f>
        <v>90.22</v>
      </c>
      <c r="I21" s="12" t="n">
        <f aca="false">D21*H21</f>
        <v>6315.4</v>
      </c>
      <c r="J21" s="12" t="n">
        <f aca="false">D21*E21</f>
        <v>69300</v>
      </c>
      <c r="K21" s="12" t="n">
        <v>14350</v>
      </c>
      <c r="L21" s="10" t="s">
        <v>36</v>
      </c>
      <c r="M21" s="15" t="n">
        <v>14350</v>
      </c>
      <c r="N21" s="15" t="n">
        <f aca="false">D21*M21</f>
        <v>1004500</v>
      </c>
      <c r="O21" s="15" t="n">
        <f aca="false">N21*Параметры!$B$5/1000</f>
        <v>58461.9</v>
      </c>
      <c r="P21" s="15" t="n">
        <f aca="false">O21*Параметры!$B$6</f>
        <v>76000.47</v>
      </c>
      <c r="Q21" s="15" t="n">
        <f aca="false">P21/D21</f>
        <v>1085.721</v>
      </c>
      <c r="R21" s="16" t="n">
        <f aca="false">(J21-P21)/P21</f>
        <v>-0.0881635337255151</v>
      </c>
      <c r="S21" s="17" t="s">
        <v>37</v>
      </c>
    </row>
    <row r="22" customFormat="false" ht="15" hidden="false" customHeight="true" outlineLevel="0" collapsed="false">
      <c r="A22" s="10" t="n">
        <v>21</v>
      </c>
      <c r="B22" s="10" t="s">
        <v>66</v>
      </c>
      <c r="C22" s="11" t="s">
        <v>68</v>
      </c>
      <c r="D22" s="12" t="n">
        <v>70</v>
      </c>
      <c r="E22" s="12" t="n">
        <v>712</v>
      </c>
      <c r="F22" s="13" t="n">
        <v>646.83</v>
      </c>
      <c r="G22" s="14" t="n">
        <f aca="false">(E22-F22)/F22</f>
        <v>0.10075290261738</v>
      </c>
      <c r="H22" s="13" t="n">
        <f aca="false">E22-F22</f>
        <v>65.17</v>
      </c>
      <c r="I22" s="12" t="n">
        <f aca="false">D22*H22</f>
        <v>4561.9</v>
      </c>
      <c r="J22" s="12" t="n">
        <f aca="false">D22*E22</f>
        <v>49840</v>
      </c>
      <c r="K22" s="12" t="n">
        <v>10250</v>
      </c>
      <c r="L22" s="10" t="s">
        <v>36</v>
      </c>
      <c r="M22" s="15" t="n">
        <v>10250</v>
      </c>
      <c r="N22" s="15" t="n">
        <f aca="false">D22*M22</f>
        <v>717500</v>
      </c>
      <c r="O22" s="15" t="n">
        <f aca="false">N22*Параметры!$B$5/1000</f>
        <v>41758.5</v>
      </c>
      <c r="P22" s="15" t="n">
        <f aca="false">O22*Параметры!$B$6</f>
        <v>54286.05</v>
      </c>
      <c r="Q22" s="15" t="n">
        <f aca="false">P22/D22</f>
        <v>775.515</v>
      </c>
      <c r="R22" s="16" t="n">
        <f aca="false">(J22-P22)/P22</f>
        <v>-0.0819004145632258</v>
      </c>
      <c r="S22" s="17" t="s">
        <v>37</v>
      </c>
    </row>
    <row r="23" customFormat="false" ht="15" hidden="false" customHeight="true" outlineLevel="0" collapsed="false">
      <c r="A23" s="10" t="n">
        <v>22</v>
      </c>
      <c r="B23" s="10" t="s">
        <v>66</v>
      </c>
      <c r="C23" s="11" t="s">
        <v>69</v>
      </c>
      <c r="D23" s="12" t="n">
        <v>120</v>
      </c>
      <c r="E23" s="12" t="n">
        <v>809</v>
      </c>
      <c r="F23" s="13" t="n">
        <v>735.34</v>
      </c>
      <c r="G23" s="14" t="n">
        <f aca="false">(E23-F23)/F23</f>
        <v>0.100171349307803</v>
      </c>
      <c r="H23" s="13" t="n">
        <f aca="false">E23-F23</f>
        <v>73.66</v>
      </c>
      <c r="I23" s="12" t="n">
        <f aca="false">D23*H23</f>
        <v>8839.2</v>
      </c>
      <c r="J23" s="12" t="n">
        <f aca="false">D23*E23</f>
        <v>97080</v>
      </c>
      <c r="K23" s="12" t="n">
        <v>10250</v>
      </c>
      <c r="L23" s="10" t="s">
        <v>36</v>
      </c>
      <c r="M23" s="15" t="n">
        <v>10250</v>
      </c>
      <c r="N23" s="15" t="n">
        <f aca="false">D23*M23</f>
        <v>1230000</v>
      </c>
      <c r="O23" s="15" t="n">
        <f aca="false">N23*Параметры!$B$5/1000</f>
        <v>71586</v>
      </c>
      <c r="P23" s="15" t="n">
        <f aca="false">O23*Параметры!$B$6</f>
        <v>93061.8</v>
      </c>
      <c r="Q23" s="15" t="n">
        <f aca="false">P23/D23</f>
        <v>775.515</v>
      </c>
      <c r="R23" s="16" t="n">
        <f aca="false">(J23-P23)/P23</f>
        <v>0.0431777592954359</v>
      </c>
      <c r="S23" s="17" t="s">
        <v>37</v>
      </c>
    </row>
    <row r="24" customFormat="false" ht="15" hidden="false" customHeight="true" outlineLevel="0" collapsed="false">
      <c r="A24" s="10" t="n">
        <v>23</v>
      </c>
      <c r="B24" s="10" t="s">
        <v>66</v>
      </c>
      <c r="C24" s="11" t="s">
        <v>70</v>
      </c>
      <c r="D24" s="12" t="n">
        <v>140</v>
      </c>
      <c r="E24" s="12" t="n">
        <v>814</v>
      </c>
      <c r="F24" s="13" t="n">
        <v>739.91</v>
      </c>
      <c r="G24" s="14" t="n">
        <f aca="false">(E24-F24)/F24</f>
        <v>0.100133800056764</v>
      </c>
      <c r="H24" s="13" t="n">
        <f aca="false">E24-F24</f>
        <v>74.09</v>
      </c>
      <c r="I24" s="12" t="n">
        <f aca="false">D24*H24</f>
        <v>10372.6</v>
      </c>
      <c r="J24" s="12" t="n">
        <f aca="false">D24*E24</f>
        <v>113960</v>
      </c>
      <c r="K24" s="12" t="n">
        <v>9200</v>
      </c>
      <c r="L24" s="10" t="s">
        <v>36</v>
      </c>
      <c r="M24" s="15" t="n">
        <v>9200</v>
      </c>
      <c r="N24" s="15" t="n">
        <f aca="false">D24*M24</f>
        <v>1288000</v>
      </c>
      <c r="O24" s="15" t="n">
        <f aca="false">N24*Параметры!$B$5/1000</f>
        <v>74961.6</v>
      </c>
      <c r="P24" s="15" t="n">
        <f aca="false">O24*Параметры!$B$6</f>
        <v>97450.08</v>
      </c>
      <c r="Q24" s="15" t="n">
        <f aca="false">P24/D24</f>
        <v>696.072</v>
      </c>
      <c r="R24" s="16" t="n">
        <f aca="false">(J24-P24)/P24</f>
        <v>0.169419255479318</v>
      </c>
      <c r="S24" s="17" t="s">
        <v>37</v>
      </c>
    </row>
    <row r="25" customFormat="false" ht="15" hidden="false" customHeight="true" outlineLevel="0" collapsed="false">
      <c r="A25" s="10" t="n">
        <v>24</v>
      </c>
      <c r="B25" s="10" t="s">
        <v>66</v>
      </c>
      <c r="C25" s="11" t="s">
        <v>71</v>
      </c>
      <c r="D25" s="12" t="n">
        <v>140</v>
      </c>
      <c r="E25" s="12" t="n">
        <v>1096</v>
      </c>
      <c r="F25" s="13" t="n">
        <v>996.75</v>
      </c>
      <c r="G25" s="14" t="n">
        <f aca="false">(E25-F25)/F25</f>
        <v>0.0995736142463005</v>
      </c>
      <c r="H25" s="13" t="n">
        <f aca="false">E25-F25</f>
        <v>99.25</v>
      </c>
      <c r="I25" s="12" t="n">
        <f aca="false">D25*H25</f>
        <v>13895</v>
      </c>
      <c r="J25" s="12" t="n">
        <f aca="false">D25*E25</f>
        <v>153440</v>
      </c>
      <c r="K25" s="12" t="n">
        <v>16000</v>
      </c>
      <c r="L25" s="10" t="s">
        <v>36</v>
      </c>
      <c r="M25" s="15" t="n">
        <v>16000</v>
      </c>
      <c r="N25" s="15" t="n">
        <f aca="false">D25*M25</f>
        <v>2240000</v>
      </c>
      <c r="O25" s="15" t="n">
        <f aca="false">N25*Параметры!$B$5/1000</f>
        <v>130368</v>
      </c>
      <c r="P25" s="15" t="n">
        <f aca="false">O25*Параметры!$B$6</f>
        <v>169478.4</v>
      </c>
      <c r="Q25" s="15" t="n">
        <f aca="false">P25/D25</f>
        <v>1210.56</v>
      </c>
      <c r="R25" s="16" t="n">
        <f aca="false">(J25-P25)/P25</f>
        <v>-0.0946338884483214</v>
      </c>
      <c r="S25" s="17" t="s">
        <v>37</v>
      </c>
    </row>
    <row r="26" customFormat="false" ht="15" hidden="false" customHeight="true" outlineLevel="0" collapsed="false">
      <c r="A26" s="10" t="n">
        <v>25</v>
      </c>
      <c r="B26" s="10" t="s">
        <v>72</v>
      </c>
      <c r="C26" s="11" t="s">
        <v>73</v>
      </c>
      <c r="D26" s="12" t="n">
        <v>216</v>
      </c>
      <c r="E26" s="12" t="n">
        <v>424</v>
      </c>
      <c r="F26" s="13" t="n">
        <v>385.05</v>
      </c>
      <c r="G26" s="14" t="n">
        <f aca="false">(E26-F26)/F26</f>
        <v>0.101155694065706</v>
      </c>
      <c r="H26" s="13" t="n">
        <f aca="false">E26-F26</f>
        <v>38.95</v>
      </c>
      <c r="I26" s="12" t="n">
        <f aca="false">D26*H26</f>
        <v>8413.2</v>
      </c>
      <c r="J26" s="12" t="n">
        <f aca="false">D26*E26</f>
        <v>91584</v>
      </c>
      <c r="K26" s="12" t="n">
        <v>5370</v>
      </c>
      <c r="L26" s="10" t="s">
        <v>36</v>
      </c>
      <c r="M26" s="15" t="n">
        <v>5370</v>
      </c>
      <c r="N26" s="15" t="n">
        <f aca="false">D26*M26</f>
        <v>1159920</v>
      </c>
      <c r="O26" s="15" t="n">
        <f aca="false">N26*Параметры!$B$5/1000</f>
        <v>67507.344</v>
      </c>
      <c r="P26" s="15" t="n">
        <f aca="false">O26*Параметры!$B$6</f>
        <v>87759.5472</v>
      </c>
      <c r="Q26" s="15" t="n">
        <f aca="false">P26/D26</f>
        <v>406.2942</v>
      </c>
      <c r="R26" s="16" t="n">
        <f aca="false">(J26-P26)/P26</f>
        <v>0.0435787663225318</v>
      </c>
      <c r="S26" s="17" t="s">
        <v>37</v>
      </c>
    </row>
    <row r="27" customFormat="false" ht="15" hidden="false" customHeight="true" outlineLevel="0" collapsed="false">
      <c r="A27" s="10" t="n">
        <v>26</v>
      </c>
      <c r="B27" s="10" t="s">
        <v>72</v>
      </c>
      <c r="C27" s="11" t="s">
        <v>74</v>
      </c>
      <c r="D27" s="12" t="n">
        <v>60</v>
      </c>
      <c r="E27" s="12" t="n">
        <v>532</v>
      </c>
      <c r="F27" s="13" t="n">
        <v>486.69</v>
      </c>
      <c r="G27" s="14" t="n">
        <f aca="false">(E27-F27)/F27</f>
        <v>0.0930982761100495</v>
      </c>
      <c r="H27" s="13" t="n">
        <f aca="false">E27-F27</f>
        <v>45.31</v>
      </c>
      <c r="I27" s="12" t="n">
        <f aca="false">D27*H27</f>
        <v>2718.6</v>
      </c>
      <c r="J27" s="12" t="n">
        <f aca="false">D27*E27</f>
        <v>31920</v>
      </c>
      <c r="K27" s="12" t="n">
        <v>6760</v>
      </c>
      <c r="L27" s="10" t="s">
        <v>36</v>
      </c>
      <c r="M27" s="15" t="n">
        <v>6760</v>
      </c>
      <c r="N27" s="15" t="n">
        <f aca="false">D27*M27</f>
        <v>405600</v>
      </c>
      <c r="O27" s="15" t="n">
        <f aca="false">N27*Параметры!$B$5/1000</f>
        <v>23605.92</v>
      </c>
      <c r="P27" s="15" t="n">
        <f aca="false">O27*Параметры!$B$6</f>
        <v>30687.696</v>
      </c>
      <c r="Q27" s="15" t="n">
        <f aca="false">P27/D27</f>
        <v>511.4616</v>
      </c>
      <c r="R27" s="16" t="n">
        <f aca="false">(J27-P27)/P27</f>
        <v>0.0401562893480175</v>
      </c>
      <c r="S27" s="17" t="s">
        <v>37</v>
      </c>
    </row>
    <row r="28" customFormat="false" ht="15" hidden="false" customHeight="true" outlineLevel="0" collapsed="false">
      <c r="A28" s="10" t="n">
        <v>27</v>
      </c>
      <c r="B28" s="10" t="s">
        <v>72</v>
      </c>
      <c r="C28" s="11" t="s">
        <v>75</v>
      </c>
      <c r="D28" s="12" t="n">
        <v>144</v>
      </c>
      <c r="E28" s="12" t="n">
        <v>457</v>
      </c>
      <c r="F28" s="13" t="n">
        <v>415.46</v>
      </c>
      <c r="G28" s="14" t="n">
        <f aca="false">(E28-F28)/F28</f>
        <v>0.0999855581764791</v>
      </c>
      <c r="H28" s="13" t="n">
        <f aca="false">E28-F28</f>
        <v>41.54</v>
      </c>
      <c r="I28" s="12" t="n">
        <f aca="false">D28*H28</f>
        <v>5981.76</v>
      </c>
      <c r="J28" s="12" t="n">
        <f aca="false">D28*E28</f>
        <v>65808</v>
      </c>
      <c r="K28" s="12" t="n">
        <v>5790</v>
      </c>
      <c r="L28" s="10" t="s">
        <v>36</v>
      </c>
      <c r="M28" s="15" t="n">
        <v>5790</v>
      </c>
      <c r="N28" s="15" t="n">
        <f aca="false">D28*M28</f>
        <v>833760</v>
      </c>
      <c r="O28" s="15" t="n">
        <f aca="false">N28*Параметры!$B$5/1000</f>
        <v>48524.832</v>
      </c>
      <c r="P28" s="15" t="n">
        <f aca="false">O28*Параметры!$B$6</f>
        <v>63082.2816</v>
      </c>
      <c r="Q28" s="15" t="n">
        <f aca="false">P28/D28</f>
        <v>438.0714</v>
      </c>
      <c r="R28" s="16" t="n">
        <f aca="false">(J28-P28)/P28</f>
        <v>0.0432089380863484</v>
      </c>
      <c r="S28" s="17" t="s">
        <v>37</v>
      </c>
    </row>
    <row r="29" customFormat="false" ht="15" hidden="false" customHeight="true" outlineLevel="0" collapsed="false">
      <c r="A29" s="10" t="n">
        <v>28</v>
      </c>
      <c r="B29" s="10" t="s">
        <v>72</v>
      </c>
      <c r="C29" s="11" t="s">
        <v>76</v>
      </c>
      <c r="D29" s="12" t="n">
        <v>216</v>
      </c>
      <c r="E29" s="12" t="n">
        <v>457</v>
      </c>
      <c r="F29" s="13" t="n">
        <v>415.46</v>
      </c>
      <c r="G29" s="14" t="n">
        <f aca="false">(E29-F29)/F29</f>
        <v>0.0999855581764791</v>
      </c>
      <c r="H29" s="13" t="n">
        <f aca="false">E29-F29</f>
        <v>41.54</v>
      </c>
      <c r="I29" s="12" t="n">
        <f aca="false">D29*H29</f>
        <v>8972.64000000001</v>
      </c>
      <c r="J29" s="12" t="n">
        <f aca="false">D29*E29</f>
        <v>98712</v>
      </c>
      <c r="K29" s="12" t="n">
        <v>5790</v>
      </c>
      <c r="L29" s="10" t="s">
        <v>36</v>
      </c>
      <c r="M29" s="15" t="n">
        <v>5790</v>
      </c>
      <c r="N29" s="15" t="n">
        <f aca="false">D29*M29</f>
        <v>1250640</v>
      </c>
      <c r="O29" s="15" t="n">
        <f aca="false">N29*Параметры!$B$5/1000</f>
        <v>72787.248</v>
      </c>
      <c r="P29" s="15" t="n">
        <f aca="false">O29*Параметры!$B$6</f>
        <v>94623.4224</v>
      </c>
      <c r="Q29" s="15" t="n">
        <f aca="false">P29/D29</f>
        <v>438.0714</v>
      </c>
      <c r="R29" s="16" t="n">
        <f aca="false">(J29-P29)/P29</f>
        <v>0.0432089380863484</v>
      </c>
      <c r="S29" s="17" t="s">
        <v>37</v>
      </c>
    </row>
    <row r="30" customFormat="false" ht="15" hidden="false" customHeight="true" outlineLevel="0" collapsed="false">
      <c r="A30" s="10" t="n">
        <v>29</v>
      </c>
      <c r="B30" s="10" t="s">
        <v>72</v>
      </c>
      <c r="C30" s="11" t="s">
        <v>77</v>
      </c>
      <c r="D30" s="12" t="n">
        <v>143</v>
      </c>
      <c r="E30" s="12" t="n">
        <v>457</v>
      </c>
      <c r="F30" s="13" t="n">
        <v>415.46</v>
      </c>
      <c r="G30" s="14" t="n">
        <f aca="false">(E30-F30)/F30</f>
        <v>0.0999855581764791</v>
      </c>
      <c r="H30" s="13" t="n">
        <f aca="false">E30-F30</f>
        <v>41.54</v>
      </c>
      <c r="I30" s="12" t="n">
        <f aca="false">D30*H30</f>
        <v>5940.22</v>
      </c>
      <c r="J30" s="12" t="n">
        <f aca="false">D30*E30</f>
        <v>65351</v>
      </c>
      <c r="K30" s="12" t="n">
        <v>5790</v>
      </c>
      <c r="L30" s="10" t="s">
        <v>36</v>
      </c>
      <c r="M30" s="15" t="n">
        <v>5790</v>
      </c>
      <c r="N30" s="15" t="n">
        <f aca="false">D30*M30</f>
        <v>827970</v>
      </c>
      <c r="O30" s="15" t="n">
        <f aca="false">N30*Параметры!$B$5/1000</f>
        <v>48187.854</v>
      </c>
      <c r="P30" s="15" t="n">
        <f aca="false">O30*Параметры!$B$6</f>
        <v>62644.2102</v>
      </c>
      <c r="Q30" s="15" t="n">
        <f aca="false">P30/D30</f>
        <v>438.0714</v>
      </c>
      <c r="R30" s="16" t="n">
        <f aca="false">(J30-P30)/P30</f>
        <v>0.0432089380863485</v>
      </c>
      <c r="S30" s="17" t="s">
        <v>37</v>
      </c>
    </row>
    <row r="31" customFormat="false" ht="15" hidden="false" customHeight="true" outlineLevel="0" collapsed="false">
      <c r="A31" s="10" t="n">
        <v>30</v>
      </c>
      <c r="B31" s="10" t="s">
        <v>72</v>
      </c>
      <c r="C31" s="11" t="s">
        <v>78</v>
      </c>
      <c r="D31" s="12" t="n">
        <v>72</v>
      </c>
      <c r="E31" s="12" t="n">
        <v>424</v>
      </c>
      <c r="F31" s="13" t="n">
        <v>385.05</v>
      </c>
      <c r="G31" s="14" t="n">
        <f aca="false">(E31-F31)/F31</f>
        <v>0.101155694065706</v>
      </c>
      <c r="H31" s="13" t="n">
        <f aca="false">E31-F31</f>
        <v>38.95</v>
      </c>
      <c r="I31" s="12" t="n">
        <f aca="false">D31*H31</f>
        <v>2804.4</v>
      </c>
      <c r="J31" s="12" t="n">
        <f aca="false">D31*E31</f>
        <v>30528</v>
      </c>
      <c r="K31" s="12" t="n">
        <v>5370</v>
      </c>
      <c r="L31" s="10" t="s">
        <v>36</v>
      </c>
      <c r="M31" s="15" t="n">
        <v>5370</v>
      </c>
      <c r="N31" s="15" t="n">
        <f aca="false">D31*M31</f>
        <v>386640</v>
      </c>
      <c r="O31" s="15" t="n">
        <f aca="false">N31*Параметры!$B$5/1000</f>
        <v>22502.448</v>
      </c>
      <c r="P31" s="15" t="n">
        <f aca="false">O31*Параметры!$B$6</f>
        <v>29253.1824</v>
      </c>
      <c r="Q31" s="15" t="n">
        <f aca="false">P31/D31</f>
        <v>406.2942</v>
      </c>
      <c r="R31" s="16" t="n">
        <f aca="false">(J31-P31)/P31</f>
        <v>0.0435787663225318</v>
      </c>
      <c r="S31" s="17" t="s">
        <v>37</v>
      </c>
    </row>
    <row r="32" customFormat="false" ht="15" hidden="false" customHeight="true" outlineLevel="0" collapsed="false">
      <c r="A32" s="10" t="n">
        <v>31</v>
      </c>
      <c r="B32" s="10" t="s">
        <v>72</v>
      </c>
      <c r="C32" s="11" t="s">
        <v>79</v>
      </c>
      <c r="D32" s="12" t="n">
        <v>60</v>
      </c>
      <c r="E32" s="12" t="n">
        <v>535</v>
      </c>
      <c r="F32" s="13" t="n">
        <v>486.69</v>
      </c>
      <c r="G32" s="14" t="n">
        <f aca="false">(E32-F32)/F32</f>
        <v>0.0992623641332265</v>
      </c>
      <c r="H32" s="13" t="n">
        <f aca="false">E32-F32</f>
        <v>48.31</v>
      </c>
      <c r="I32" s="12" t="n">
        <f aca="false">D32*H32</f>
        <v>2898.6</v>
      </c>
      <c r="J32" s="12" t="n">
        <f aca="false">D32*E32</f>
        <v>32100</v>
      </c>
      <c r="K32" s="12" t="n">
        <v>6760</v>
      </c>
      <c r="L32" s="10" t="s">
        <v>36</v>
      </c>
      <c r="M32" s="15" t="n">
        <v>6760</v>
      </c>
      <c r="N32" s="15" t="n">
        <f aca="false">D32*M32</f>
        <v>405600</v>
      </c>
      <c r="O32" s="15" t="n">
        <f aca="false">N32*Параметры!$B$5/1000</f>
        <v>23605.92</v>
      </c>
      <c r="P32" s="15" t="n">
        <f aca="false">O32*Параметры!$B$6</f>
        <v>30687.696</v>
      </c>
      <c r="Q32" s="15" t="n">
        <f aca="false">P32/D32</f>
        <v>511.4616</v>
      </c>
      <c r="R32" s="16" t="n">
        <f aca="false">(J32-P32)/P32</f>
        <v>0.0460218323330627</v>
      </c>
      <c r="S32" s="17" t="s">
        <v>37</v>
      </c>
    </row>
    <row r="33" customFormat="false" ht="15" hidden="false" customHeight="true" outlineLevel="0" collapsed="false">
      <c r="A33" s="10" t="n">
        <v>32</v>
      </c>
      <c r="B33" s="10" t="s">
        <v>72</v>
      </c>
      <c r="C33" s="11" t="s">
        <v>80</v>
      </c>
      <c r="D33" s="12" t="n">
        <v>216</v>
      </c>
      <c r="E33" s="12" t="n">
        <v>426</v>
      </c>
      <c r="F33" s="13" t="n">
        <v>387.67</v>
      </c>
      <c r="G33" s="14" t="n">
        <f aca="false">(E33-F33)/F33</f>
        <v>0.0988727525988598</v>
      </c>
      <c r="H33" s="13" t="n">
        <f aca="false">E33-F33</f>
        <v>38.33</v>
      </c>
      <c r="I33" s="12" t="n">
        <f aca="false">D33*H33</f>
        <v>8279.28</v>
      </c>
      <c r="J33" s="12" t="n">
        <f aca="false">D33*E33</f>
        <v>92016</v>
      </c>
      <c r="K33" s="12" t="n">
        <v>5370</v>
      </c>
      <c r="L33" s="10" t="s">
        <v>36</v>
      </c>
      <c r="M33" s="15" t="n">
        <v>5370</v>
      </c>
      <c r="N33" s="15" t="n">
        <f aca="false">D33*M33</f>
        <v>1159920</v>
      </c>
      <c r="O33" s="15" t="n">
        <f aca="false">N33*Параметры!$B$5/1000</f>
        <v>67507.344</v>
      </c>
      <c r="P33" s="15" t="n">
        <f aca="false">O33*Параметры!$B$6</f>
        <v>87759.5472</v>
      </c>
      <c r="Q33" s="15" t="n">
        <f aca="false">P33/D33</f>
        <v>406.2942</v>
      </c>
      <c r="R33" s="16" t="n">
        <f aca="false">(J33-P33)/P33</f>
        <v>0.0485013076731098</v>
      </c>
      <c r="S33" s="17" t="s">
        <v>37</v>
      </c>
    </row>
    <row r="34" customFormat="false" ht="15" hidden="false" customHeight="true" outlineLevel="0" collapsed="false">
      <c r="A34" s="10" t="n">
        <v>33</v>
      </c>
      <c r="B34" s="10" t="s">
        <v>72</v>
      </c>
      <c r="C34" s="11" t="s">
        <v>81</v>
      </c>
      <c r="D34" s="12" t="n">
        <v>216</v>
      </c>
      <c r="E34" s="12" t="n">
        <v>457</v>
      </c>
      <c r="F34" s="13" t="n">
        <v>415.46</v>
      </c>
      <c r="G34" s="14" t="n">
        <f aca="false">(E34-F34)/F34</f>
        <v>0.0999855581764791</v>
      </c>
      <c r="H34" s="13" t="n">
        <f aca="false">E34-F34</f>
        <v>41.54</v>
      </c>
      <c r="I34" s="12" t="n">
        <f aca="false">D34*H34</f>
        <v>8972.64000000001</v>
      </c>
      <c r="J34" s="12" t="n">
        <f aca="false">D34*E34</f>
        <v>98712</v>
      </c>
      <c r="K34" s="12" t="n">
        <v>5790</v>
      </c>
      <c r="L34" s="10" t="s">
        <v>36</v>
      </c>
      <c r="M34" s="15" t="n">
        <v>5790</v>
      </c>
      <c r="N34" s="15" t="n">
        <f aca="false">D34*M34</f>
        <v>1250640</v>
      </c>
      <c r="O34" s="15" t="n">
        <f aca="false">N34*Параметры!$B$5/1000</f>
        <v>72787.248</v>
      </c>
      <c r="P34" s="15" t="n">
        <f aca="false">O34*Параметры!$B$6</f>
        <v>94623.4224</v>
      </c>
      <c r="Q34" s="15" t="n">
        <f aca="false">P34/D34</f>
        <v>438.0714</v>
      </c>
      <c r="R34" s="16" t="n">
        <f aca="false">(J34-P34)/P34</f>
        <v>0.0432089380863484</v>
      </c>
      <c r="S34" s="17" t="s">
        <v>37</v>
      </c>
    </row>
    <row r="35" customFormat="false" ht="15" hidden="false" customHeight="true" outlineLevel="0" collapsed="false">
      <c r="A35" s="10" t="n">
        <v>34</v>
      </c>
      <c r="B35" s="10" t="s">
        <v>72</v>
      </c>
      <c r="C35" s="11" t="s">
        <v>82</v>
      </c>
      <c r="D35" s="12" t="n">
        <v>216</v>
      </c>
      <c r="E35" s="12" t="n">
        <v>457</v>
      </c>
      <c r="F35" s="13" t="n">
        <v>415.46</v>
      </c>
      <c r="G35" s="14" t="n">
        <f aca="false">(E35-F35)/F35</f>
        <v>0.0999855581764791</v>
      </c>
      <c r="H35" s="13" t="n">
        <f aca="false">E35-F35</f>
        <v>41.54</v>
      </c>
      <c r="I35" s="12" t="n">
        <f aca="false">D35*H35</f>
        <v>8972.64000000001</v>
      </c>
      <c r="J35" s="12" t="n">
        <f aca="false">D35*E35</f>
        <v>98712</v>
      </c>
      <c r="K35" s="12" t="n">
        <v>5790</v>
      </c>
      <c r="L35" s="10" t="s">
        <v>36</v>
      </c>
      <c r="M35" s="15" t="n">
        <v>5790</v>
      </c>
      <c r="N35" s="15" t="n">
        <f aca="false">D35*M35</f>
        <v>1250640</v>
      </c>
      <c r="O35" s="15" t="n">
        <f aca="false">N35*Параметры!$B$5/1000</f>
        <v>72787.248</v>
      </c>
      <c r="P35" s="15" t="n">
        <f aca="false">O35*Параметры!$B$6</f>
        <v>94623.4224</v>
      </c>
      <c r="Q35" s="15" t="n">
        <f aca="false">P35/D35</f>
        <v>438.0714</v>
      </c>
      <c r="R35" s="16" t="n">
        <f aca="false">(J35-P35)/P35</f>
        <v>0.0432089380863484</v>
      </c>
      <c r="S35" s="17" t="s">
        <v>37</v>
      </c>
    </row>
    <row r="36" customFormat="false" ht="15" hidden="false" customHeight="true" outlineLevel="0" collapsed="false">
      <c r="A36" s="10" t="n">
        <v>35</v>
      </c>
      <c r="B36" s="10" t="s">
        <v>72</v>
      </c>
      <c r="C36" s="11" t="s">
        <v>83</v>
      </c>
      <c r="D36" s="12" t="n">
        <v>216</v>
      </c>
      <c r="E36" s="12" t="n">
        <v>457</v>
      </c>
      <c r="F36" s="13" t="n">
        <v>415.46</v>
      </c>
      <c r="G36" s="14" t="n">
        <f aca="false">(E36-F36)/F36</f>
        <v>0.0999855581764791</v>
      </c>
      <c r="H36" s="13" t="n">
        <f aca="false">E36-F36</f>
        <v>41.54</v>
      </c>
      <c r="I36" s="12" t="n">
        <f aca="false">D36*H36</f>
        <v>8972.64000000001</v>
      </c>
      <c r="J36" s="12" t="n">
        <f aca="false">D36*E36</f>
        <v>98712</v>
      </c>
      <c r="K36" s="12" t="n">
        <v>5790</v>
      </c>
      <c r="L36" s="10" t="s">
        <v>36</v>
      </c>
      <c r="M36" s="15" t="n">
        <v>5790</v>
      </c>
      <c r="N36" s="15" t="n">
        <f aca="false">D36*M36</f>
        <v>1250640</v>
      </c>
      <c r="O36" s="15" t="n">
        <f aca="false">N36*Параметры!$B$5/1000</f>
        <v>72787.248</v>
      </c>
      <c r="P36" s="15" t="n">
        <f aca="false">O36*Параметры!$B$6</f>
        <v>94623.4224</v>
      </c>
      <c r="Q36" s="15" t="n">
        <f aca="false">P36/D36</f>
        <v>438.0714</v>
      </c>
      <c r="R36" s="16" t="n">
        <f aca="false">(J36-P36)/P36</f>
        <v>0.0432089380863484</v>
      </c>
      <c r="S36" s="17" t="s">
        <v>37</v>
      </c>
    </row>
    <row r="37" customFormat="false" ht="15" hidden="false" customHeight="true" outlineLevel="0" collapsed="false">
      <c r="A37" s="10" t="n">
        <v>36</v>
      </c>
      <c r="B37" s="10" t="s">
        <v>72</v>
      </c>
      <c r="C37" s="11" t="s">
        <v>84</v>
      </c>
      <c r="D37" s="12" t="n">
        <v>60</v>
      </c>
      <c r="E37" s="12" t="n">
        <v>535</v>
      </c>
      <c r="F37" s="13" t="n">
        <v>486.41</v>
      </c>
      <c r="G37" s="14" t="n">
        <f aca="false">(E37-F37)/F37</f>
        <v>0.0998951501819452</v>
      </c>
      <c r="H37" s="13" t="n">
        <f aca="false">E37-F37</f>
        <v>48.59</v>
      </c>
      <c r="I37" s="12" t="n">
        <f aca="false">D37*H37</f>
        <v>2915.4</v>
      </c>
      <c r="J37" s="12" t="n">
        <f aca="false">D37*E37</f>
        <v>32100</v>
      </c>
      <c r="K37" s="12" t="n">
        <v>6760</v>
      </c>
      <c r="L37" s="10" t="s">
        <v>36</v>
      </c>
      <c r="M37" s="15" t="n">
        <v>6760</v>
      </c>
      <c r="N37" s="15" t="n">
        <f aca="false">D37*M37</f>
        <v>405600</v>
      </c>
      <c r="O37" s="15" t="n">
        <f aca="false">N37*Параметры!$B$5/1000</f>
        <v>23605.92</v>
      </c>
      <c r="P37" s="15" t="n">
        <f aca="false">O37*Параметры!$B$6</f>
        <v>30687.696</v>
      </c>
      <c r="Q37" s="15" t="n">
        <f aca="false">P37/D37</f>
        <v>511.4616</v>
      </c>
      <c r="R37" s="16" t="n">
        <f aca="false">(J37-P37)/P37</f>
        <v>0.0460218323330627</v>
      </c>
      <c r="S37" s="17" t="s">
        <v>37</v>
      </c>
    </row>
    <row r="38" customFormat="false" ht="15" hidden="false" customHeight="true" outlineLevel="0" collapsed="false">
      <c r="A38" s="10" t="n">
        <v>37</v>
      </c>
      <c r="B38" s="10" t="s">
        <v>72</v>
      </c>
      <c r="C38" s="11" t="s">
        <v>85</v>
      </c>
      <c r="D38" s="12" t="n">
        <v>60</v>
      </c>
      <c r="E38" s="12" t="n">
        <v>558</v>
      </c>
      <c r="F38" s="13" t="n">
        <v>507.16</v>
      </c>
      <c r="G38" s="14" t="n">
        <f aca="false">(E38-F38)/F38</f>
        <v>0.100244498777506</v>
      </c>
      <c r="H38" s="13" t="n">
        <f aca="false">E38-F38</f>
        <v>50.84</v>
      </c>
      <c r="I38" s="12" t="n">
        <f aca="false">D38*H38</f>
        <v>3050.4</v>
      </c>
      <c r="J38" s="12" t="n">
        <f aca="false">D38*E38</f>
        <v>33480</v>
      </c>
      <c r="K38" s="12" t="n">
        <v>6460</v>
      </c>
      <c r="L38" s="10" t="s">
        <v>36</v>
      </c>
      <c r="M38" s="15" t="n">
        <v>6460</v>
      </c>
      <c r="N38" s="15" t="n">
        <f aca="false">D38*M38</f>
        <v>387600</v>
      </c>
      <c r="O38" s="15" t="n">
        <f aca="false">N38*Параметры!$B$5/1000</f>
        <v>22558.32</v>
      </c>
      <c r="P38" s="15" t="n">
        <f aca="false">O38*Параметры!$B$6</f>
        <v>29325.816</v>
      </c>
      <c r="Q38" s="15" t="n">
        <f aca="false">P38/D38</f>
        <v>488.7636</v>
      </c>
      <c r="R38" s="16" t="n">
        <f aca="false">(J38-P38)/P38</f>
        <v>0.14165621171462</v>
      </c>
      <c r="S38" s="17" t="s">
        <v>37</v>
      </c>
    </row>
    <row r="39" customFormat="false" ht="15" hidden="false" customHeight="true" outlineLevel="0" collapsed="false">
      <c r="A39" s="10" t="n">
        <v>38</v>
      </c>
      <c r="B39" s="10" t="s">
        <v>72</v>
      </c>
      <c r="C39" s="11" t="s">
        <v>86</v>
      </c>
      <c r="D39" s="12" t="n">
        <v>60</v>
      </c>
      <c r="E39" s="12" t="n">
        <v>547</v>
      </c>
      <c r="F39" s="13" t="n">
        <v>496.86</v>
      </c>
      <c r="G39" s="14" t="n">
        <f aca="false">(E39-F39)/F39</f>
        <v>0.100913738276376</v>
      </c>
      <c r="H39" s="13" t="n">
        <f aca="false">E39-F39</f>
        <v>50.14</v>
      </c>
      <c r="I39" s="12" t="n">
        <f aca="false">D39*H39</f>
        <v>3008.4</v>
      </c>
      <c r="J39" s="12" t="n">
        <f aca="false">D39*E39</f>
        <v>32820</v>
      </c>
      <c r="K39" s="12" t="n">
        <v>6760</v>
      </c>
      <c r="L39" s="10" t="s">
        <v>36</v>
      </c>
      <c r="M39" s="15" t="n">
        <v>6760</v>
      </c>
      <c r="N39" s="15" t="n">
        <f aca="false">D39*M39</f>
        <v>405600</v>
      </c>
      <c r="O39" s="15" t="n">
        <f aca="false">N39*Параметры!$B$5/1000</f>
        <v>23605.92</v>
      </c>
      <c r="P39" s="15" t="n">
        <f aca="false">O39*Параметры!$B$6</f>
        <v>30687.696</v>
      </c>
      <c r="Q39" s="15" t="n">
        <f aca="false">P39/D39</f>
        <v>511.4616</v>
      </c>
      <c r="R39" s="16" t="n">
        <f aca="false">(J39-P39)/P39</f>
        <v>0.0694840042732436</v>
      </c>
      <c r="S39" s="17" t="s">
        <v>37</v>
      </c>
    </row>
    <row r="40" customFormat="false" ht="15" hidden="false" customHeight="true" outlineLevel="0" collapsed="false">
      <c r="A40" s="10" t="n">
        <v>39</v>
      </c>
      <c r="B40" s="10" t="s">
        <v>72</v>
      </c>
      <c r="C40" s="11" t="s">
        <v>87</v>
      </c>
      <c r="D40" s="12" t="n">
        <v>60</v>
      </c>
      <c r="E40" s="12" t="n">
        <v>548</v>
      </c>
      <c r="F40" s="13" t="n">
        <v>498.54</v>
      </c>
      <c r="G40" s="14" t="n">
        <f aca="false">(E40-F40)/F40</f>
        <v>0.0992096923015204</v>
      </c>
      <c r="H40" s="13" t="n">
        <f aca="false">E40-F40</f>
        <v>49.46</v>
      </c>
      <c r="I40" s="12" t="n">
        <f aca="false">D40*H40</f>
        <v>2967.6</v>
      </c>
      <c r="J40" s="12" t="n">
        <f aca="false">D40*E40</f>
        <v>32880</v>
      </c>
      <c r="K40" s="12" t="n">
        <v>6760</v>
      </c>
      <c r="L40" s="10" t="s">
        <v>36</v>
      </c>
      <c r="M40" s="15" t="n">
        <v>6760</v>
      </c>
      <c r="N40" s="15" t="n">
        <f aca="false">D40*M40</f>
        <v>405600</v>
      </c>
      <c r="O40" s="15" t="n">
        <f aca="false">N40*Параметры!$B$5/1000</f>
        <v>23605.92</v>
      </c>
      <c r="P40" s="15" t="n">
        <f aca="false">O40*Параметры!$B$6</f>
        <v>30687.696</v>
      </c>
      <c r="Q40" s="15" t="n">
        <f aca="false">P40/D40</f>
        <v>511.4616</v>
      </c>
      <c r="R40" s="16" t="n">
        <f aca="false">(J40-P40)/P40</f>
        <v>0.0714391852682587</v>
      </c>
      <c r="S40" s="17" t="s">
        <v>37</v>
      </c>
    </row>
    <row r="41" customFormat="false" ht="15" hidden="false" customHeight="true" outlineLevel="0" collapsed="false">
      <c r="A41" s="10" t="n">
        <v>40</v>
      </c>
      <c r="B41" s="10" t="s">
        <v>72</v>
      </c>
      <c r="C41" s="11" t="s">
        <v>88</v>
      </c>
      <c r="D41" s="12" t="n">
        <v>60</v>
      </c>
      <c r="E41" s="12" t="n">
        <v>526</v>
      </c>
      <c r="F41" s="13" t="n">
        <v>478.17</v>
      </c>
      <c r="G41" s="14" t="n">
        <f aca="false">(E41-F41)/F41</f>
        <v>0.100027186983709</v>
      </c>
      <c r="H41" s="13" t="n">
        <f aca="false">E41-F41</f>
        <v>47.83</v>
      </c>
      <c r="I41" s="12" t="n">
        <f aca="false">D41*H41</f>
        <v>2869.8</v>
      </c>
      <c r="J41" s="12" t="n">
        <f aca="false">D41*E41</f>
        <v>31560</v>
      </c>
      <c r="K41" s="12" t="n">
        <v>6460</v>
      </c>
      <c r="L41" s="10" t="s">
        <v>36</v>
      </c>
      <c r="M41" s="15" t="n">
        <v>6460</v>
      </c>
      <c r="N41" s="15" t="n">
        <f aca="false">D41*M41</f>
        <v>387600</v>
      </c>
      <c r="O41" s="15" t="n">
        <f aca="false">N41*Параметры!$B$5/1000</f>
        <v>22558.32</v>
      </c>
      <c r="P41" s="15" t="n">
        <f aca="false">O41*Параметры!$B$6</f>
        <v>29325.816</v>
      </c>
      <c r="Q41" s="15" t="n">
        <f aca="false">P41/D41</f>
        <v>488.7636</v>
      </c>
      <c r="R41" s="16" t="n">
        <f aca="false">(J41-P41)/P41</f>
        <v>0.0761848877453231</v>
      </c>
      <c r="S41" s="17" t="s">
        <v>37</v>
      </c>
    </row>
    <row r="42" customFormat="false" ht="15" hidden="false" customHeight="true" outlineLevel="0" collapsed="false">
      <c r="A42" s="10" t="n">
        <v>41</v>
      </c>
      <c r="B42" s="10" t="s">
        <v>72</v>
      </c>
      <c r="C42" s="11" t="s">
        <v>89</v>
      </c>
      <c r="D42" s="12" t="n">
        <v>60</v>
      </c>
      <c r="E42" s="12" t="n">
        <v>526</v>
      </c>
      <c r="F42" s="13" t="n">
        <v>478.05</v>
      </c>
      <c r="G42" s="14" t="n">
        <f aca="false">(E42-F42)/F42</f>
        <v>0.100303315552766</v>
      </c>
      <c r="H42" s="13" t="n">
        <f aca="false">E42-F42</f>
        <v>47.95</v>
      </c>
      <c r="I42" s="12" t="n">
        <f aca="false">D42*H42</f>
        <v>2877</v>
      </c>
      <c r="J42" s="12" t="n">
        <f aca="false">D42*E42</f>
        <v>31560</v>
      </c>
      <c r="K42" s="12" t="n">
        <v>6460</v>
      </c>
      <c r="L42" s="10" t="s">
        <v>36</v>
      </c>
      <c r="M42" s="15" t="n">
        <v>6460</v>
      </c>
      <c r="N42" s="15" t="n">
        <f aca="false">D42*M42</f>
        <v>387600</v>
      </c>
      <c r="O42" s="15" t="n">
        <f aca="false">N42*Параметры!$B$5/1000</f>
        <v>22558.32</v>
      </c>
      <c r="P42" s="15" t="n">
        <f aca="false">O42*Параметры!$B$6</f>
        <v>29325.816</v>
      </c>
      <c r="Q42" s="15" t="n">
        <f aca="false">P42/D42</f>
        <v>488.7636</v>
      </c>
      <c r="R42" s="16" t="n">
        <f aca="false">(J42-P42)/P42</f>
        <v>0.0761848877453231</v>
      </c>
      <c r="S42" s="17" t="s">
        <v>37</v>
      </c>
    </row>
    <row r="43" customFormat="false" ht="15" hidden="false" customHeight="true" outlineLevel="0" collapsed="false">
      <c r="A43" s="10" t="n">
        <v>42</v>
      </c>
      <c r="B43" s="10" t="s">
        <v>90</v>
      </c>
      <c r="C43" s="11" t="s">
        <v>91</v>
      </c>
      <c r="D43" s="12" t="n">
        <v>240</v>
      </c>
      <c r="E43" s="12" t="n">
        <v>730</v>
      </c>
      <c r="F43" s="13" t="n">
        <v>663.86</v>
      </c>
      <c r="G43" s="14" t="n">
        <f aca="false">(E43-F43)/F43</f>
        <v>0.0996294399421565</v>
      </c>
      <c r="H43" s="13" t="n">
        <f aca="false">E43-F43</f>
        <v>66.14</v>
      </c>
      <c r="I43" s="12" t="n">
        <f aca="false">D43*H43</f>
        <v>15873.6</v>
      </c>
      <c r="J43" s="12" t="n">
        <f aca="false">D43*E43</f>
        <v>175200</v>
      </c>
      <c r="K43" s="12" t="n">
        <v>10060</v>
      </c>
      <c r="L43" s="10" t="s">
        <v>36</v>
      </c>
      <c r="M43" s="15" t="n">
        <v>10060</v>
      </c>
      <c r="N43" s="15" t="n">
        <f aca="false">D43*M43</f>
        <v>2414400</v>
      </c>
      <c r="O43" s="15" t="n">
        <f aca="false">N43*Параметры!$B$5/1000</f>
        <v>140518.08</v>
      </c>
      <c r="P43" s="15" t="n">
        <f aca="false">O43*Параметры!$B$6</f>
        <v>182673.504</v>
      </c>
      <c r="Q43" s="15" t="n">
        <f aca="false">P43/D43</f>
        <v>761.1396</v>
      </c>
      <c r="R43" s="16" t="n">
        <f aca="false">(J43-P43)/P43</f>
        <v>-0.0409118117097047</v>
      </c>
      <c r="S43" s="17" t="s">
        <v>37</v>
      </c>
    </row>
    <row r="44" customFormat="false" ht="15" hidden="false" customHeight="true" outlineLevel="0" collapsed="false">
      <c r="A44" s="10" t="n">
        <v>43</v>
      </c>
      <c r="B44" s="10" t="s">
        <v>92</v>
      </c>
      <c r="C44" s="11" t="s">
        <v>93</v>
      </c>
      <c r="D44" s="12" t="n">
        <v>60</v>
      </c>
      <c r="E44" s="12" t="n">
        <v>1470</v>
      </c>
      <c r="F44" s="13" t="n">
        <v>1335.95</v>
      </c>
      <c r="G44" s="14" t="n">
        <f aca="false">(E44-F44)/F44</f>
        <v>0.100340581608593</v>
      </c>
      <c r="H44" s="13" t="n">
        <f aca="false">E44-F44</f>
        <v>134.05</v>
      </c>
      <c r="I44" s="12" t="n">
        <f aca="false">D44*H44</f>
        <v>8043</v>
      </c>
      <c r="J44" s="12" t="n">
        <f aca="false">D44*E44</f>
        <v>88200</v>
      </c>
      <c r="K44" s="12" t="n">
        <v>21150</v>
      </c>
      <c r="L44" s="10" t="s">
        <v>36</v>
      </c>
      <c r="M44" s="15" t="n">
        <v>21150</v>
      </c>
      <c r="N44" s="15" t="n">
        <f aca="false">D44*M44</f>
        <v>1269000</v>
      </c>
      <c r="O44" s="15" t="n">
        <f aca="false">N44*Параметры!$B$5/1000</f>
        <v>73855.8</v>
      </c>
      <c r="P44" s="15" t="n">
        <f aca="false">O44*Параметры!$B$6</f>
        <v>96012.54</v>
      </c>
      <c r="Q44" s="15" t="n">
        <f aca="false">P44/D44</f>
        <v>1600.209</v>
      </c>
      <c r="R44" s="16" t="n">
        <f aca="false">(J44-P44)/P44</f>
        <v>-0.0813699960442668</v>
      </c>
      <c r="S44" s="17" t="s">
        <v>37</v>
      </c>
    </row>
    <row r="45" customFormat="false" ht="23.25" hidden="false" customHeight="true" outlineLevel="0" collapsed="false">
      <c r="A45" s="10" t="n">
        <v>44</v>
      </c>
      <c r="B45" s="10" t="s">
        <v>46</v>
      </c>
      <c r="C45" s="11" t="s">
        <v>94</v>
      </c>
      <c r="D45" s="12" t="n">
        <v>200</v>
      </c>
      <c r="E45" s="12" t="n">
        <v>383</v>
      </c>
      <c r="F45" s="13" t="n">
        <v>347.76</v>
      </c>
      <c r="G45" s="14" t="n">
        <f aca="false">(E45-F45)/F45</f>
        <v>0.101334253508167</v>
      </c>
      <c r="H45" s="13" t="n">
        <f aca="false">E45-F45</f>
        <v>35.24</v>
      </c>
      <c r="I45" s="12" t="n">
        <f aca="false">D45*H45</f>
        <v>7048</v>
      </c>
      <c r="J45" s="12" t="n">
        <f aca="false">D45*E45</f>
        <v>76600</v>
      </c>
      <c r="K45" s="12" t="n">
        <v>4660</v>
      </c>
      <c r="L45" s="10" t="s">
        <v>36</v>
      </c>
      <c r="M45" s="15" t="n">
        <v>4660</v>
      </c>
      <c r="N45" s="15" t="n">
        <f aca="false">D45*M45</f>
        <v>932000</v>
      </c>
      <c r="O45" s="15" t="n">
        <f aca="false">N45*Параметры!$B$5/1000</f>
        <v>54242.4</v>
      </c>
      <c r="P45" s="15" t="n">
        <f aca="false">O45*Параметры!$B$6</f>
        <v>70515.12</v>
      </c>
      <c r="Q45" s="15" t="n">
        <f aca="false">P45/D45</f>
        <v>352.5756</v>
      </c>
      <c r="R45" s="16" t="n">
        <f aca="false">(J45-P45)/P45</f>
        <v>0.086291847762579</v>
      </c>
      <c r="S45" s="17" t="s">
        <v>37</v>
      </c>
    </row>
    <row r="46" customFormat="false" ht="15" hidden="false" customHeight="true" outlineLevel="0" collapsed="false">
      <c r="A46" s="10" t="n">
        <v>45</v>
      </c>
      <c r="B46" s="10" t="s">
        <v>46</v>
      </c>
      <c r="C46" s="11" t="s">
        <v>95</v>
      </c>
      <c r="D46" s="12" t="n">
        <v>100</v>
      </c>
      <c r="E46" s="12" t="n">
        <v>255</v>
      </c>
      <c r="F46" s="13" t="n">
        <v>231.73</v>
      </c>
      <c r="G46" s="14" t="n">
        <f aca="false">(E46-F46)/F46</f>
        <v>0.100418590601131</v>
      </c>
      <c r="H46" s="13" t="n">
        <f aca="false">E46-F46</f>
        <v>23.27</v>
      </c>
      <c r="I46" s="12" t="n">
        <f aca="false">D46*H46</f>
        <v>2327</v>
      </c>
      <c r="J46" s="12" t="n">
        <f aca="false">D46*E46</f>
        <v>25500</v>
      </c>
      <c r="K46" s="12" t="n">
        <v>2576</v>
      </c>
      <c r="L46" s="10" t="s">
        <v>36</v>
      </c>
      <c r="M46" s="15" t="n">
        <v>2576</v>
      </c>
      <c r="N46" s="15" t="n">
        <f aca="false">D46*M46</f>
        <v>257600</v>
      </c>
      <c r="O46" s="15" t="n">
        <f aca="false">N46*Параметры!$B$5/1000</f>
        <v>14992.32</v>
      </c>
      <c r="P46" s="15" t="n">
        <f aca="false">O46*Параметры!$B$6</f>
        <v>19490.016</v>
      </c>
      <c r="Q46" s="15" t="n">
        <f aca="false">P46/D46</f>
        <v>194.90016</v>
      </c>
      <c r="R46" s="16" t="n">
        <f aca="false">(J46-P46)/P46</f>
        <v>0.308362189133144</v>
      </c>
      <c r="S46" s="17" t="s">
        <v>37</v>
      </c>
    </row>
    <row r="47" customFormat="false" ht="15" hidden="false" customHeight="true" outlineLevel="0" collapsed="false">
      <c r="A47" s="10" t="n">
        <v>46</v>
      </c>
      <c r="B47" s="10" t="s">
        <v>96</v>
      </c>
      <c r="C47" s="11" t="s">
        <v>97</v>
      </c>
      <c r="D47" s="12" t="n">
        <v>240</v>
      </c>
      <c r="E47" s="12" t="n">
        <v>204</v>
      </c>
      <c r="F47" s="13" t="n">
        <v>185.86</v>
      </c>
      <c r="G47" s="14" t="n">
        <f aca="false">(E47-F47)/F47</f>
        <v>0.097600344345206</v>
      </c>
      <c r="H47" s="13" t="n">
        <f aca="false">E47-F47</f>
        <v>18.14</v>
      </c>
      <c r="I47" s="12" t="n">
        <f aca="false">D47*H47</f>
        <v>4353.6</v>
      </c>
      <c r="J47" s="12" t="n">
        <f aca="false">D47*E47</f>
        <v>48960</v>
      </c>
      <c r="K47" s="12" t="n">
        <v>1950</v>
      </c>
      <c r="L47" s="10" t="s">
        <v>36</v>
      </c>
      <c r="M47" s="15" t="n">
        <v>1950</v>
      </c>
      <c r="N47" s="15" t="n">
        <f aca="false">D47*M47</f>
        <v>468000</v>
      </c>
      <c r="O47" s="15" t="n">
        <f aca="false">N47*Параметры!$B$5/1000</f>
        <v>27237.6</v>
      </c>
      <c r="P47" s="15" t="n">
        <f aca="false">O47*Параметры!$B$6</f>
        <v>35408.88</v>
      </c>
      <c r="Q47" s="15" t="n">
        <f aca="false">P47/D47</f>
        <v>147.537</v>
      </c>
      <c r="R47" s="16" t="n">
        <f aca="false">(J47-P47)/P47</f>
        <v>0.382703999674658</v>
      </c>
      <c r="S47" s="17" t="s">
        <v>37</v>
      </c>
    </row>
    <row r="48" customFormat="false" ht="15" hidden="false" customHeight="true" outlineLevel="0" collapsed="false">
      <c r="A48" s="10" t="n">
        <v>47</v>
      </c>
      <c r="B48" s="10" t="s">
        <v>66</v>
      </c>
      <c r="C48" s="11" t="s">
        <v>98</v>
      </c>
      <c r="D48" s="12" t="n">
        <v>80</v>
      </c>
      <c r="E48" s="12" t="n">
        <v>938</v>
      </c>
      <c r="F48" s="13" t="n">
        <v>853</v>
      </c>
      <c r="G48" s="14" t="n">
        <f aca="false">(E48-F48)/F48</f>
        <v>0.0996483001172333</v>
      </c>
      <c r="H48" s="13" t="n">
        <f aca="false">E48-F48</f>
        <v>85</v>
      </c>
      <c r="I48" s="12" t="n">
        <f aca="false">D48*H48</f>
        <v>6800</v>
      </c>
      <c r="J48" s="12" t="n">
        <f aca="false">D48*E48</f>
        <v>75040</v>
      </c>
      <c r="K48" s="12" t="n">
        <v>11920</v>
      </c>
      <c r="L48" s="10" t="s">
        <v>36</v>
      </c>
      <c r="M48" s="15" t="n">
        <v>11920</v>
      </c>
      <c r="N48" s="15" t="n">
        <f aca="false">D48*M48</f>
        <v>953600</v>
      </c>
      <c r="O48" s="15" t="n">
        <f aca="false">N48*Параметры!$B$5/1000</f>
        <v>55499.52</v>
      </c>
      <c r="P48" s="15" t="n">
        <f aca="false">O48*Параметры!$B$6</f>
        <v>72149.376</v>
      </c>
      <c r="Q48" s="15" t="n">
        <f aca="false">P48/D48</f>
        <v>901.8672</v>
      </c>
      <c r="R48" s="16" t="n">
        <f aca="false">(J48-P48)/P48</f>
        <v>0.0400644352073121</v>
      </c>
      <c r="S48" s="17" t="s">
        <v>37</v>
      </c>
    </row>
    <row r="49" customFormat="false" ht="15" hidden="false" customHeight="true" outlineLevel="0" collapsed="false">
      <c r="A49" s="26"/>
      <c r="B49" s="26"/>
      <c r="C49" s="26" t="s">
        <v>99</v>
      </c>
      <c r="D49" s="27" t="n">
        <f aca="false">SUM(D2:D48)</f>
        <v>6047</v>
      </c>
      <c r="E49" s="26"/>
      <c r="F49" s="26"/>
      <c r="G49" s="28" t="n">
        <f aca="false">I49/(J49-I49)</f>
        <v>0.0996912653220194</v>
      </c>
      <c r="H49" s="26"/>
      <c r="I49" s="27" t="n">
        <f aca="false">SUM(I2:I48)</f>
        <v>246502.64</v>
      </c>
      <c r="J49" s="27" t="n">
        <f aca="false">SUM(J2:J48)</f>
        <v>2719163</v>
      </c>
      <c r="K49" s="26"/>
      <c r="L49" s="26"/>
      <c r="M49" s="26"/>
      <c r="N49" s="27" t="n">
        <f aca="false">SUM(N2:N48)</f>
        <v>33413270</v>
      </c>
      <c r="O49" s="27" t="n">
        <f aca="false">SUM(O2:O48)</f>
        <v>1944652.314</v>
      </c>
      <c r="P49" s="27" t="n">
        <f aca="false">SUM(P2:P48)</f>
        <v>2528048.0082</v>
      </c>
      <c r="Q49" s="27" t="n">
        <f aca="false">P49/D49</f>
        <v>418.066480601951</v>
      </c>
      <c r="R49" s="29" t="n">
        <f aca="false">(J49-P49)/P49</f>
        <v>0.0755978490836003</v>
      </c>
      <c r="S49" s="26"/>
    </row>
  </sheetData>
  <autoFilter ref="A1:S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9"/>
    <col collapsed="false" customWidth="true" hidden="false" outlineLevel="0" max="3" min="3" style="1" width="11"/>
    <col collapsed="false" customWidth="true" hidden="false" outlineLevel="0" max="4" min="4" style="1" width="13"/>
    <col collapsed="false" customWidth="true" hidden="false" outlineLevel="0" max="6" min="5" style="1" width="15"/>
    <col collapsed="false" customWidth="true" hidden="false" outlineLevel="0" max="7" min="7" style="1" width="12"/>
    <col collapsed="false" customWidth="true" hidden="false" outlineLevel="0" max="9" min="8" style="1" width="11"/>
    <col collapsed="false" customWidth="true" hidden="false" outlineLevel="0" max="10" min="10" style="1" width="12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7"/>
    <col collapsed="false" customWidth="true" hidden="false" outlineLevel="0" max="14" min="14" style="1" width="15"/>
    <col collapsed="false" customWidth="true" hidden="false" outlineLevel="0" max="15" min="15" style="1" width="13"/>
    <col collapsed="false" customWidth="true" hidden="false" outlineLevel="0" max="16" min="16" style="1" width="11"/>
  </cols>
  <sheetData>
    <row r="1" customFormat="false" ht="48" hidden="false" customHeight="true" outlineLevel="0" collapsed="false">
      <c r="A1" s="8" t="s">
        <v>19</v>
      </c>
      <c r="B1" s="8" t="s">
        <v>100</v>
      </c>
      <c r="C1" s="8" t="s">
        <v>101</v>
      </c>
      <c r="D1" s="8" t="s">
        <v>26</v>
      </c>
      <c r="E1" s="8" t="s">
        <v>102</v>
      </c>
      <c r="F1" s="8" t="s">
        <v>103</v>
      </c>
      <c r="G1" s="8" t="s">
        <v>104</v>
      </c>
      <c r="H1" s="8" t="s">
        <v>105</v>
      </c>
      <c r="I1" s="8" t="s">
        <v>106</v>
      </c>
      <c r="J1" s="8" t="s">
        <v>107</v>
      </c>
      <c r="K1" s="8" t="s">
        <v>108</v>
      </c>
      <c r="L1" s="9" t="s">
        <v>12</v>
      </c>
      <c r="M1" s="9" t="s">
        <v>109</v>
      </c>
      <c r="N1" s="9" t="s">
        <v>110</v>
      </c>
      <c r="O1" s="9" t="s">
        <v>111</v>
      </c>
      <c r="P1" s="9" t="s">
        <v>112</v>
      </c>
    </row>
    <row r="2" customFormat="false" ht="15" hidden="false" customHeight="true" outlineLevel="0" collapsed="false">
      <c r="A2" s="17" t="s">
        <v>72</v>
      </c>
      <c r="B2" s="17" t="n">
        <v>17</v>
      </c>
      <c r="C2" s="15" t="n">
        <v>2135</v>
      </c>
      <c r="D2" s="15" t="n">
        <v>998555</v>
      </c>
      <c r="E2" s="15" t="n">
        <v>907939.78</v>
      </c>
      <c r="F2" s="15" t="n">
        <f aca="false">D2-E2</f>
        <v>90615.22</v>
      </c>
      <c r="G2" s="30" t="n">
        <f aca="false">F2/E2</f>
        <v>0.0998031168983476</v>
      </c>
      <c r="H2" s="31" t="n">
        <f aca="false">D2/$D$12</f>
        <v>0.367228812689787</v>
      </c>
      <c r="I2" s="31" t="n">
        <f aca="false">F2/$F$12</f>
        <v>0.367603446356599</v>
      </c>
      <c r="J2" s="31" t="n">
        <f aca="false">C2/$C$12</f>
        <v>0.353067636844716</v>
      </c>
      <c r="K2" s="15" t="n">
        <f aca="false">D2/C2</f>
        <v>467.707259953162</v>
      </c>
      <c r="L2" s="15" t="n">
        <v>12561570</v>
      </c>
      <c r="M2" s="15" t="n">
        <f aca="false">L2*Параметры!$B$5/1000*Параметры!$B$6</f>
        <v>950408.3862</v>
      </c>
      <c r="N2" s="32" t="n">
        <f aca="false">D2-M2</f>
        <v>48146.6138000001</v>
      </c>
      <c r="O2" s="16" t="n">
        <f aca="false">N2/M2</f>
        <v>0.0506588688600526</v>
      </c>
      <c r="P2" s="30" t="n">
        <f aca="false">M2/$M$12</f>
        <v>0.375945544988563</v>
      </c>
    </row>
    <row r="3" customFormat="false" ht="15" hidden="false" customHeight="true" outlineLevel="0" collapsed="false">
      <c r="A3" s="17" t="s">
        <v>66</v>
      </c>
      <c r="B3" s="17" t="n">
        <v>6</v>
      </c>
      <c r="C3" s="15" t="n">
        <v>620</v>
      </c>
      <c r="D3" s="15" t="n">
        <v>558660</v>
      </c>
      <c r="E3" s="15" t="n">
        <v>507875.9</v>
      </c>
      <c r="F3" s="15" t="n">
        <f aca="false">D3-E3</f>
        <v>50784.1</v>
      </c>
      <c r="G3" s="30" t="n">
        <f aca="false">F3/E3</f>
        <v>0.099993128242549</v>
      </c>
      <c r="H3" s="31" t="n">
        <f aca="false">D3/$D$12</f>
        <v>0.205452927978205</v>
      </c>
      <c r="I3" s="31" t="n">
        <f aca="false">F3/$F$12</f>
        <v>0.206018483209754</v>
      </c>
      <c r="J3" s="31" t="n">
        <f aca="false">C3/$C$12</f>
        <v>0.102530180254672</v>
      </c>
      <c r="K3" s="15" t="n">
        <f aca="false">D3/C3</f>
        <v>901.064516129032</v>
      </c>
      <c r="L3" s="15" t="n">
        <v>7433600</v>
      </c>
      <c r="M3" s="15" t="n">
        <f aca="false">L3*Параметры!$B$5/1000*Параметры!$B$6</f>
        <v>562426.176</v>
      </c>
      <c r="N3" s="32" t="n">
        <f aca="false">D3-M3</f>
        <v>-3766.17600000009</v>
      </c>
      <c r="O3" s="16" t="n">
        <f aca="false">N3/M3</f>
        <v>-0.00669630284064178</v>
      </c>
      <c r="P3" s="30" t="n">
        <f aca="false">M3/$M$12</f>
        <v>0.222474483940063</v>
      </c>
    </row>
    <row r="4" customFormat="false" ht="15" hidden="false" customHeight="true" outlineLevel="0" collapsed="false">
      <c r="A4" s="17" t="s">
        <v>34</v>
      </c>
      <c r="B4" s="17" t="n">
        <v>6</v>
      </c>
      <c r="C4" s="15" t="n">
        <v>1400</v>
      </c>
      <c r="D4" s="15" t="n">
        <v>336000</v>
      </c>
      <c r="E4" s="15" t="n">
        <v>305800</v>
      </c>
      <c r="F4" s="15" t="n">
        <f aca="false">D4-E4</f>
        <v>30200</v>
      </c>
      <c r="G4" s="30" t="n">
        <f aca="false">F4/E4</f>
        <v>0.0987573577501635</v>
      </c>
      <c r="H4" s="31" t="n">
        <f aca="false">D4/$D$12</f>
        <v>0.123567436008801</v>
      </c>
      <c r="I4" s="31" t="n">
        <f aca="false">F4/$F$12</f>
        <v>0.122513900865321</v>
      </c>
      <c r="J4" s="31" t="n">
        <f aca="false">C4/$C$12</f>
        <v>0.231519761865388</v>
      </c>
      <c r="K4" s="15" t="n">
        <f aca="false">D4/C4</f>
        <v>240</v>
      </c>
      <c r="L4" s="15" t="n">
        <v>3759200</v>
      </c>
      <c r="M4" s="15" t="n">
        <f aca="false">L4*Параметры!$B$5/1000*Параметры!$B$6</f>
        <v>284421.072</v>
      </c>
      <c r="N4" s="32" t="n">
        <f aca="false">D4-M4</f>
        <v>51578.928</v>
      </c>
      <c r="O4" s="16" t="n">
        <f aca="false">N4/M4</f>
        <v>0.181347069812043</v>
      </c>
      <c r="P4" s="30" t="n">
        <f aca="false">M4/$M$12</f>
        <v>0.112506198884455</v>
      </c>
    </row>
    <row r="5" customFormat="false" ht="15" hidden="false" customHeight="true" outlineLevel="0" collapsed="false">
      <c r="A5" s="17" t="s">
        <v>43</v>
      </c>
      <c r="B5" s="17" t="n">
        <v>2</v>
      </c>
      <c r="C5" s="15" t="n">
        <v>552</v>
      </c>
      <c r="D5" s="15" t="n">
        <v>225288</v>
      </c>
      <c r="E5" s="15" t="n">
        <v>204848.88</v>
      </c>
      <c r="F5" s="15" t="n">
        <f aca="false">D5-E5</f>
        <v>20439.12</v>
      </c>
      <c r="G5" s="30" t="n">
        <f aca="false">F5/E5</f>
        <v>0.099776576762343</v>
      </c>
      <c r="H5" s="31" t="n">
        <f aca="false">D5/$D$12</f>
        <v>0.0828519658439012</v>
      </c>
      <c r="I5" s="31" t="n">
        <f aca="false">F5/$F$12</f>
        <v>0.0829164344852453</v>
      </c>
      <c r="J5" s="31" t="n">
        <f aca="false">C5/$C$12</f>
        <v>0.0912849346783529</v>
      </c>
      <c r="K5" s="15" t="n">
        <f aca="false">D5/C5</f>
        <v>408.130434782609</v>
      </c>
      <c r="L5" s="15" t="n">
        <v>2560800</v>
      </c>
      <c r="M5" s="15" t="n">
        <f aca="false">L5*Параметры!$B$5/1000*Параметры!$B$6</f>
        <v>193750.128</v>
      </c>
      <c r="N5" s="32" t="n">
        <f aca="false">D5-M5</f>
        <v>31537.872</v>
      </c>
      <c r="O5" s="16" t="n">
        <f aca="false">N5/M5</f>
        <v>0.162776006011206</v>
      </c>
      <c r="P5" s="30" t="n">
        <f aca="false">M5/$M$12</f>
        <v>0.0766402091145225</v>
      </c>
    </row>
    <row r="6" customFormat="false" ht="15" hidden="false" customHeight="true" outlineLevel="0" collapsed="false">
      <c r="A6" s="17" t="s">
        <v>90</v>
      </c>
      <c r="B6" s="17" t="n">
        <v>1</v>
      </c>
      <c r="C6" s="15" t="n">
        <v>240</v>
      </c>
      <c r="D6" s="15" t="n">
        <v>175200</v>
      </c>
      <c r="E6" s="15" t="n">
        <v>159326.4</v>
      </c>
      <c r="F6" s="15" t="n">
        <f aca="false">D6-E6</f>
        <v>15873.6</v>
      </c>
      <c r="G6" s="30" t="n">
        <f aca="false">F6/E6</f>
        <v>0.0996294399421565</v>
      </c>
      <c r="H6" s="31" t="n">
        <f aca="false">D6/$D$12</f>
        <v>0.0644315916331607</v>
      </c>
      <c r="I6" s="31" t="n">
        <f aca="false">F6/$F$12</f>
        <v>0.0643952535356214</v>
      </c>
      <c r="J6" s="31" t="n">
        <f aca="false">C6/$C$12</f>
        <v>0.0396891020340665</v>
      </c>
      <c r="K6" s="15" t="n">
        <f aca="false">D6/C6</f>
        <v>730</v>
      </c>
      <c r="L6" s="15" t="n">
        <v>2414400</v>
      </c>
      <c r="M6" s="15" t="n">
        <f aca="false">L6*Параметры!$B$5/1000*Параметры!$B$6</f>
        <v>182673.504</v>
      </c>
      <c r="N6" s="32" t="n">
        <f aca="false">D6-M6</f>
        <v>-7473.50399999999</v>
      </c>
      <c r="O6" s="16" t="n">
        <f aca="false">N6/M6</f>
        <v>-0.0409118117097047</v>
      </c>
      <c r="P6" s="30" t="n">
        <f aca="false">M6/$M$12</f>
        <v>0.0722587163722677</v>
      </c>
    </row>
    <row r="7" customFormat="false" ht="15" hidden="false" customHeight="true" outlineLevel="0" collapsed="false">
      <c r="A7" s="17" t="s">
        <v>48</v>
      </c>
      <c r="B7" s="17" t="n">
        <v>10</v>
      </c>
      <c r="C7" s="15" t="n">
        <v>400</v>
      </c>
      <c r="D7" s="15" t="n">
        <v>168400</v>
      </c>
      <c r="E7" s="15" t="n">
        <v>153234</v>
      </c>
      <c r="F7" s="15" t="n">
        <f aca="false">D7-E7</f>
        <v>15166</v>
      </c>
      <c r="G7" s="30" t="n">
        <f aca="false">F7/E7</f>
        <v>0.0989728128222196</v>
      </c>
      <c r="H7" s="31" t="n">
        <f aca="false">D7/$D$12</f>
        <v>0.0619308220948873</v>
      </c>
      <c r="I7" s="31" t="n">
        <f aca="false">F7/$F$12</f>
        <v>0.0615246960438233</v>
      </c>
      <c r="J7" s="31" t="n">
        <f aca="false">C7/$C$12</f>
        <v>0.0661485033901108</v>
      </c>
      <c r="K7" s="15" t="n">
        <f aca="false">D7/C7</f>
        <v>421</v>
      </c>
      <c r="L7" s="15" t="n">
        <v>1577600</v>
      </c>
      <c r="M7" s="15" t="n">
        <f aca="false">L7*Параметры!$B$5/1000*Параметры!$B$6</f>
        <v>119361.216</v>
      </c>
      <c r="N7" s="32" t="n">
        <f aca="false">D7-M7</f>
        <v>49038.784</v>
      </c>
      <c r="O7" s="16" t="n">
        <f aca="false">N7/M7</f>
        <v>0.410843535642264</v>
      </c>
      <c r="P7" s="30" t="n">
        <f aca="false">M7/$M$12</f>
        <v>0.0472147742498714</v>
      </c>
    </row>
    <row r="8" customFormat="false" ht="15" hidden="false" customHeight="true" outlineLevel="0" collapsed="false">
      <c r="A8" s="17" t="s">
        <v>46</v>
      </c>
      <c r="B8" s="17" t="n">
        <v>3</v>
      </c>
      <c r="C8" s="15" t="n">
        <v>400</v>
      </c>
      <c r="D8" s="15" t="n">
        <v>119900</v>
      </c>
      <c r="E8" s="15" t="n">
        <v>108872</v>
      </c>
      <c r="F8" s="15" t="n">
        <f aca="false">D8-E8</f>
        <v>11028</v>
      </c>
      <c r="G8" s="30" t="n">
        <f aca="false">F8/E8</f>
        <v>0.101293261812036</v>
      </c>
      <c r="H8" s="31" t="n">
        <f aca="false">D8/$D$12</f>
        <v>0.0440944511233788</v>
      </c>
      <c r="I8" s="31" t="n">
        <f aca="false">F8/$F$12</f>
        <v>0.0447378575742637</v>
      </c>
      <c r="J8" s="31" t="n">
        <f aca="false">C8/$C$12</f>
        <v>0.0661485033901108</v>
      </c>
      <c r="K8" s="15" t="n">
        <f aca="false">D8/C8</f>
        <v>299.75</v>
      </c>
      <c r="L8" s="15" t="n">
        <v>1369100</v>
      </c>
      <c r="M8" s="15" t="n">
        <f aca="false">L8*Параметры!$B$5/1000*Параметры!$B$6</f>
        <v>103586.106</v>
      </c>
      <c r="N8" s="32" t="n">
        <f aca="false">D8-M8</f>
        <v>16313.894</v>
      </c>
      <c r="O8" s="16" t="n">
        <f aca="false">N8/M8</f>
        <v>0.157491140752023</v>
      </c>
      <c r="P8" s="30" t="n">
        <f aca="false">M8/$M$12</f>
        <v>0.040974738479652</v>
      </c>
    </row>
    <row r="9" customFormat="false" ht="15" hidden="false" customHeight="true" outlineLevel="0" collapsed="false">
      <c r="A9" s="17" t="s">
        <v>92</v>
      </c>
      <c r="B9" s="17" t="n">
        <v>1</v>
      </c>
      <c r="C9" s="15" t="n">
        <v>60</v>
      </c>
      <c r="D9" s="15" t="n">
        <v>88200</v>
      </c>
      <c r="E9" s="15" t="n">
        <v>80157</v>
      </c>
      <c r="F9" s="15" t="n">
        <f aca="false">D9-E9</f>
        <v>8043</v>
      </c>
      <c r="G9" s="30" t="n">
        <f aca="false">F9/E9</f>
        <v>0.100340581608593</v>
      </c>
      <c r="H9" s="31" t="n">
        <f aca="false">D9/$D$12</f>
        <v>0.0324364519523103</v>
      </c>
      <c r="I9" s="31" t="n">
        <f aca="false">F9/$F$12</f>
        <v>0.0326284537966815</v>
      </c>
      <c r="J9" s="31" t="n">
        <f aca="false">C9/$C$12</f>
        <v>0.00992227550851662</v>
      </c>
      <c r="K9" s="15" t="n">
        <f aca="false">D9/C9</f>
        <v>1470</v>
      </c>
      <c r="L9" s="15" t="n">
        <v>1269000</v>
      </c>
      <c r="M9" s="15" t="n">
        <f aca="false">L9*Параметры!$B$5/1000*Параметры!$B$6</f>
        <v>96012.54</v>
      </c>
      <c r="N9" s="32" t="n">
        <f aca="false">D9-M9</f>
        <v>-7812.54000000001</v>
      </c>
      <c r="O9" s="16" t="n">
        <f aca="false">N9/M9</f>
        <v>-0.0813699960442668</v>
      </c>
      <c r="P9" s="30" t="n">
        <f aca="false">M9/$M$12</f>
        <v>0.0379789227453643</v>
      </c>
    </row>
    <row r="10" customFormat="false" ht="15" hidden="false" customHeight="true" outlineLevel="0" collapsed="false">
      <c r="A10" s="17" t="s">
        <v>96</v>
      </c>
      <c r="B10" s="17" t="n">
        <v>1</v>
      </c>
      <c r="C10" s="15" t="n">
        <v>240</v>
      </c>
      <c r="D10" s="15" t="n">
        <v>48960</v>
      </c>
      <c r="E10" s="15" t="n">
        <v>44606.4</v>
      </c>
      <c r="F10" s="15" t="n">
        <f aca="false">D10-E10</f>
        <v>4353.6</v>
      </c>
      <c r="G10" s="30" t="n">
        <f aca="false">F10/E10</f>
        <v>0.097600344345206</v>
      </c>
      <c r="H10" s="31" t="n">
        <f aca="false">D10/$D$12</f>
        <v>0.0180055406755682</v>
      </c>
      <c r="I10" s="31" t="n">
        <f aca="false">F10/$F$12</f>
        <v>0.0176614741326908</v>
      </c>
      <c r="J10" s="31" t="n">
        <f aca="false">C10/$C$12</f>
        <v>0.0396891020340665</v>
      </c>
      <c r="K10" s="15" t="n">
        <f aca="false">D10/C10</f>
        <v>204</v>
      </c>
      <c r="L10" s="15" t="n">
        <v>468000</v>
      </c>
      <c r="M10" s="15" t="n">
        <f aca="false">L10*Параметры!$B$5/1000*Параметры!$B$6</f>
        <v>35408.88</v>
      </c>
      <c r="N10" s="32" t="n">
        <f aca="false">D10-M10</f>
        <v>13551.12</v>
      </c>
      <c r="O10" s="16" t="n">
        <f aca="false">N10/M10</f>
        <v>0.382703999674658</v>
      </c>
      <c r="P10" s="30" t="n">
        <f aca="false">M10/$M$12</f>
        <v>0.0140064112252408</v>
      </c>
    </row>
    <row r="11" customFormat="false" ht="15" hidden="false" customHeight="true" outlineLevel="0" collapsed="false">
      <c r="A11" s="17" t="s">
        <v>113</v>
      </c>
      <c r="B11" s="17"/>
      <c r="C11" s="15"/>
      <c r="D11" s="15"/>
      <c r="E11" s="15"/>
      <c r="F11" s="15" t="n">
        <f aca="false">D11-E11</f>
        <v>0</v>
      </c>
      <c r="G11" s="30"/>
      <c r="H11" s="31" t="n">
        <f aca="false">D11/$D$12</f>
        <v>0</v>
      </c>
      <c r="I11" s="31" t="n">
        <f aca="false">F11/$F$12</f>
        <v>0</v>
      </c>
      <c r="J11" s="31" t="n">
        <f aca="false">C11/$C$12</f>
        <v>0</v>
      </c>
      <c r="K11" s="15"/>
      <c r="L11" s="15"/>
      <c r="M11" s="15" t="n">
        <f aca="false">L11*Параметры!$B$5/1000*Параметры!$B$6</f>
        <v>0</v>
      </c>
      <c r="N11" s="32" t="n">
        <f aca="false">D11-M11</f>
        <v>0</v>
      </c>
      <c r="O11" s="16"/>
      <c r="P11" s="30" t="n">
        <f aca="false">M11/$M$12</f>
        <v>0</v>
      </c>
    </row>
    <row r="12" customFormat="false" ht="15" hidden="false" customHeight="true" outlineLevel="0" collapsed="false">
      <c r="A12" s="26" t="s">
        <v>99</v>
      </c>
      <c r="B12" s="26" t="n">
        <f aca="false">SUM(B2:B11)</f>
        <v>47</v>
      </c>
      <c r="C12" s="27" t="n">
        <f aca="false">SUM(C2:C11)</f>
        <v>6047</v>
      </c>
      <c r="D12" s="27" t="n">
        <f aca="false">SUM(D2:D11)</f>
        <v>2719163</v>
      </c>
      <c r="E12" s="27" t="n">
        <f aca="false">SUM(E2:E11)</f>
        <v>2472660.36</v>
      </c>
      <c r="F12" s="27" t="n">
        <f aca="false">SUM(F2:F11)</f>
        <v>246502.64</v>
      </c>
      <c r="G12" s="28" t="n">
        <f aca="false">F12/E12</f>
        <v>0.0996912653220194</v>
      </c>
      <c r="H12" s="28" t="n">
        <v>1</v>
      </c>
      <c r="I12" s="28" t="n">
        <v>1</v>
      </c>
      <c r="J12" s="28" t="n">
        <v>1</v>
      </c>
      <c r="K12" s="27" t="n">
        <f aca="false">D12/C12</f>
        <v>449.67140730941</v>
      </c>
      <c r="L12" s="27" t="n">
        <f aca="false">SUM(L2:L11)</f>
        <v>33413270</v>
      </c>
      <c r="M12" s="27" t="n">
        <f aca="false">SUM(M2:M11)</f>
        <v>2528048.0082</v>
      </c>
      <c r="N12" s="27" t="n">
        <f aca="false">SUM(N2:N11)</f>
        <v>191114.9918</v>
      </c>
      <c r="O12" s="29" t="n">
        <f aca="false">N12/M12</f>
        <v>0.0755978490836003</v>
      </c>
      <c r="P12" s="28" t="n">
        <v>1</v>
      </c>
    </row>
    <row r="14" customFormat="false" ht="15" hidden="false" customHeight="true" outlineLevel="0" collapsed="false">
      <c r="A14" s="5" t="s">
        <v>114</v>
      </c>
    </row>
    <row r="15" customFormat="false" ht="15" hidden="false" customHeight="true" outlineLevel="0" collapsed="false">
      <c r="A15" s="5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2026-08-20T20:18:41Z</dcterms:created>
  <dc:creator>openpyxl</dc:creator>
  <dc:description/>
  <dc:language>en-US</dc:language>
  <cp:lastModifiedBy/>
  <dcterms:modified xsi:type="dcterms:W3CDTF">2026-08-20T20:50:02Z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
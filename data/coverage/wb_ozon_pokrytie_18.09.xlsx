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37200" windowHeight="16965"/>
  </bookViews>
  <sheets>
    <sheet name="Итог" sheetId="1" r:id="rId1"/>
    <sheet name="WB без остатка на складе" sheetId="2" r:id="rId2"/>
  </sheets>
  <definedNames>
    <definedName name="_xlnm._FilterDatabase" localSheetId="0" hidden="1">Итог!$A$1:$O$98</definedName>
  </definedNames>
  <calcPr calcId="162913"/>
</workbook>
</file>

<file path=xl/calcChain.xml><?xml version="1.0" encoding="utf-8"?>
<calcChain xmlns="http://schemas.openxmlformats.org/spreadsheetml/2006/main">
  <c r="G99" i="1" l="1"/>
  <c r="F99" i="1"/>
  <c r="C99" i="1"/>
  <c r="H98" i="1"/>
  <c r="I98" i="1" s="1"/>
  <c r="J98" i="1" s="1"/>
  <c r="E98" i="1"/>
  <c r="H97" i="1"/>
  <c r="I97" i="1" s="1"/>
  <c r="J97" i="1" s="1"/>
  <c r="E97" i="1"/>
  <c r="H96" i="1"/>
  <c r="I96" i="1" s="1"/>
  <c r="J96" i="1" s="1"/>
  <c r="E96" i="1"/>
  <c r="H95" i="1"/>
  <c r="I95" i="1" s="1"/>
  <c r="J95" i="1" s="1"/>
  <c r="E95" i="1"/>
  <c r="H94" i="1"/>
  <c r="I94" i="1" s="1"/>
  <c r="J94" i="1" s="1"/>
  <c r="E94" i="1"/>
  <c r="H93" i="1"/>
  <c r="I93" i="1" s="1"/>
  <c r="J93" i="1" s="1"/>
  <c r="E93" i="1"/>
  <c r="H92" i="1"/>
  <c r="I92" i="1" s="1"/>
  <c r="J92" i="1" s="1"/>
  <c r="E92" i="1"/>
  <c r="H91" i="1"/>
  <c r="I91" i="1" s="1"/>
  <c r="J91" i="1" s="1"/>
  <c r="E91" i="1"/>
  <c r="H90" i="1"/>
  <c r="I90" i="1" s="1"/>
  <c r="J90" i="1" s="1"/>
  <c r="E90" i="1"/>
  <c r="H89" i="1"/>
  <c r="I89" i="1" s="1"/>
  <c r="J89" i="1" s="1"/>
  <c r="E89" i="1"/>
  <c r="H88" i="1"/>
  <c r="I88" i="1" s="1"/>
  <c r="J88" i="1" s="1"/>
  <c r="E88" i="1"/>
  <c r="H87" i="1"/>
  <c r="I87" i="1" s="1"/>
  <c r="J87" i="1" s="1"/>
  <c r="E87" i="1"/>
  <c r="H86" i="1"/>
  <c r="I86" i="1" s="1"/>
  <c r="J86" i="1" s="1"/>
  <c r="E86" i="1"/>
  <c r="H85" i="1"/>
  <c r="I85" i="1" s="1"/>
  <c r="J85" i="1" s="1"/>
  <c r="E85" i="1"/>
  <c r="H84" i="1"/>
  <c r="I84" i="1" s="1"/>
  <c r="J84" i="1" s="1"/>
  <c r="E84" i="1"/>
  <c r="H83" i="1"/>
  <c r="I83" i="1" s="1"/>
  <c r="J83" i="1" s="1"/>
  <c r="E83" i="1"/>
  <c r="H82" i="1"/>
  <c r="I82" i="1" s="1"/>
  <c r="J82" i="1" s="1"/>
  <c r="E82" i="1"/>
  <c r="H81" i="1"/>
  <c r="I81" i="1" s="1"/>
  <c r="J81" i="1" s="1"/>
  <c r="E81" i="1"/>
  <c r="H80" i="1"/>
  <c r="I80" i="1" s="1"/>
  <c r="J80" i="1" s="1"/>
  <c r="E80" i="1"/>
  <c r="H79" i="1"/>
  <c r="I79" i="1" s="1"/>
  <c r="J79" i="1" s="1"/>
  <c r="E79" i="1"/>
  <c r="H78" i="1"/>
  <c r="I78" i="1" s="1"/>
  <c r="J78" i="1" s="1"/>
  <c r="E78" i="1"/>
  <c r="H77" i="1"/>
  <c r="I77" i="1" s="1"/>
  <c r="J77" i="1" s="1"/>
  <c r="E77" i="1"/>
  <c r="H76" i="1"/>
  <c r="I76" i="1" s="1"/>
  <c r="J76" i="1" s="1"/>
  <c r="E76" i="1"/>
  <c r="H75" i="1"/>
  <c r="I75" i="1" s="1"/>
  <c r="J75" i="1" s="1"/>
  <c r="E75" i="1"/>
  <c r="H74" i="1"/>
  <c r="I74" i="1" s="1"/>
  <c r="J74" i="1" s="1"/>
  <c r="E74" i="1"/>
  <c r="H73" i="1"/>
  <c r="I73" i="1" s="1"/>
  <c r="J73" i="1" s="1"/>
  <c r="E73" i="1"/>
  <c r="H72" i="1"/>
  <c r="I72" i="1" s="1"/>
  <c r="J72" i="1" s="1"/>
  <c r="E72" i="1"/>
  <c r="H71" i="1"/>
  <c r="I71" i="1" s="1"/>
  <c r="J71" i="1" s="1"/>
  <c r="E71" i="1"/>
  <c r="H70" i="1"/>
  <c r="I70" i="1" s="1"/>
  <c r="J70" i="1" s="1"/>
  <c r="E70" i="1"/>
  <c r="H69" i="1"/>
  <c r="I69" i="1" s="1"/>
  <c r="J69" i="1" s="1"/>
  <c r="E69" i="1"/>
  <c r="H68" i="1"/>
  <c r="I68" i="1" s="1"/>
  <c r="J68" i="1" s="1"/>
  <c r="E68" i="1"/>
  <c r="H67" i="1"/>
  <c r="I67" i="1" s="1"/>
  <c r="J67" i="1" s="1"/>
  <c r="E67" i="1"/>
  <c r="H66" i="1"/>
  <c r="I66" i="1" s="1"/>
  <c r="J66" i="1" s="1"/>
  <c r="E66" i="1"/>
  <c r="H65" i="1"/>
  <c r="I65" i="1" s="1"/>
  <c r="J65" i="1" s="1"/>
  <c r="E65" i="1"/>
  <c r="H64" i="1"/>
  <c r="I64" i="1" s="1"/>
  <c r="J64" i="1" s="1"/>
  <c r="E64" i="1"/>
  <c r="H63" i="1"/>
  <c r="I63" i="1" s="1"/>
  <c r="J63" i="1" s="1"/>
  <c r="E63" i="1"/>
  <c r="H62" i="1"/>
  <c r="I62" i="1" s="1"/>
  <c r="J62" i="1" s="1"/>
  <c r="E62" i="1"/>
  <c r="H61" i="1"/>
  <c r="I61" i="1" s="1"/>
  <c r="J61" i="1" s="1"/>
  <c r="E61" i="1"/>
  <c r="H60" i="1"/>
  <c r="I60" i="1" s="1"/>
  <c r="J60" i="1" s="1"/>
  <c r="E60" i="1"/>
  <c r="H59" i="1"/>
  <c r="I59" i="1" s="1"/>
  <c r="J59" i="1" s="1"/>
  <c r="E59" i="1"/>
  <c r="H58" i="1"/>
  <c r="I58" i="1" s="1"/>
  <c r="J58" i="1" s="1"/>
  <c r="E58" i="1"/>
  <c r="H57" i="1"/>
  <c r="I57" i="1" s="1"/>
  <c r="J57" i="1" s="1"/>
  <c r="E57" i="1"/>
  <c r="H56" i="1"/>
  <c r="I56" i="1" s="1"/>
  <c r="J56" i="1" s="1"/>
  <c r="E56" i="1"/>
  <c r="H55" i="1"/>
  <c r="I55" i="1" s="1"/>
  <c r="J55" i="1" s="1"/>
  <c r="E55" i="1"/>
  <c r="H54" i="1"/>
  <c r="I54" i="1" s="1"/>
  <c r="J54" i="1" s="1"/>
  <c r="E54" i="1"/>
  <c r="H53" i="1"/>
  <c r="I53" i="1" s="1"/>
  <c r="J53" i="1" s="1"/>
  <c r="E53" i="1"/>
  <c r="H52" i="1"/>
  <c r="I52" i="1" s="1"/>
  <c r="J52" i="1" s="1"/>
  <c r="E52" i="1"/>
  <c r="H51" i="1"/>
  <c r="I51" i="1" s="1"/>
  <c r="J51" i="1" s="1"/>
  <c r="E51" i="1"/>
  <c r="H50" i="1"/>
  <c r="I50" i="1" s="1"/>
  <c r="J50" i="1" s="1"/>
  <c r="E50" i="1"/>
  <c r="H49" i="1"/>
  <c r="I49" i="1" s="1"/>
  <c r="J49" i="1" s="1"/>
  <c r="E49" i="1"/>
  <c r="H48" i="1"/>
  <c r="I48" i="1" s="1"/>
  <c r="J48" i="1" s="1"/>
  <c r="E48" i="1"/>
  <c r="H47" i="1"/>
  <c r="I47" i="1" s="1"/>
  <c r="J47" i="1" s="1"/>
  <c r="E47" i="1"/>
  <c r="H46" i="1"/>
  <c r="I46" i="1" s="1"/>
  <c r="J46" i="1" s="1"/>
  <c r="E46" i="1"/>
  <c r="H45" i="1"/>
  <c r="I45" i="1" s="1"/>
  <c r="J45" i="1" s="1"/>
  <c r="E45" i="1"/>
  <c r="H44" i="1"/>
  <c r="I44" i="1" s="1"/>
  <c r="J44" i="1" s="1"/>
  <c r="E44" i="1"/>
  <c r="H43" i="1"/>
  <c r="I43" i="1" s="1"/>
  <c r="J43" i="1" s="1"/>
  <c r="E43" i="1"/>
  <c r="H42" i="1"/>
  <c r="I42" i="1" s="1"/>
  <c r="J42" i="1" s="1"/>
  <c r="E42" i="1"/>
  <c r="H41" i="1"/>
  <c r="I41" i="1" s="1"/>
  <c r="J41" i="1" s="1"/>
  <c r="E41" i="1"/>
  <c r="H40" i="1"/>
  <c r="I40" i="1" s="1"/>
  <c r="J40" i="1" s="1"/>
  <c r="E40" i="1"/>
  <c r="H39" i="1"/>
  <c r="I39" i="1" s="1"/>
  <c r="J39" i="1" s="1"/>
  <c r="E39" i="1"/>
  <c r="H38" i="1"/>
  <c r="I38" i="1" s="1"/>
  <c r="J38" i="1" s="1"/>
  <c r="E38" i="1"/>
  <c r="H37" i="1"/>
  <c r="I37" i="1" s="1"/>
  <c r="J37" i="1" s="1"/>
  <c r="E37" i="1"/>
  <c r="H36" i="1"/>
  <c r="I36" i="1" s="1"/>
  <c r="J36" i="1" s="1"/>
  <c r="E36" i="1"/>
  <c r="H35" i="1"/>
  <c r="I35" i="1" s="1"/>
  <c r="J35" i="1" s="1"/>
  <c r="E35" i="1"/>
  <c r="H34" i="1"/>
  <c r="I34" i="1" s="1"/>
  <c r="J34" i="1" s="1"/>
  <c r="E34" i="1"/>
  <c r="H33" i="1"/>
  <c r="I33" i="1" s="1"/>
  <c r="J33" i="1" s="1"/>
  <c r="E33" i="1"/>
  <c r="H32" i="1"/>
  <c r="I32" i="1" s="1"/>
  <c r="J32" i="1" s="1"/>
  <c r="E32" i="1"/>
  <c r="H31" i="1"/>
  <c r="I31" i="1" s="1"/>
  <c r="J31" i="1" s="1"/>
  <c r="E31" i="1"/>
  <c r="H30" i="1"/>
  <c r="I30" i="1" s="1"/>
  <c r="J30" i="1" s="1"/>
  <c r="E30" i="1"/>
  <c r="H29" i="1"/>
  <c r="I29" i="1" s="1"/>
  <c r="J29" i="1" s="1"/>
  <c r="E29" i="1"/>
  <c r="H28" i="1"/>
  <c r="I28" i="1" s="1"/>
  <c r="J28" i="1" s="1"/>
  <c r="E28" i="1"/>
  <c r="H27" i="1"/>
  <c r="I27" i="1" s="1"/>
  <c r="J27" i="1" s="1"/>
  <c r="E27" i="1"/>
  <c r="H26" i="1"/>
  <c r="I26" i="1" s="1"/>
  <c r="J26" i="1" s="1"/>
  <c r="E26" i="1"/>
  <c r="H25" i="1"/>
  <c r="I25" i="1" s="1"/>
  <c r="J25" i="1" s="1"/>
  <c r="E25" i="1"/>
  <c r="H24" i="1"/>
  <c r="I24" i="1" s="1"/>
  <c r="J24" i="1" s="1"/>
  <c r="E24" i="1"/>
  <c r="H23" i="1"/>
  <c r="I23" i="1" s="1"/>
  <c r="J23" i="1" s="1"/>
  <c r="E23" i="1"/>
  <c r="H22" i="1"/>
  <c r="I22" i="1" s="1"/>
  <c r="J22" i="1" s="1"/>
  <c r="E22" i="1"/>
  <c r="H21" i="1"/>
  <c r="I21" i="1" s="1"/>
  <c r="J21" i="1" s="1"/>
  <c r="E21" i="1"/>
  <c r="H20" i="1"/>
  <c r="I20" i="1" s="1"/>
  <c r="J20" i="1" s="1"/>
  <c r="E20" i="1"/>
  <c r="H19" i="1"/>
  <c r="I19" i="1" s="1"/>
  <c r="J19" i="1" s="1"/>
  <c r="E19" i="1"/>
  <c r="H18" i="1"/>
  <c r="I18" i="1" s="1"/>
  <c r="J18" i="1" s="1"/>
  <c r="E18" i="1"/>
  <c r="H17" i="1"/>
  <c r="I17" i="1" s="1"/>
  <c r="J17" i="1" s="1"/>
  <c r="E17" i="1"/>
  <c r="H16" i="1"/>
  <c r="I16" i="1" s="1"/>
  <c r="J16" i="1" s="1"/>
  <c r="E16" i="1"/>
  <c r="H15" i="1"/>
  <c r="I15" i="1" s="1"/>
  <c r="J15" i="1" s="1"/>
  <c r="E15" i="1"/>
  <c r="H14" i="1"/>
  <c r="I14" i="1" s="1"/>
  <c r="J14" i="1" s="1"/>
  <c r="E14" i="1"/>
  <c r="H13" i="1"/>
  <c r="I13" i="1" s="1"/>
  <c r="J13" i="1" s="1"/>
  <c r="E13" i="1"/>
  <c r="H12" i="1"/>
  <c r="I12" i="1" s="1"/>
  <c r="J12" i="1" s="1"/>
  <c r="E12" i="1"/>
  <c r="H11" i="1"/>
  <c r="I11" i="1" s="1"/>
  <c r="J11" i="1" s="1"/>
  <c r="E11" i="1"/>
  <c r="H10" i="1"/>
  <c r="I10" i="1" s="1"/>
  <c r="J10" i="1" s="1"/>
  <c r="E10" i="1"/>
  <c r="H9" i="1"/>
  <c r="I9" i="1" s="1"/>
  <c r="J9" i="1" s="1"/>
  <c r="E9" i="1"/>
  <c r="H8" i="1"/>
  <c r="I8" i="1" s="1"/>
  <c r="J8" i="1" s="1"/>
  <c r="E8" i="1"/>
  <c r="H7" i="1"/>
  <c r="I7" i="1" s="1"/>
  <c r="J7" i="1" s="1"/>
  <c r="E7" i="1"/>
  <c r="H6" i="1"/>
  <c r="I6" i="1" s="1"/>
  <c r="J6" i="1" s="1"/>
  <c r="E6" i="1"/>
  <c r="H5" i="1"/>
  <c r="I5" i="1" s="1"/>
  <c r="J5" i="1" s="1"/>
  <c r="E5" i="1"/>
  <c r="H4" i="1"/>
  <c r="I4" i="1" s="1"/>
  <c r="J4" i="1" s="1"/>
  <c r="E4" i="1"/>
  <c r="H3" i="1"/>
  <c r="I3" i="1" s="1"/>
  <c r="J3" i="1" s="1"/>
  <c r="E3" i="1"/>
  <c r="H2" i="1"/>
  <c r="I2" i="1" s="1"/>
  <c r="J2" i="1" s="1"/>
  <c r="E2" i="1"/>
  <c r="E99" i="1" l="1"/>
  <c r="H99" i="1"/>
  <c r="I99" i="1" s="1"/>
  <c r="J99" i="1" s="1"/>
</calcChain>
</file>

<file path=xl/sharedStrings.xml><?xml version="1.0" encoding="utf-8"?>
<sst xmlns="http://schemas.openxmlformats.org/spreadsheetml/2006/main" count="320" uniqueCount="163">
  <si>
    <t>№</t>
  </si>
  <si>
    <t>Наименование</t>
  </si>
  <si>
    <t>Остаток 18.09, шт</t>
  </si>
  <si>
    <t>Себест., ₽/шт</t>
  </si>
  <si>
    <t>Сумма по себест., ₽</t>
  </si>
  <si>
    <t>WB заказы, шт/нед</t>
  </si>
  <si>
    <t>Ozon заказы, шт/нед</t>
  </si>
  <si>
    <t>Всего заказов, шт/нед</t>
  </si>
  <si>
    <t>Заказов в день, шт</t>
  </si>
  <si>
    <t>Хватит, дней</t>
  </si>
  <si>
    <t>Канал</t>
  </si>
  <si>
    <t>Комментарий</t>
  </si>
  <si>
    <t>Арт. Крона</t>
  </si>
  <si>
    <t>Арт. Коротич (2)</t>
  </si>
  <si>
    <t>COSRX - Salicylic Acid Daily Gentle Cleanser [150ml] / Пенка с салициловой кислотой для проблемной кожи</t>
  </si>
  <si>
    <t>DEOPROCE SHAMPOO - BLACK GARLIC INTENSME ENERGY [600ml] мягкая упаковка Шампунь с черным чесноком против выпадения волос</t>
  </si>
  <si>
    <t>DEOPROCE SHAMPOO - BLACK GARLIC INTENSME ENERGY [600ml] мягкая упаковка с колпачком,Шампунь с черным чесноком против выпадения волос</t>
  </si>
  <si>
    <t>DEOPROCE SHAMPOO - BLACK GARLIC INTENSME ENERGY [200ml]/ Шампунь с черным чесноком против выпадения волос</t>
  </si>
  <si>
    <t>DEOPROCE SHAMPOO+BALSAM - BLACK GARLIC[2000ml]</t>
  </si>
  <si>
    <t>ELIZAVECCA - CER-100 Collagen Ceramide Coating Protein Treatment [100ml] / Коллагеновая маска для волос</t>
  </si>
  <si>
    <t>ELIZAVECCA - Hell-Pore Galactomyces Pure Ample / Сыворотка для лица с экстрактом галактомисиса</t>
  </si>
  <si>
    <t>ENOUGH - Collagen Moisture Essential Cream [50ml] / Увлажняющий крем для лица с коллагеном</t>
  </si>
  <si>
    <t>ENOUGH - Collagen Whitening Moisture Cream 3in1 [50g] / Антивозрастной отбеливающий крем с коллагеном</t>
  </si>
  <si>
    <t>ENOUGH - Collagen Moisture Foundation [Tone 13] / Тональный крем для лица с коллагеном 13 тон</t>
  </si>
  <si>
    <t>ENOUGH - Collagen Moisture Foundation [Tone 21] / Тональный крем для лица с коллагеном 21 тон</t>
  </si>
  <si>
    <t>ENOUGH - Gold Snail Moisture Foundation [Tone 13] / Тональный крем с муцином улитки 13 тон</t>
  </si>
  <si>
    <t>ENOUGH - Gold Snail Moisture Foundation [Tone 21] / Тональный крем с муцином улитки 21 тон</t>
  </si>
  <si>
    <t>ENOUGH - Collagen 3in1 Whitening Moisture Foundation [Tone 21] / Тональный крем для лица с коллагеном 3в1 [21 тон]</t>
  </si>
  <si>
    <t>ENOUGH - Premium 8 Peptide Full Cover Perfect Foundation [Tone 21] / Тональный крем с пептидами 21 тон</t>
  </si>
  <si>
    <t>ENOUGH - Premium Rich Gold Double Wear Radiance Foundation [Tone 13] / Тональный крем с частичками золота 13 тон</t>
  </si>
  <si>
    <t>ENOUGH - Premium Rich Gold Double Wear Radiance Foundation [Tone 21] / Тональный крем с частичками золота 21 тон</t>
  </si>
  <si>
    <t>ENOUGH - Premium Ultra X10 Cover Up Collagen Foundation [Tone 13] / Тональный крем с коллагеном 13 тон</t>
  </si>
  <si>
    <t>ENOUGH Collagen whitening cover tip concealer #01 [9g]/Консилер для лица (основная карточка) 4.5 рейтинг</t>
  </si>
  <si>
    <t>ENOUGH Collagen whitening cover tip concealer #02 [9g]/Консилер для лица (основная карточка)</t>
  </si>
  <si>
    <t>ENOUGH Collagen whitening cover tip concealer #03 [9g]/ Консилер для лица (основаная карточка)</t>
  </si>
  <si>
    <t>ENOUGH - Collagen Moisture BB Cream SPF47 PA+++ [50ml] / Увлажняющий BB крем с коллагеном</t>
  </si>
  <si>
    <t>ETUDE - Baking Powder Crunch Pore Scrub [200ml] / Очищающий скраб для лица с содой</t>
  </si>
  <si>
    <t>ETUDE - Baking Powder BB Deep Cleansing Foam [160ml] / Пенка с содой для глубокого очищения и снятия макияжа</t>
  </si>
  <si>
    <t>ETUDE - Baking Powder Crunch Pore Scrub [24*7ml] / Очищающий скраб для лица с содой</t>
  </si>
  <si>
    <t>FARMSTAY - Collagen &amp; Hyaluronic Acid All-In One Ampoule [250ml] / Сыворотка с коллагеном и гиалуроновой кислотой</t>
  </si>
  <si>
    <t>FARMSTAY - Black Garlic Nourishing Shampoo [530ml] / Шампунь-кондиционер 2в1 с экстрактом черного чеснока</t>
  </si>
  <si>
    <t>FARMSTAY - Gold Snail Premium Cream [50ml] / Омолаживающий крем с муцином улитки и коллоидным золотом</t>
  </si>
  <si>
    <t>FARMSTAY - Escargot Noblesse Intensive Cream [50g] / Крем с муцином королевской улитки</t>
  </si>
  <si>
    <t xml:space="preserve">FARMSTAY ESCARGOT NOBLESSE INTENSIVE AMPOULE/ сыворотка с улиткой </t>
  </si>
  <si>
    <t>FARMSTAY - Argan Oil Complete Volume Up Shampoo &amp; Conditioner [530ml] / Шампунь-кондиционер с аргановым маслом</t>
  </si>
  <si>
    <t>FARMSTAY - Collagen Water Full Shampoo &amp; Conditioner [530ml] / Шампунь-кондиционер 2в1 с коллагеном</t>
  </si>
  <si>
    <t>FARMSTAY - Collagen Water Full Moist Rolling Eye Serum [25ml] / Сыворотка роллер для глаз</t>
  </si>
  <si>
    <t>FARMSTAY - Collagen Water Full Moist Cream [100g] / Увлажняющий крем с коллагеном</t>
  </si>
  <si>
    <t xml:space="preserve">FARMSTAY - Collagen Pure Cleansing Foam [180ml]/Пенка для умывания </t>
  </si>
  <si>
    <t>HEIMISH - Artless Glow Base SPF50+ PA+++(Renew) [40ml] / База под макияж SPF50+ PA+++</t>
  </si>
  <si>
    <t>JIGOTT - Snail Lifting Cream [70ml] / Крем для лица увлажняющий антивозрастной</t>
  </si>
  <si>
    <t>JIGOTT - Snail Reparing Cream [100ml] / Крем для лица увлажняющий антивозрастной с муцином улитки</t>
  </si>
  <si>
    <t>JIGOTT - Birds Nest Firming Cream [70ml] / Антивозрастной крем с экстрактом ласточкиного гнезда</t>
  </si>
  <si>
    <t>JIGOTT - Ассорти набор масок [27ml х 15]</t>
  </si>
  <si>
    <t>JIGOTT - Ultimate Real Collagen Toner [300ml] / тонер с коллагеном антивозрастной</t>
  </si>
  <si>
    <t>JIGOTT - Daily Real Cica Toner [300ml] / Тонер для лица с центеллой азиатской</t>
  </si>
  <si>
    <t>JIGOTT - Aura Secret Hyaluronec Acid Toner [300ml] / Тонер с гиалуроновой кислотой антивозрастной</t>
  </si>
  <si>
    <t>JIGOTT - Moisture Real Aloe Vera Toner [300ml] / Тонер для лица увлажняющий с экстрактом алоэ</t>
  </si>
  <si>
    <t>JMSOLUTION - MASK PACK BLACK [30ml*10ea] - ассорти набор 10шт в упаковке</t>
  </si>
  <si>
    <t>JMSOLUTION - MASK PACK DISNEY [30ml*10ea]  - ассорти набор из 10шт</t>
  </si>
  <si>
    <t>LEBELAGE - Dr. Peptide Derma Eye Cream [40ml] / Крем для глаз антивозрастной с пептидами</t>
  </si>
  <si>
    <t>LANEIGE LIP SLEEPING MASK-BERRY [3g]</t>
  </si>
  <si>
    <t>MANYO - Bifida Biome Complex Ampoule [50ml] / Антивозрастная сыворотка для лица</t>
  </si>
  <si>
    <t>MANYO - Galac Whitening Vita Serum [50ml] / Осветляющая сыворотка с Витамином C</t>
  </si>
  <si>
    <t>MANYO - Bifida Biome Ampoule Lotion [300ml] / Укрепляющий лосьон с бифидобактериями</t>
  </si>
  <si>
    <t>MANYO - Pure Cleansing Oil [200ml] / Гидрофильное масло для глубокого очищения</t>
  </si>
  <si>
    <t>MANYO BIFIDA COMPLEX AMPOULE GEL CLEANSER [400ml] / Гель для умывания с бифидобактериями</t>
  </si>
  <si>
    <t>MANYO BIFIDA INFUSION SHOT AMPOULE 1DX [50ml] / Сыворотка с микроиглами и пробиотиками</t>
  </si>
  <si>
    <t>MASIL - 8 Seconds Salon Hair Mask 350ml Set [350ml+8ml*2]</t>
  </si>
  <si>
    <t>PETITFEE - Collagen &amp; CoQ10 Hydrogel Eye Patch [60ea] / Гидрогелевые патчи для глаз с коллагеном и коэнзимом Q10</t>
  </si>
  <si>
    <t>PETITFEE - Bera Glucan Deep Firming Eye Patch [60ea] / Тканевые патчи для век увлажняющие</t>
  </si>
  <si>
    <t>PETITFEE - Artichoke Soothing Hydrogel Eye Patch [60ea] / Смягчающие гидрогелевые патчи для глаз с экстрактом артишока</t>
  </si>
  <si>
    <t>PETITFEE - Aura Quartz Hydrogel Eye Patch [60ea]</t>
  </si>
  <si>
    <t>PETITFEE - Cacao Energizing Hydrogel Eye Patch [60ea] / Тонизирующие гидрогелевые патчи для глаз с экстрактом какао</t>
  </si>
  <si>
    <t>PETITFEE - Pink Vita Brightening Eye Patch [60ea] / Тканевые патчи для век увлажняющие</t>
  </si>
  <si>
    <t>PETITFEE - Black Pearl &amp; Gold Hydrogel Eye Patch [60ea] / Гидрогелевые патчи для глаз с черным жемчугом и золотом</t>
  </si>
  <si>
    <t>PETITFEE - Agave Cooling Hydrogel Eye Patch [60ea] / Охлаждающие гидрогелевые патчи для глаз с экстрактом агавы</t>
  </si>
  <si>
    <t>PETITFEE - Gold &amp; Snail Hydrogel Eye Patch [60ea] / Гидрогелевые патчи для глаз с золотом и улиткой</t>
  </si>
  <si>
    <t>PETITFEE - Gold Hydrogel Eye Patch [60ea] / гидрогелевые патчи для глаз с золотом</t>
  </si>
  <si>
    <t>PETITFEE - Agave Cooling Hydrogel Face Mask [5pcs] / Охлаждающая гидрогелевая маска для лица с экстрактом агавы</t>
  </si>
  <si>
    <t>PETITFEE - Gold Hydrogel Mask Pack [5pcs] / Гидрогелевая маска для лица с золотом</t>
  </si>
  <si>
    <t>PETITFEE - Cacao Energizing Hydrogel Mask Pack [5pcs] / Тонизирующая гидрогелевая маска для лица с экстрактом какао</t>
  </si>
  <si>
    <t>PETITFEE - Artichoke Soothing Hydrogel Face Mask [5pcs] / Смягчающая гидрогелевая маска для лица с экстрактом артишока</t>
  </si>
  <si>
    <t>PETITFEE - Gold &amp; Snail Hydrogel Mask Pack [5pcs] / Гидрогелевая маска для лица с золотом и экстрактом улитки</t>
  </si>
  <si>
    <t>PETITFEE - Black Pearl &amp; Gold Hydrogel Mask Pack [5pcs] / Гидрогелевая маска для лица с черным жемчугом и золотом</t>
  </si>
  <si>
    <t>PETITFEE - MASK 5 (блек, агава, какао, артишок, голд снейл)</t>
  </si>
  <si>
    <t>PETITFEE - MASK 6 (блек, агава, какао, артишок, голд, ромашка)</t>
  </si>
  <si>
    <t>ROUND LAB 1025 DOKDO CLEANSER_150ml - Увлажняющая пенка для умывания лица</t>
  </si>
  <si>
    <t>ROUND LAB BIRCH JUICE MOISTURIZING CREAM_80ml -Увлажняющий крем  с березовым соком</t>
  </si>
  <si>
    <t>ROUND LAB MUGWORT CALMING CLEANSER_150ml - Очищающая пенка для умывания лица от прыщей и акне</t>
  </si>
  <si>
    <t>ROUND LAB PINE CALMING CICA AMPOULE_30ml - Сыворотка для жирной кожи лица увлажняющая с центеллой</t>
  </si>
  <si>
    <t>ROUND LAB 1025 DOKDO TONER_200ml / Отшелушивающий тоник с морской водой</t>
  </si>
  <si>
    <t>SKIN1004 - Madagascar Centella Ampoule [30ml] / Сыворотка для лица успокаивающая из экстракта центеллы.</t>
  </si>
  <si>
    <t>SKIN1004 - Madagascar Centella Hyalu-Cica Sleeping Pack [30ml] / Увлажняющая гиалуроновая ночная маска для сухой кожи</t>
  </si>
  <si>
    <t>SOME BY MI - AHA-BHA-PHA 30 Days Miracle Cleansing Bar [106g] / Мыло для проблемной кожи с aha bha кислотами</t>
  </si>
  <si>
    <t>SOME BY MI - AHA-BHA-PHA 30 Days Miracle Cream [60g] /  Крем для лица</t>
  </si>
  <si>
    <t>THE ORDINARY - Argireline Solution 10% [30ml] / Сыворотка для лица от прыщей и акне с ниацинамидом 10 %</t>
  </si>
  <si>
    <t>THE ORDINARY - Glycolic Acid 7% Toning Solution [KOR] [240ml] / Тоник с гликолевой кислотой 7%</t>
  </si>
  <si>
    <t>Celimax Dual Barrier Creamy Toner, тонер 150 мл</t>
  </si>
  <si>
    <t>CELIMAX THE VITA-A RETINAL SHOT TIGHTENING BOOSTER [15ml]/Подтягивающий бустер-крем с ретинолом для лица</t>
  </si>
  <si>
    <t>CELIMAX THE VITA-A RETINOL SHOT TIGHTENING SERUM [30ml]/Сыворотка с ретинолом и микроиглами для лица</t>
  </si>
  <si>
    <t>CELIMAX JI WOO GAE CICA BHA BLEMISH TONER PAD_10EA [30ml]/успокаивающие тонер-пэды</t>
  </si>
  <si>
    <t>CELIMAX PORE+DARK SPOT BRIGHTENING CREAM [35ml]/Крем для выравнивания тона и рельефа кожи лица</t>
  </si>
  <si>
    <t>CELIMAX DUAL BARRIER SKIN WEARABLE CREAM [50ml]/Крем для восстановления защитного барьера кожи лица</t>
  </si>
  <si>
    <t>CELIMAX JI WOO GAE CICA BHA BLEMISH TONER PAD [170ml / 60pads]/Тонер-пэды от воспалений</t>
  </si>
  <si>
    <t>CELIMAX THE REAL NONI ENERGY AMPOULE_30ML (NEW) [30ml]/Восстанавливающая сыворотка с экстрактом нони для лица</t>
  </si>
  <si>
    <t>CELIMAX PORE+DARK SPOT BRIGHTENING PAD [100ml / 40pads]/Тонер-пэды для выравнивания тона и рельефа кожи</t>
  </si>
  <si>
    <t>CELIMAX PORE+DARK SPOT BRIGHTENING SERUM_30ml [30ml]/Сыворотка для выравнивания тона и рельефа кожи лица</t>
  </si>
  <si>
    <t>CELIMAX THE REAL NONI MOISTURE BALANCING TONER (NEW) [150ml]/Восстанавливающий тонер с экстрактом нони</t>
  </si>
  <si>
    <t>VT PDRN ESSENCE 100 / Укрепляющая бустер-эссенция с ПДРН</t>
  </si>
  <si>
    <t>VT REEDLE SHOT 100 / Бустер-сыворотка с микроиглами</t>
  </si>
  <si>
    <t>ИТОГО</t>
  </si>
  <si>
    <t>Бренд</t>
  </si>
  <si>
    <t>Артикул продавца WB</t>
  </si>
  <si>
    <t>Заказано, шт/нед</t>
  </si>
  <si>
    <t>Выкуплено, шт/нед</t>
  </si>
  <si>
    <t>EKEL</t>
  </si>
  <si>
    <t>EKEL Ampule Сream Сollagen [70ml]</t>
  </si>
  <si>
    <t>ENOUGH</t>
  </si>
  <si>
    <t>ENOUGH COLLAGEN 3IN1 13</t>
  </si>
  <si>
    <t>JMSolution</t>
  </si>
  <si>
    <t>JMSOLUTION-Marine Luminous Pearl Deep Moisture Mask Pearl [1/2/3]*[10ea]</t>
  </si>
  <si>
    <t>Celimax</t>
  </si>
  <si>
    <t>CELIMAX PORE+DARK SPOT BRIGHTENING SERUM_10ml [10ml]</t>
  </si>
  <si>
    <t>Petitfee</t>
  </si>
  <si>
    <t>Petitfee EGF</t>
  </si>
  <si>
    <t>PETITFEE Black Pearl &amp; Gold Hydrogel Eye Patch/Gold Hydrogel Eye Patch</t>
  </si>
  <si>
    <t>DEOPROCE</t>
  </si>
  <si>
    <t>DEOPROCE - SNAIL RECOVERY CREAM [100g]</t>
  </si>
  <si>
    <t>CELIMAX THE REAL NONI STARTER KIT (NEW) [30ml+10ml+10ml]</t>
  </si>
  <si>
    <t>Enough 8 Peptide Full Cover Perfect Foundation 13 тон</t>
  </si>
  <si>
    <t>Lebelage</t>
  </si>
  <si>
    <t>LEBELAGE - Dr. Hyaluronic Derma Eye Cream [40ml]</t>
  </si>
  <si>
    <t>dr.Jart+</t>
  </si>
  <si>
    <t>DR. JART - Cicapair Tiger Grass Color Correcting Treatment [50ml]</t>
  </si>
  <si>
    <t>round lab</t>
  </si>
  <si>
    <t>ROUND LAB SOYBEAN PANTHENOL CREAM_80ml</t>
  </si>
  <si>
    <t>Baofeng</t>
  </si>
  <si>
    <t>Рация_UV-82 (1 шт)</t>
  </si>
  <si>
    <t>Heimish</t>
  </si>
  <si>
    <t>HEIMISH - All Clean Balm Mandarin [120ml]</t>
  </si>
  <si>
    <t>ROUND LAB BIRCH JUICE MOISTURIZING SUNSCREEN_50ml</t>
  </si>
  <si>
    <t>Камера видеонаблюдения IP Wi-Fi</t>
  </si>
  <si>
    <t>videokamera4gneww</t>
  </si>
  <si>
    <t>Elizavecca</t>
  </si>
  <si>
    <t>ELIZAVECCA - Aqua Hyaluronic Acid Water Drop Cream</t>
  </si>
  <si>
    <t>Elizavecca Milky Piggy EGF elastic retinol [100ml]</t>
  </si>
  <si>
    <t>ELIZAVECCA_fruit_toner</t>
  </si>
  <si>
    <t>I'm Sorry for My Skin</t>
  </si>
  <si>
    <t>I'm Sorry for My Skin Крем Age Capture Vitalizer</t>
  </si>
  <si>
    <t>Jigott</t>
  </si>
  <si>
    <t>JIGOTT - Collagen Healing Cream [100ml]</t>
  </si>
  <si>
    <t>Petitfee Chamomile Lightening Hydrogel Eye Mask</t>
  </si>
  <si>
    <t>SKL TECH</t>
  </si>
  <si>
    <t>sBotW400</t>
  </si>
  <si>
    <t>WB</t>
  </si>
  <si>
    <t>OZON+WB</t>
  </si>
  <si>
    <t>убыточно на Озон</t>
  </si>
  <si>
    <t>нет спроса на Озон</t>
  </si>
  <si>
    <t>нужны документы для Озон</t>
  </si>
  <si>
    <t>маленькие остатки, нет смысла на Озон заводить</t>
  </si>
  <si>
    <t>Кол-во ФБО ОЗОН</t>
  </si>
  <si>
    <t>не знаю что с ним делать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</si>
</sst>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7030A0"/>
      </patternFill>
    </fill>
    <fill>
      <patternFill patternType="solid">
        <fgColor rgb="FFBF8F00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3" fontId="2" fillId="0" borderId="1" xfId="0" applyNumberFormat="1" applyFont="1" applyBorder="1"/>
    <xf numFmtId="0" fontId="0" fillId="5" borderId="1" xfId="0" applyFill="1" applyBorder="1"/>
    <xf numFmtId="0" fontId="2" fillId="0" borderId="0" xfId="0" applyFont="1"/>
    <xf numFmtId="3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1" fillId="3" borderId="0" xfId="0" applyFont="1" applyFill="1"/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3">
    <dxf>
      <fill>
        <patternFill patternType="solid">
          <fgColor rgb="FFD9EAD3"/>
        </patternFill>
      </fill>
    </dxf>
    <dxf>
      <fill>
        <patternFill patternType="solid">
          <fgColor rgb="FFFCE5CD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N15" sqref="N15"/>
    </sheetView>
  </sheetViews>
  <sheetFormatPr defaultRowHeight="15" x14ac:dyDescent="0.25"/>
  <cols>
    <col min="1" max="1" width="5" customWidth="1"/>
    <col min="2" max="2" width="112.28515625" customWidth="1"/>
    <col min="3" max="3" width="11" customWidth="1"/>
    <col min="4" max="4" width="10" customWidth="1"/>
    <col min="5" max="5" width="13" customWidth="1"/>
    <col min="6" max="7" width="10" customWidth="1"/>
    <col min="8" max="8" width="11" customWidth="1"/>
    <col min="9" max="10" width="10" customWidth="1"/>
    <col min="11" max="11" width="14" style="17" customWidth="1"/>
    <col min="12" max="12" width="14.42578125" customWidth="1"/>
    <col min="13" max="13" width="47.140625" bestFit="1" customWidth="1"/>
    <col min="14" max="15" width="12" customWidth="1"/>
  </cols>
  <sheetData>
    <row r="1" spans="1:15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161</v>
      </c>
      <c r="M1" s="3" t="s">
        <v>11</v>
      </c>
      <c r="N1" s="1" t="s">
        <v>12</v>
      </c>
      <c r="O1" s="1" t="s">
        <v>13</v>
      </c>
    </row>
    <row r="2" spans="1:15" x14ac:dyDescent="0.25">
      <c r="A2" s="4">
        <v>1</v>
      </c>
      <c r="B2" s="4" t="s">
        <v>14</v>
      </c>
      <c r="C2" s="5">
        <v>218</v>
      </c>
      <c r="D2" s="6">
        <v>343.82</v>
      </c>
      <c r="E2" s="5">
        <f t="shared" ref="E2:E32" si="0">C2*D2</f>
        <v>74952.759999999995</v>
      </c>
      <c r="F2" s="5">
        <v>8</v>
      </c>
      <c r="G2" s="5">
        <v>0</v>
      </c>
      <c r="H2" s="5">
        <f t="shared" ref="H2:H32" si="1">F2+G2</f>
        <v>8</v>
      </c>
      <c r="I2" s="7">
        <f t="shared" ref="I2:I32" si="2">H2/7</f>
        <v>1.1428571428571428</v>
      </c>
      <c r="J2" s="8">
        <f t="shared" ref="J2:J32" si="3">IF(I2&gt;0,C2/I2,"нет продаж")</f>
        <v>190.75</v>
      </c>
      <c r="K2" s="15" t="s">
        <v>155</v>
      </c>
      <c r="L2" s="9"/>
      <c r="M2" s="9" t="s">
        <v>160</v>
      </c>
      <c r="N2" s="4"/>
      <c r="O2" s="4"/>
    </row>
    <row r="3" spans="1:15" x14ac:dyDescent="0.25">
      <c r="A3" s="4">
        <v>2</v>
      </c>
      <c r="B3" s="4" t="s">
        <v>15</v>
      </c>
      <c r="C3" s="5">
        <v>59</v>
      </c>
      <c r="D3" s="6">
        <v>269.87</v>
      </c>
      <c r="E3" s="5">
        <f t="shared" si="0"/>
        <v>15922.33</v>
      </c>
      <c r="F3" s="5">
        <v>0</v>
      </c>
      <c r="G3" s="5">
        <v>0</v>
      </c>
      <c r="H3" s="5">
        <f t="shared" si="1"/>
        <v>0</v>
      </c>
      <c r="I3" s="7">
        <f t="shared" si="2"/>
        <v>0</v>
      </c>
      <c r="J3" s="8" t="str">
        <f t="shared" si="3"/>
        <v>нет продаж</v>
      </c>
      <c r="K3" s="15" t="s">
        <v>155</v>
      </c>
      <c r="L3" s="9"/>
      <c r="M3" s="9" t="s">
        <v>160</v>
      </c>
      <c r="N3" s="4"/>
      <c r="O3" s="4"/>
    </row>
    <row r="4" spans="1:15" x14ac:dyDescent="0.25">
      <c r="A4" s="4">
        <v>3</v>
      </c>
      <c r="B4" s="4" t="s">
        <v>16</v>
      </c>
      <c r="C4" s="5">
        <v>11</v>
      </c>
      <c r="D4" s="6">
        <v>314.85000000000002</v>
      </c>
      <c r="E4" s="5">
        <f t="shared" si="0"/>
        <v>3463.3500000000004</v>
      </c>
      <c r="F4" s="5">
        <v>6</v>
      </c>
      <c r="G4" s="5">
        <v>0</v>
      </c>
      <c r="H4" s="5">
        <f t="shared" si="1"/>
        <v>6</v>
      </c>
      <c r="I4" s="7">
        <f t="shared" si="2"/>
        <v>0.8571428571428571</v>
      </c>
      <c r="J4" s="8">
        <f t="shared" si="3"/>
        <v>12.833333333333334</v>
      </c>
      <c r="K4" s="15" t="s">
        <v>155</v>
      </c>
      <c r="L4" s="9"/>
      <c r="M4" s="9" t="s">
        <v>160</v>
      </c>
      <c r="N4" s="4"/>
      <c r="O4" s="4"/>
    </row>
    <row r="5" spans="1:15" x14ac:dyDescent="0.25">
      <c r="A5" s="4">
        <v>4</v>
      </c>
      <c r="B5" s="4" t="s">
        <v>17</v>
      </c>
      <c r="C5" s="5">
        <v>297</v>
      </c>
      <c r="D5" s="6">
        <v>151.13</v>
      </c>
      <c r="E5" s="5">
        <f t="shared" si="0"/>
        <v>44885.61</v>
      </c>
      <c r="F5" s="5">
        <v>3</v>
      </c>
      <c r="G5" s="5">
        <v>1</v>
      </c>
      <c r="H5" s="5">
        <f t="shared" si="1"/>
        <v>4</v>
      </c>
      <c r="I5" s="7">
        <f t="shared" si="2"/>
        <v>0.5714285714285714</v>
      </c>
      <c r="J5" s="8">
        <f t="shared" si="3"/>
        <v>519.75</v>
      </c>
      <c r="K5" s="15" t="s">
        <v>155</v>
      </c>
      <c r="L5" s="9"/>
      <c r="M5" s="9" t="s">
        <v>160</v>
      </c>
      <c r="N5" s="4"/>
      <c r="O5" s="4"/>
    </row>
    <row r="6" spans="1:15" x14ac:dyDescent="0.25">
      <c r="A6" s="4">
        <v>5</v>
      </c>
      <c r="B6" s="4" t="s">
        <v>18</v>
      </c>
      <c r="C6" s="5">
        <v>395</v>
      </c>
      <c r="D6" s="6">
        <v>726.85</v>
      </c>
      <c r="E6" s="5">
        <f t="shared" si="0"/>
        <v>287105.75</v>
      </c>
      <c r="F6" s="5">
        <v>8</v>
      </c>
      <c r="G6" s="5">
        <v>0</v>
      </c>
      <c r="H6" s="5">
        <f t="shared" si="1"/>
        <v>8</v>
      </c>
      <c r="I6" s="7">
        <f t="shared" si="2"/>
        <v>1.1428571428571428</v>
      </c>
      <c r="J6" s="8">
        <f t="shared" si="3"/>
        <v>345.625</v>
      </c>
      <c r="K6" s="15" t="s">
        <v>155</v>
      </c>
      <c r="L6" s="9"/>
      <c r="M6" s="9" t="s">
        <v>160</v>
      </c>
      <c r="N6" s="4"/>
      <c r="O6" s="4"/>
    </row>
    <row r="7" spans="1:15" x14ac:dyDescent="0.25">
      <c r="A7" s="4">
        <v>7</v>
      </c>
      <c r="B7" s="4" t="s">
        <v>19</v>
      </c>
      <c r="C7" s="5">
        <v>340</v>
      </c>
      <c r="D7" s="6">
        <v>242.23</v>
      </c>
      <c r="E7" s="5">
        <f t="shared" si="0"/>
        <v>82358.2</v>
      </c>
      <c r="F7" s="5">
        <v>7</v>
      </c>
      <c r="G7" s="5">
        <v>0</v>
      </c>
      <c r="H7" s="5">
        <f t="shared" si="1"/>
        <v>7</v>
      </c>
      <c r="I7" s="7">
        <f t="shared" si="2"/>
        <v>1</v>
      </c>
      <c r="J7" s="8">
        <f t="shared" si="3"/>
        <v>340</v>
      </c>
      <c r="K7" s="15" t="s">
        <v>155</v>
      </c>
      <c r="L7" s="9"/>
      <c r="M7" s="9" t="s">
        <v>160</v>
      </c>
      <c r="N7" s="4"/>
      <c r="O7" s="4"/>
    </row>
    <row r="8" spans="1:15" x14ac:dyDescent="0.25">
      <c r="A8" s="4">
        <v>8</v>
      </c>
      <c r="B8" s="4" t="s">
        <v>20</v>
      </c>
      <c r="C8" s="5">
        <v>50</v>
      </c>
      <c r="D8" s="6">
        <v>447.64</v>
      </c>
      <c r="E8" s="5">
        <f t="shared" si="0"/>
        <v>22382</v>
      </c>
      <c r="F8" s="5">
        <v>1</v>
      </c>
      <c r="G8" s="5">
        <v>1</v>
      </c>
      <c r="H8" s="5">
        <f t="shared" si="1"/>
        <v>2</v>
      </c>
      <c r="I8" s="7">
        <f t="shared" si="2"/>
        <v>0.2857142857142857</v>
      </c>
      <c r="J8" s="8">
        <f t="shared" si="3"/>
        <v>175</v>
      </c>
      <c r="K8" s="15" t="s">
        <v>155</v>
      </c>
      <c r="L8" s="9"/>
      <c r="M8" s="9" t="s">
        <v>160</v>
      </c>
      <c r="N8" s="4"/>
      <c r="O8" s="4"/>
    </row>
    <row r="9" spans="1:15" x14ac:dyDescent="0.25">
      <c r="A9" s="4">
        <v>9</v>
      </c>
      <c r="B9" s="4" t="s">
        <v>21</v>
      </c>
      <c r="C9" s="5">
        <v>6400</v>
      </c>
      <c r="D9" s="6">
        <v>161.30000000000001</v>
      </c>
      <c r="E9" s="5">
        <f t="shared" si="0"/>
        <v>1032320.0000000001</v>
      </c>
      <c r="F9" s="5">
        <v>209</v>
      </c>
      <c r="G9" s="5">
        <v>1</v>
      </c>
      <c r="H9" s="5">
        <f t="shared" si="1"/>
        <v>210</v>
      </c>
      <c r="I9" s="7">
        <f t="shared" si="2"/>
        <v>30</v>
      </c>
      <c r="J9" s="8">
        <f t="shared" si="3"/>
        <v>213.33333333333334</v>
      </c>
      <c r="K9" s="15" t="s">
        <v>155</v>
      </c>
      <c r="L9" s="9"/>
      <c r="M9" s="9" t="s">
        <v>157</v>
      </c>
      <c r="N9" s="4"/>
      <c r="O9" s="4"/>
    </row>
    <row r="10" spans="1:15" x14ac:dyDescent="0.25">
      <c r="A10" s="4">
        <v>10</v>
      </c>
      <c r="B10" s="4" t="s">
        <v>22</v>
      </c>
      <c r="C10" s="5">
        <v>254</v>
      </c>
      <c r="D10" s="6">
        <v>183.88</v>
      </c>
      <c r="E10" s="5">
        <f t="shared" si="0"/>
        <v>46705.52</v>
      </c>
      <c r="F10" s="5">
        <v>17</v>
      </c>
      <c r="G10" s="5">
        <v>0</v>
      </c>
      <c r="H10" s="5">
        <f t="shared" si="1"/>
        <v>17</v>
      </c>
      <c r="I10" s="7">
        <f t="shared" si="2"/>
        <v>2.4285714285714284</v>
      </c>
      <c r="J10" s="8">
        <f t="shared" si="3"/>
        <v>104.58823529411765</v>
      </c>
      <c r="K10" s="15" t="s">
        <v>155</v>
      </c>
      <c r="L10" s="9"/>
      <c r="M10" s="9" t="s">
        <v>157</v>
      </c>
      <c r="N10" s="4"/>
      <c r="O10" s="4"/>
    </row>
    <row r="11" spans="1:15" x14ac:dyDescent="0.25">
      <c r="A11" s="4">
        <v>11</v>
      </c>
      <c r="B11" s="4" t="s">
        <v>23</v>
      </c>
      <c r="C11" s="5">
        <v>53</v>
      </c>
      <c r="D11" s="6">
        <v>216.45</v>
      </c>
      <c r="E11" s="5">
        <f t="shared" si="0"/>
        <v>11471.849999999999</v>
      </c>
      <c r="F11" s="5">
        <v>18</v>
      </c>
      <c r="G11" s="5">
        <v>1</v>
      </c>
      <c r="H11" s="5">
        <f t="shared" si="1"/>
        <v>19</v>
      </c>
      <c r="I11" s="7">
        <f t="shared" si="2"/>
        <v>2.7142857142857144</v>
      </c>
      <c r="J11" s="8">
        <f t="shared" si="3"/>
        <v>19.526315789473685</v>
      </c>
      <c r="K11" s="15" t="s">
        <v>156</v>
      </c>
      <c r="L11" s="9"/>
      <c r="M11" s="9"/>
      <c r="N11" s="4"/>
      <c r="O11" s="4"/>
    </row>
    <row r="12" spans="1:15" x14ac:dyDescent="0.25">
      <c r="A12" s="4">
        <v>12</v>
      </c>
      <c r="B12" s="4" t="s">
        <v>24</v>
      </c>
      <c r="C12" s="5">
        <v>198</v>
      </c>
      <c r="D12" s="6">
        <v>242.88</v>
      </c>
      <c r="E12" s="5">
        <f t="shared" si="0"/>
        <v>48090.239999999998</v>
      </c>
      <c r="F12" s="5">
        <v>20</v>
      </c>
      <c r="G12" s="5">
        <v>2</v>
      </c>
      <c r="H12" s="5">
        <f t="shared" si="1"/>
        <v>22</v>
      </c>
      <c r="I12" s="7">
        <f t="shared" si="2"/>
        <v>3.1428571428571428</v>
      </c>
      <c r="J12" s="8">
        <f t="shared" si="3"/>
        <v>63</v>
      </c>
      <c r="K12" s="15" t="s">
        <v>156</v>
      </c>
      <c r="L12" s="9"/>
      <c r="M12" s="9"/>
      <c r="N12" s="4"/>
      <c r="O12" s="4"/>
    </row>
    <row r="13" spans="1:15" x14ac:dyDescent="0.25">
      <c r="A13" s="4">
        <v>13</v>
      </c>
      <c r="B13" s="4" t="s">
        <v>25</v>
      </c>
      <c r="C13" s="5">
        <v>700</v>
      </c>
      <c r="D13" s="6">
        <v>245.65</v>
      </c>
      <c r="E13" s="5">
        <f t="shared" si="0"/>
        <v>171955</v>
      </c>
      <c r="F13" s="5">
        <v>55</v>
      </c>
      <c r="G13" s="5">
        <v>0</v>
      </c>
      <c r="H13" s="5">
        <f t="shared" si="1"/>
        <v>55</v>
      </c>
      <c r="I13" s="7">
        <f t="shared" si="2"/>
        <v>7.8571428571428568</v>
      </c>
      <c r="J13" s="8">
        <f t="shared" si="3"/>
        <v>89.090909090909093</v>
      </c>
      <c r="K13" s="15" t="s">
        <v>156</v>
      </c>
      <c r="L13" s="9"/>
      <c r="M13" s="9"/>
      <c r="N13" s="4"/>
      <c r="O13" s="4"/>
    </row>
    <row r="14" spans="1:15" x14ac:dyDescent="0.25">
      <c r="A14" s="4">
        <v>14</v>
      </c>
      <c r="B14" s="4" t="s">
        <v>26</v>
      </c>
      <c r="C14" s="5">
        <v>400</v>
      </c>
      <c r="D14" s="6">
        <v>270.81</v>
      </c>
      <c r="E14" s="5">
        <f t="shared" si="0"/>
        <v>108324</v>
      </c>
      <c r="F14" s="5">
        <v>48</v>
      </c>
      <c r="G14" s="5">
        <v>0</v>
      </c>
      <c r="H14" s="5">
        <f t="shared" si="1"/>
        <v>48</v>
      </c>
      <c r="I14" s="7">
        <f t="shared" si="2"/>
        <v>6.8571428571428568</v>
      </c>
      <c r="J14" s="8">
        <f t="shared" si="3"/>
        <v>58.333333333333336</v>
      </c>
      <c r="K14" s="15" t="s">
        <v>156</v>
      </c>
      <c r="L14" s="9"/>
      <c r="M14" s="9"/>
      <c r="N14" s="4"/>
      <c r="O14" s="4"/>
    </row>
    <row r="15" spans="1:15" x14ac:dyDescent="0.25">
      <c r="A15" s="4">
        <v>15</v>
      </c>
      <c r="B15" s="4" t="s">
        <v>27</v>
      </c>
      <c r="C15" s="5">
        <v>12</v>
      </c>
      <c r="D15" s="6">
        <v>223.35</v>
      </c>
      <c r="E15" s="5">
        <f t="shared" si="0"/>
        <v>2680.2</v>
      </c>
      <c r="F15" s="5">
        <v>7</v>
      </c>
      <c r="G15" s="5">
        <v>0</v>
      </c>
      <c r="H15" s="5">
        <f t="shared" si="1"/>
        <v>7</v>
      </c>
      <c r="I15" s="7">
        <f t="shared" si="2"/>
        <v>1</v>
      </c>
      <c r="J15" s="8">
        <f t="shared" si="3"/>
        <v>12</v>
      </c>
      <c r="K15" s="15" t="s">
        <v>156</v>
      </c>
      <c r="L15" s="9"/>
      <c r="M15" s="9"/>
      <c r="N15" s="4"/>
      <c r="O15" s="4"/>
    </row>
    <row r="16" spans="1:15" x14ac:dyDescent="0.25">
      <c r="A16" s="4">
        <v>16</v>
      </c>
      <c r="B16" s="4" t="s">
        <v>28</v>
      </c>
      <c r="C16" s="5">
        <v>23</v>
      </c>
      <c r="D16" s="6">
        <v>304.77</v>
      </c>
      <c r="E16" s="5">
        <f t="shared" si="0"/>
        <v>7009.7099999999991</v>
      </c>
      <c r="F16" s="5">
        <v>41</v>
      </c>
      <c r="G16" s="5">
        <v>0</v>
      </c>
      <c r="H16" s="5">
        <f t="shared" si="1"/>
        <v>41</v>
      </c>
      <c r="I16" s="7">
        <f t="shared" si="2"/>
        <v>5.8571428571428568</v>
      </c>
      <c r="J16" s="8">
        <f t="shared" si="3"/>
        <v>3.9268292682926833</v>
      </c>
      <c r="K16" s="15" t="s">
        <v>156</v>
      </c>
      <c r="L16" s="9"/>
      <c r="M16" s="9"/>
      <c r="N16" s="4"/>
      <c r="O16" s="4"/>
    </row>
    <row r="17" spans="1:15" x14ac:dyDescent="0.25">
      <c r="A17" s="4">
        <v>17</v>
      </c>
      <c r="B17" s="4" t="s">
        <v>29</v>
      </c>
      <c r="C17" s="5">
        <v>200</v>
      </c>
      <c r="D17" s="6">
        <v>269.64999999999998</v>
      </c>
      <c r="E17" s="5">
        <f t="shared" si="0"/>
        <v>53929.999999999993</v>
      </c>
      <c r="F17" s="5">
        <v>10</v>
      </c>
      <c r="G17" s="5">
        <v>0</v>
      </c>
      <c r="H17" s="5">
        <f t="shared" si="1"/>
        <v>10</v>
      </c>
      <c r="I17" s="7">
        <f t="shared" si="2"/>
        <v>1.4285714285714286</v>
      </c>
      <c r="J17" s="8">
        <f t="shared" si="3"/>
        <v>140</v>
      </c>
      <c r="K17" s="15" t="s">
        <v>156</v>
      </c>
      <c r="L17" s="9"/>
      <c r="M17" s="9"/>
      <c r="N17" s="4"/>
      <c r="O17" s="4"/>
    </row>
    <row r="18" spans="1:15" x14ac:dyDescent="0.25">
      <c r="A18" s="4">
        <v>18</v>
      </c>
      <c r="B18" s="4" t="s">
        <v>30</v>
      </c>
      <c r="C18" s="5">
        <v>400</v>
      </c>
      <c r="D18" s="6">
        <v>269.64999999999998</v>
      </c>
      <c r="E18" s="5">
        <f t="shared" si="0"/>
        <v>107859.99999999999</v>
      </c>
      <c r="F18" s="5">
        <v>13</v>
      </c>
      <c r="G18" s="5">
        <v>0</v>
      </c>
      <c r="H18" s="5">
        <f t="shared" si="1"/>
        <v>13</v>
      </c>
      <c r="I18" s="7">
        <f t="shared" si="2"/>
        <v>1.8571428571428572</v>
      </c>
      <c r="J18" s="8">
        <f t="shared" si="3"/>
        <v>215.38461538461539</v>
      </c>
      <c r="K18" s="15" t="s">
        <v>156</v>
      </c>
      <c r="L18" s="9"/>
      <c r="M18" s="9"/>
      <c r="N18" s="4"/>
      <c r="O18" s="4"/>
    </row>
    <row r="19" spans="1:15" x14ac:dyDescent="0.25">
      <c r="A19" s="4">
        <v>19</v>
      </c>
      <c r="B19" s="4" t="s">
        <v>31</v>
      </c>
      <c r="C19" s="5">
        <v>1000</v>
      </c>
      <c r="D19" s="6">
        <v>315.45</v>
      </c>
      <c r="E19" s="5">
        <f t="shared" si="0"/>
        <v>315450</v>
      </c>
      <c r="F19" s="5">
        <v>10</v>
      </c>
      <c r="G19" s="5">
        <v>0</v>
      </c>
      <c r="H19" s="5">
        <f t="shared" si="1"/>
        <v>10</v>
      </c>
      <c r="I19" s="7">
        <f t="shared" si="2"/>
        <v>1.4285714285714286</v>
      </c>
      <c r="J19" s="8">
        <f t="shared" si="3"/>
        <v>700</v>
      </c>
      <c r="K19" s="15" t="s">
        <v>156</v>
      </c>
      <c r="L19" s="9"/>
      <c r="M19" s="9"/>
      <c r="N19" s="4"/>
      <c r="O19" s="4"/>
    </row>
    <row r="20" spans="1:15" x14ac:dyDescent="0.25">
      <c r="A20" s="4">
        <v>20</v>
      </c>
      <c r="B20" s="4" t="s">
        <v>32</v>
      </c>
      <c r="C20" s="5">
        <v>352</v>
      </c>
      <c r="D20" s="6">
        <v>183.24</v>
      </c>
      <c r="E20" s="5">
        <f t="shared" si="0"/>
        <v>64500.480000000003</v>
      </c>
      <c r="F20" s="5">
        <v>28</v>
      </c>
      <c r="G20" s="5">
        <v>0</v>
      </c>
      <c r="H20" s="5">
        <f t="shared" si="1"/>
        <v>28</v>
      </c>
      <c r="I20" s="7">
        <f t="shared" si="2"/>
        <v>4</v>
      </c>
      <c r="J20" s="8">
        <f t="shared" si="3"/>
        <v>88</v>
      </c>
      <c r="K20" s="15" t="s">
        <v>155</v>
      </c>
      <c r="L20" s="9"/>
      <c r="M20" s="9" t="s">
        <v>158</v>
      </c>
      <c r="N20" s="4"/>
      <c r="O20" s="4"/>
    </row>
    <row r="21" spans="1:15" x14ac:dyDescent="0.25">
      <c r="A21" s="4">
        <v>21</v>
      </c>
      <c r="B21" s="4" t="s">
        <v>33</v>
      </c>
      <c r="C21" s="5">
        <v>539</v>
      </c>
      <c r="D21" s="6">
        <v>183.24</v>
      </c>
      <c r="E21" s="5">
        <f t="shared" si="0"/>
        <v>98766.36</v>
      </c>
      <c r="F21" s="5">
        <v>17</v>
      </c>
      <c r="G21" s="5">
        <v>0</v>
      </c>
      <c r="H21" s="5">
        <f t="shared" si="1"/>
        <v>17</v>
      </c>
      <c r="I21" s="7">
        <f t="shared" si="2"/>
        <v>2.4285714285714284</v>
      </c>
      <c r="J21" s="8">
        <f t="shared" si="3"/>
        <v>221.94117647058826</v>
      </c>
      <c r="K21" s="15" t="s">
        <v>155</v>
      </c>
      <c r="L21" s="9"/>
      <c r="M21" s="9" t="s">
        <v>158</v>
      </c>
      <c r="N21" s="4"/>
      <c r="O21" s="4"/>
    </row>
    <row r="22" spans="1:15" x14ac:dyDescent="0.25">
      <c r="A22" s="4">
        <v>22</v>
      </c>
      <c r="B22" s="4" t="s">
        <v>34</v>
      </c>
      <c r="C22" s="5">
        <v>694</v>
      </c>
      <c r="D22" s="6">
        <v>183.24</v>
      </c>
      <c r="E22" s="5">
        <f t="shared" si="0"/>
        <v>127168.56000000001</v>
      </c>
      <c r="F22" s="5">
        <v>12</v>
      </c>
      <c r="G22" s="5">
        <v>0</v>
      </c>
      <c r="H22" s="5">
        <f t="shared" si="1"/>
        <v>12</v>
      </c>
      <c r="I22" s="7">
        <f t="shared" si="2"/>
        <v>1.7142857142857142</v>
      </c>
      <c r="J22" s="8">
        <f t="shared" si="3"/>
        <v>404.83333333333337</v>
      </c>
      <c r="K22" s="15" t="s">
        <v>155</v>
      </c>
      <c r="L22" s="9"/>
      <c r="M22" s="9" t="s">
        <v>158</v>
      </c>
      <c r="N22" s="4"/>
      <c r="O22" s="4"/>
    </row>
    <row r="23" spans="1:15" x14ac:dyDescent="0.25">
      <c r="A23" s="4">
        <v>23</v>
      </c>
      <c r="B23" s="4" t="s">
        <v>35</v>
      </c>
      <c r="C23" s="5">
        <v>687</v>
      </c>
      <c r="D23" s="6">
        <v>189.27</v>
      </c>
      <c r="E23" s="5">
        <f t="shared" si="0"/>
        <v>130028.49</v>
      </c>
      <c r="F23" s="5">
        <v>12</v>
      </c>
      <c r="G23" s="5">
        <v>0</v>
      </c>
      <c r="H23" s="5">
        <f t="shared" si="1"/>
        <v>12</v>
      </c>
      <c r="I23" s="7">
        <f t="shared" si="2"/>
        <v>1.7142857142857142</v>
      </c>
      <c r="J23" s="8">
        <f t="shared" si="3"/>
        <v>400.75</v>
      </c>
      <c r="K23" s="15" t="s">
        <v>155</v>
      </c>
      <c r="L23" s="9"/>
      <c r="M23" s="9" t="s">
        <v>158</v>
      </c>
      <c r="N23" s="4"/>
      <c r="O23" s="4"/>
    </row>
    <row r="24" spans="1:15" x14ac:dyDescent="0.25">
      <c r="A24" s="4">
        <v>24</v>
      </c>
      <c r="B24" s="4" t="s">
        <v>36</v>
      </c>
      <c r="C24" s="5">
        <v>7182</v>
      </c>
      <c r="D24" s="6">
        <v>361.03</v>
      </c>
      <c r="E24" s="5">
        <f t="shared" si="0"/>
        <v>2592917.46</v>
      </c>
      <c r="F24" s="5">
        <v>67</v>
      </c>
      <c r="G24" s="5">
        <v>0</v>
      </c>
      <c r="H24" s="5">
        <f t="shared" si="1"/>
        <v>67</v>
      </c>
      <c r="I24" s="7">
        <f t="shared" si="2"/>
        <v>9.5714285714285712</v>
      </c>
      <c r="J24" s="8">
        <f t="shared" si="3"/>
        <v>750.35820895522386</v>
      </c>
      <c r="K24" s="15" t="s">
        <v>155</v>
      </c>
      <c r="L24" s="9"/>
      <c r="M24" s="9" t="s">
        <v>158</v>
      </c>
      <c r="N24" s="4"/>
      <c r="O24" s="4"/>
    </row>
    <row r="25" spans="1:15" x14ac:dyDescent="0.25">
      <c r="A25" s="4">
        <v>25</v>
      </c>
      <c r="B25" s="4" t="s">
        <v>37</v>
      </c>
      <c r="C25" s="5">
        <v>64</v>
      </c>
      <c r="D25" s="6">
        <v>292.89</v>
      </c>
      <c r="E25" s="5">
        <f t="shared" si="0"/>
        <v>18744.96</v>
      </c>
      <c r="F25" s="5">
        <v>35</v>
      </c>
      <c r="G25" s="5">
        <v>0</v>
      </c>
      <c r="H25" s="5">
        <f t="shared" si="1"/>
        <v>35</v>
      </c>
      <c r="I25" s="7">
        <f t="shared" si="2"/>
        <v>5</v>
      </c>
      <c r="J25" s="8">
        <f t="shared" si="3"/>
        <v>12.8</v>
      </c>
      <c r="K25" s="15" t="s">
        <v>155</v>
      </c>
      <c r="L25" s="9"/>
      <c r="M25" s="9" t="s">
        <v>158</v>
      </c>
      <c r="N25" s="4"/>
      <c r="O25" s="4"/>
    </row>
    <row r="26" spans="1:15" x14ac:dyDescent="0.25">
      <c r="A26" s="4">
        <v>26</v>
      </c>
      <c r="B26" s="4" t="s">
        <v>38</v>
      </c>
      <c r="C26" s="5">
        <v>2</v>
      </c>
      <c r="D26" s="6">
        <v>389.99</v>
      </c>
      <c r="E26" s="5">
        <f t="shared" si="0"/>
        <v>779.98</v>
      </c>
      <c r="F26" s="5">
        <v>0</v>
      </c>
      <c r="G26" s="5">
        <v>0</v>
      </c>
      <c r="H26" s="5">
        <f t="shared" si="1"/>
        <v>0</v>
      </c>
      <c r="I26" s="7">
        <f t="shared" si="2"/>
        <v>0</v>
      </c>
      <c r="J26" s="8" t="str">
        <f t="shared" si="3"/>
        <v>нет продаж</v>
      </c>
      <c r="K26" s="15" t="s">
        <v>155</v>
      </c>
      <c r="L26" s="9"/>
      <c r="M26" s="9" t="s">
        <v>158</v>
      </c>
      <c r="N26" s="4"/>
      <c r="O26" s="4"/>
    </row>
    <row r="27" spans="1:15" x14ac:dyDescent="0.25">
      <c r="A27" s="4">
        <v>27</v>
      </c>
      <c r="B27" s="4" t="s">
        <v>39</v>
      </c>
      <c r="C27" s="5">
        <v>6067</v>
      </c>
      <c r="D27" s="6">
        <v>347.76</v>
      </c>
      <c r="E27" s="5">
        <f t="shared" si="0"/>
        <v>2109859.92</v>
      </c>
      <c r="F27" s="5">
        <v>86</v>
      </c>
      <c r="G27" s="5">
        <v>0</v>
      </c>
      <c r="H27" s="5">
        <f t="shared" si="1"/>
        <v>86</v>
      </c>
      <c r="I27" s="7">
        <f t="shared" si="2"/>
        <v>12.285714285714286</v>
      </c>
      <c r="J27" s="8">
        <f t="shared" si="3"/>
        <v>493.82558139534882</v>
      </c>
      <c r="K27" s="15" t="s">
        <v>155</v>
      </c>
      <c r="L27" s="9"/>
      <c r="M27" s="9" t="s">
        <v>159</v>
      </c>
      <c r="N27" s="4"/>
      <c r="O27" s="4"/>
    </row>
    <row r="28" spans="1:15" x14ac:dyDescent="0.25">
      <c r="A28" s="4">
        <v>28</v>
      </c>
      <c r="B28" s="4" t="s">
        <v>40</v>
      </c>
      <c r="C28" s="5">
        <v>3200</v>
      </c>
      <c r="D28" s="6">
        <v>396.72</v>
      </c>
      <c r="E28" s="5">
        <f t="shared" si="0"/>
        <v>1269504</v>
      </c>
      <c r="F28" s="5">
        <v>38</v>
      </c>
      <c r="G28" s="5">
        <v>0</v>
      </c>
      <c r="H28" s="5">
        <f t="shared" si="1"/>
        <v>38</v>
      </c>
      <c r="I28" s="7">
        <f t="shared" si="2"/>
        <v>5.4285714285714288</v>
      </c>
      <c r="J28" s="8">
        <f t="shared" si="3"/>
        <v>589.47368421052624</v>
      </c>
      <c r="K28" s="15" t="s">
        <v>155</v>
      </c>
      <c r="L28" s="9"/>
      <c r="M28" s="9" t="s">
        <v>159</v>
      </c>
      <c r="N28" s="4"/>
      <c r="O28" s="4"/>
    </row>
    <row r="29" spans="1:15" x14ac:dyDescent="0.25">
      <c r="A29" s="4">
        <v>29</v>
      </c>
      <c r="B29" s="4" t="s">
        <v>41</v>
      </c>
      <c r="C29" s="5">
        <v>852</v>
      </c>
      <c r="D29" s="6">
        <v>431.05</v>
      </c>
      <c r="E29" s="5">
        <f t="shared" si="0"/>
        <v>367254.60000000003</v>
      </c>
      <c r="F29" s="5">
        <v>28</v>
      </c>
      <c r="G29" s="5">
        <v>0</v>
      </c>
      <c r="H29" s="5">
        <f t="shared" si="1"/>
        <v>28</v>
      </c>
      <c r="I29" s="7">
        <f t="shared" si="2"/>
        <v>4</v>
      </c>
      <c r="J29" s="8">
        <f t="shared" si="3"/>
        <v>213</v>
      </c>
      <c r="K29" s="15" t="s">
        <v>155</v>
      </c>
      <c r="L29" s="9"/>
      <c r="M29" s="9" t="s">
        <v>159</v>
      </c>
      <c r="N29" s="4"/>
      <c r="O29" s="4"/>
    </row>
    <row r="30" spans="1:15" x14ac:dyDescent="0.25">
      <c r="A30" s="4">
        <v>30</v>
      </c>
      <c r="B30" s="4" t="s">
        <v>42</v>
      </c>
      <c r="C30" s="5">
        <v>835</v>
      </c>
      <c r="D30" s="6">
        <v>313.83999999999997</v>
      </c>
      <c r="E30" s="5">
        <f t="shared" si="0"/>
        <v>262056.39999999997</v>
      </c>
      <c r="F30" s="5">
        <v>77</v>
      </c>
      <c r="G30" s="5">
        <v>0</v>
      </c>
      <c r="H30" s="5">
        <f t="shared" si="1"/>
        <v>77</v>
      </c>
      <c r="I30" s="7">
        <f t="shared" si="2"/>
        <v>11</v>
      </c>
      <c r="J30" s="8">
        <f t="shared" si="3"/>
        <v>75.909090909090907</v>
      </c>
      <c r="K30" s="15" t="s">
        <v>155</v>
      </c>
      <c r="L30" s="9"/>
      <c r="M30" s="9" t="s">
        <v>159</v>
      </c>
      <c r="N30" s="4"/>
      <c r="O30" s="4"/>
    </row>
    <row r="31" spans="1:15" x14ac:dyDescent="0.25">
      <c r="A31" s="4">
        <v>31</v>
      </c>
      <c r="B31" s="4" t="s">
        <v>43</v>
      </c>
      <c r="C31" s="5">
        <v>821</v>
      </c>
      <c r="D31" s="6">
        <v>390.46</v>
      </c>
      <c r="E31" s="5">
        <f t="shared" si="0"/>
        <v>320567.65999999997</v>
      </c>
      <c r="F31" s="5">
        <v>46</v>
      </c>
      <c r="G31" s="5">
        <v>0</v>
      </c>
      <c r="H31" s="5">
        <f t="shared" si="1"/>
        <v>46</v>
      </c>
      <c r="I31" s="7">
        <f t="shared" si="2"/>
        <v>6.5714285714285712</v>
      </c>
      <c r="J31" s="8">
        <f t="shared" si="3"/>
        <v>124.93478260869566</v>
      </c>
      <c r="K31" s="15" t="s">
        <v>155</v>
      </c>
      <c r="L31" s="9"/>
      <c r="M31" s="9" t="s">
        <v>159</v>
      </c>
      <c r="N31" s="4"/>
      <c r="O31" s="4"/>
    </row>
    <row r="32" spans="1:15" x14ac:dyDescent="0.25">
      <c r="A32" s="4">
        <v>32</v>
      </c>
      <c r="B32" s="4" t="s">
        <v>44</v>
      </c>
      <c r="C32" s="5">
        <v>2298</v>
      </c>
      <c r="D32" s="6">
        <v>400.76</v>
      </c>
      <c r="E32" s="5">
        <f t="shared" si="0"/>
        <v>920946.48</v>
      </c>
      <c r="F32" s="5">
        <v>44</v>
      </c>
      <c r="G32" s="5">
        <v>0</v>
      </c>
      <c r="H32" s="5">
        <f t="shared" si="1"/>
        <v>44</v>
      </c>
      <c r="I32" s="7">
        <f t="shared" si="2"/>
        <v>6.2857142857142856</v>
      </c>
      <c r="J32" s="8">
        <f t="shared" si="3"/>
        <v>365.59090909090912</v>
      </c>
      <c r="K32" s="15" t="s">
        <v>155</v>
      </c>
      <c r="L32" s="9"/>
      <c r="M32" s="9" t="s">
        <v>159</v>
      </c>
      <c r="N32" s="4"/>
      <c r="O32" s="4"/>
    </row>
    <row r="33" spans="1:15" x14ac:dyDescent="0.25">
      <c r="A33" s="4">
        <v>33</v>
      </c>
      <c r="B33" s="4" t="s">
        <v>45</v>
      </c>
      <c r="C33" s="5">
        <v>3374</v>
      </c>
      <c r="D33" s="6">
        <v>396.72</v>
      </c>
      <c r="E33" s="5">
        <f t="shared" ref="E33:E64" si="4">C33*D33</f>
        <v>1338533.28</v>
      </c>
      <c r="F33" s="5">
        <v>34</v>
      </c>
      <c r="G33" s="5">
        <v>0</v>
      </c>
      <c r="H33" s="5">
        <f t="shared" ref="H33:H64" si="5">F33+G33</f>
        <v>34</v>
      </c>
      <c r="I33" s="7">
        <f t="shared" ref="I33:I64" si="6">H33/7</f>
        <v>4.8571428571428568</v>
      </c>
      <c r="J33" s="8">
        <f t="shared" ref="J33:J64" si="7">IF(I33&gt;0,C33/I33,"нет продаж")</f>
        <v>694.64705882352951</v>
      </c>
      <c r="K33" s="15" t="s">
        <v>155</v>
      </c>
      <c r="L33" s="9"/>
      <c r="M33" s="9" t="s">
        <v>159</v>
      </c>
      <c r="N33" s="4"/>
      <c r="O33" s="4"/>
    </row>
    <row r="34" spans="1:15" x14ac:dyDescent="0.25">
      <c r="A34" s="4">
        <v>34</v>
      </c>
      <c r="B34" s="4" t="s">
        <v>46</v>
      </c>
      <c r="C34" s="5">
        <v>156</v>
      </c>
      <c r="D34" s="6">
        <v>231.73</v>
      </c>
      <c r="E34" s="5">
        <f t="shared" si="4"/>
        <v>36149.879999999997</v>
      </c>
      <c r="F34" s="5">
        <v>13</v>
      </c>
      <c r="G34" s="5">
        <v>0</v>
      </c>
      <c r="H34" s="5">
        <f t="shared" si="5"/>
        <v>13</v>
      </c>
      <c r="I34" s="7">
        <f t="shared" si="6"/>
        <v>1.8571428571428572</v>
      </c>
      <c r="J34" s="8">
        <f t="shared" si="7"/>
        <v>84</v>
      </c>
      <c r="K34" s="15" t="s">
        <v>155</v>
      </c>
      <c r="L34" s="9"/>
      <c r="M34" s="9" t="s">
        <v>159</v>
      </c>
      <c r="N34" s="4"/>
      <c r="O34" s="4"/>
    </row>
    <row r="35" spans="1:15" x14ac:dyDescent="0.25">
      <c r="A35" s="4">
        <v>35</v>
      </c>
      <c r="B35" s="4" t="s">
        <v>47</v>
      </c>
      <c r="C35" s="5">
        <v>239</v>
      </c>
      <c r="D35" s="6">
        <v>484.42</v>
      </c>
      <c r="E35" s="5">
        <f t="shared" si="4"/>
        <v>115776.38</v>
      </c>
      <c r="F35" s="5">
        <v>19</v>
      </c>
      <c r="G35" s="5">
        <v>0</v>
      </c>
      <c r="H35" s="5">
        <f t="shared" si="5"/>
        <v>19</v>
      </c>
      <c r="I35" s="7">
        <f t="shared" si="6"/>
        <v>2.7142857142857144</v>
      </c>
      <c r="J35" s="8">
        <f t="shared" si="7"/>
        <v>88.05263157894737</v>
      </c>
      <c r="K35" s="15" t="s">
        <v>155</v>
      </c>
      <c r="L35" s="9"/>
      <c r="M35" s="9" t="s">
        <v>159</v>
      </c>
      <c r="N35" s="4"/>
      <c r="O35" s="4"/>
    </row>
    <row r="36" spans="1:15" x14ac:dyDescent="0.25">
      <c r="A36" s="4">
        <v>36</v>
      </c>
      <c r="B36" s="4" t="s">
        <v>48</v>
      </c>
      <c r="C36" s="5">
        <v>382</v>
      </c>
      <c r="D36" s="6">
        <v>161.47</v>
      </c>
      <c r="E36" s="5">
        <f t="shared" si="4"/>
        <v>61681.54</v>
      </c>
      <c r="F36" s="5">
        <v>11</v>
      </c>
      <c r="G36" s="5">
        <v>0</v>
      </c>
      <c r="H36" s="5">
        <f t="shared" si="5"/>
        <v>11</v>
      </c>
      <c r="I36" s="7">
        <f t="shared" si="6"/>
        <v>1.5714285714285714</v>
      </c>
      <c r="J36" s="8">
        <f t="shared" si="7"/>
        <v>243.09090909090909</v>
      </c>
      <c r="K36" s="15" t="s">
        <v>155</v>
      </c>
      <c r="L36" s="9"/>
      <c r="M36" s="9" t="s">
        <v>159</v>
      </c>
      <c r="N36" s="4"/>
      <c r="O36" s="4"/>
    </row>
    <row r="37" spans="1:15" x14ac:dyDescent="0.25">
      <c r="A37" s="4">
        <v>37</v>
      </c>
      <c r="B37" s="4" t="s">
        <v>49</v>
      </c>
      <c r="C37" s="5">
        <v>930</v>
      </c>
      <c r="D37" s="6">
        <v>770.48</v>
      </c>
      <c r="E37" s="5">
        <f t="shared" si="4"/>
        <v>716546.4</v>
      </c>
      <c r="F37" s="5">
        <v>28</v>
      </c>
      <c r="G37" s="5">
        <v>0</v>
      </c>
      <c r="H37" s="5">
        <f t="shared" si="5"/>
        <v>28</v>
      </c>
      <c r="I37" s="7">
        <f t="shared" si="6"/>
        <v>4</v>
      </c>
      <c r="J37" s="8">
        <f t="shared" si="7"/>
        <v>232.5</v>
      </c>
      <c r="K37" s="15" t="s">
        <v>155</v>
      </c>
      <c r="L37" s="9"/>
      <c r="M37" s="9" t="s">
        <v>158</v>
      </c>
      <c r="N37" s="4"/>
      <c r="O37" s="4"/>
    </row>
    <row r="38" spans="1:15" x14ac:dyDescent="0.25">
      <c r="A38" s="4">
        <v>38</v>
      </c>
      <c r="B38" s="4" t="s">
        <v>50</v>
      </c>
      <c r="C38" s="5">
        <v>7139</v>
      </c>
      <c r="D38" s="6">
        <v>202.27</v>
      </c>
      <c r="E38" s="5">
        <f t="shared" si="4"/>
        <v>1444005.53</v>
      </c>
      <c r="F38" s="5">
        <v>80</v>
      </c>
      <c r="G38" s="5">
        <v>0</v>
      </c>
      <c r="H38" s="5">
        <f t="shared" si="5"/>
        <v>80</v>
      </c>
      <c r="I38" s="7">
        <f t="shared" si="6"/>
        <v>11.428571428571429</v>
      </c>
      <c r="J38" s="8">
        <f t="shared" si="7"/>
        <v>624.66250000000002</v>
      </c>
      <c r="K38" s="15" t="s">
        <v>155</v>
      </c>
      <c r="L38" s="9"/>
      <c r="M38" s="9" t="s">
        <v>157</v>
      </c>
      <c r="N38" s="4"/>
      <c r="O38" s="4"/>
    </row>
    <row r="39" spans="1:15" x14ac:dyDescent="0.25">
      <c r="A39" s="4">
        <v>39</v>
      </c>
      <c r="B39" s="4" t="s">
        <v>51</v>
      </c>
      <c r="C39" s="5">
        <v>777</v>
      </c>
      <c r="D39" s="6">
        <v>185.86</v>
      </c>
      <c r="E39" s="5">
        <f t="shared" si="4"/>
        <v>144413.22</v>
      </c>
      <c r="F39" s="5">
        <v>62</v>
      </c>
      <c r="G39" s="5">
        <v>0</v>
      </c>
      <c r="H39" s="5">
        <f t="shared" si="5"/>
        <v>62</v>
      </c>
      <c r="I39" s="7">
        <f t="shared" si="6"/>
        <v>8.8571428571428577</v>
      </c>
      <c r="J39" s="8">
        <f t="shared" si="7"/>
        <v>87.725806451612897</v>
      </c>
      <c r="K39" s="15" t="s">
        <v>155</v>
      </c>
      <c r="L39" s="9"/>
      <c r="M39" s="9" t="s">
        <v>157</v>
      </c>
      <c r="N39" s="4"/>
      <c r="O39" s="4"/>
    </row>
    <row r="40" spans="1:15" x14ac:dyDescent="0.25">
      <c r="A40" s="4">
        <v>40</v>
      </c>
      <c r="B40" s="4" t="s">
        <v>52</v>
      </c>
      <c r="C40" s="5">
        <v>1598</v>
      </c>
      <c r="D40" s="6">
        <v>202.27</v>
      </c>
      <c r="E40" s="5">
        <f t="shared" si="4"/>
        <v>323227.46000000002</v>
      </c>
      <c r="F40" s="5">
        <v>22</v>
      </c>
      <c r="G40" s="5">
        <v>0</v>
      </c>
      <c r="H40" s="5">
        <f t="shared" si="5"/>
        <v>22</v>
      </c>
      <c r="I40" s="7">
        <f t="shared" si="6"/>
        <v>3.1428571428571428</v>
      </c>
      <c r="J40" s="8">
        <f t="shared" si="7"/>
        <v>508.45454545454544</v>
      </c>
      <c r="K40" s="15" t="s">
        <v>155</v>
      </c>
      <c r="L40" s="9"/>
      <c r="M40" s="9" t="s">
        <v>157</v>
      </c>
      <c r="N40" s="4"/>
      <c r="O40" s="4"/>
    </row>
    <row r="41" spans="1:15" x14ac:dyDescent="0.25">
      <c r="A41" s="4">
        <v>41</v>
      </c>
      <c r="B41" s="4" t="s">
        <v>53</v>
      </c>
      <c r="C41" s="5">
        <v>1302</v>
      </c>
      <c r="D41" s="6">
        <v>334.05</v>
      </c>
      <c r="E41" s="5">
        <f t="shared" si="4"/>
        <v>434933.10000000003</v>
      </c>
      <c r="F41" s="5">
        <v>12</v>
      </c>
      <c r="G41" s="5">
        <v>1</v>
      </c>
      <c r="H41" s="5">
        <f t="shared" si="5"/>
        <v>13</v>
      </c>
      <c r="I41" s="7">
        <f t="shared" si="6"/>
        <v>1.8571428571428572</v>
      </c>
      <c r="J41" s="8">
        <f t="shared" si="7"/>
        <v>701.07692307692309</v>
      </c>
      <c r="K41" s="15" t="s">
        <v>155</v>
      </c>
      <c r="L41" s="9"/>
      <c r="M41" s="9" t="s">
        <v>157</v>
      </c>
      <c r="N41" s="4"/>
      <c r="O41" s="4"/>
    </row>
    <row r="42" spans="1:15" x14ac:dyDescent="0.25">
      <c r="A42" s="4">
        <v>42</v>
      </c>
      <c r="B42" s="4" t="s">
        <v>54</v>
      </c>
      <c r="C42" s="5">
        <v>1134</v>
      </c>
      <c r="D42" s="6">
        <v>265.36</v>
      </c>
      <c r="E42" s="5">
        <f t="shared" si="4"/>
        <v>300918.24</v>
      </c>
      <c r="F42" s="5">
        <v>4</v>
      </c>
      <c r="G42" s="5">
        <v>0</v>
      </c>
      <c r="H42" s="5">
        <f t="shared" si="5"/>
        <v>4</v>
      </c>
      <c r="I42" s="7">
        <f t="shared" si="6"/>
        <v>0.5714285714285714</v>
      </c>
      <c r="J42" s="8">
        <f t="shared" si="7"/>
        <v>1984.5</v>
      </c>
      <c r="K42" s="15" t="s">
        <v>155</v>
      </c>
      <c r="L42" s="9"/>
      <c r="M42" s="9" t="s">
        <v>157</v>
      </c>
      <c r="N42" s="4"/>
      <c r="O42" s="4"/>
    </row>
    <row r="43" spans="1:15" x14ac:dyDescent="0.25">
      <c r="A43" s="4">
        <v>43</v>
      </c>
      <c r="B43" s="4" t="s">
        <v>55</v>
      </c>
      <c r="C43" s="5">
        <v>1185</v>
      </c>
      <c r="D43" s="6">
        <v>265.36</v>
      </c>
      <c r="E43" s="5">
        <f t="shared" si="4"/>
        <v>314451.60000000003</v>
      </c>
      <c r="F43" s="5">
        <v>7</v>
      </c>
      <c r="G43" s="5">
        <v>1</v>
      </c>
      <c r="H43" s="5">
        <f t="shared" si="5"/>
        <v>8</v>
      </c>
      <c r="I43" s="7">
        <f t="shared" si="6"/>
        <v>1.1428571428571428</v>
      </c>
      <c r="J43" s="8">
        <f t="shared" si="7"/>
        <v>1036.875</v>
      </c>
      <c r="K43" s="15" t="s">
        <v>155</v>
      </c>
      <c r="L43" s="9"/>
      <c r="M43" s="9" t="s">
        <v>157</v>
      </c>
      <c r="N43" s="4"/>
      <c r="O43" s="4"/>
    </row>
    <row r="44" spans="1:15" x14ac:dyDescent="0.25">
      <c r="A44" s="4">
        <v>44</v>
      </c>
      <c r="B44" s="4" t="s">
        <v>56</v>
      </c>
      <c r="C44" s="5">
        <v>222</v>
      </c>
      <c r="D44" s="6">
        <v>265.36</v>
      </c>
      <c r="E44" s="5">
        <f t="shared" si="4"/>
        <v>58909.920000000006</v>
      </c>
      <c r="F44" s="5">
        <v>2</v>
      </c>
      <c r="G44" s="5">
        <v>0</v>
      </c>
      <c r="H44" s="5">
        <f t="shared" si="5"/>
        <v>2</v>
      </c>
      <c r="I44" s="7">
        <f t="shared" si="6"/>
        <v>0.2857142857142857</v>
      </c>
      <c r="J44" s="8">
        <f t="shared" si="7"/>
        <v>777</v>
      </c>
      <c r="K44" s="15" t="s">
        <v>155</v>
      </c>
      <c r="L44" s="9"/>
      <c r="M44" s="9" t="s">
        <v>157</v>
      </c>
      <c r="N44" s="4"/>
      <c r="O44" s="4"/>
    </row>
    <row r="45" spans="1:15" x14ac:dyDescent="0.25">
      <c r="A45" s="4">
        <v>45</v>
      </c>
      <c r="B45" s="4" t="s">
        <v>57</v>
      </c>
      <c r="C45" s="5">
        <v>202</v>
      </c>
      <c r="D45" s="6">
        <v>265.36</v>
      </c>
      <c r="E45" s="5">
        <f t="shared" si="4"/>
        <v>53602.720000000001</v>
      </c>
      <c r="F45" s="5">
        <v>6</v>
      </c>
      <c r="G45" s="5">
        <v>0</v>
      </c>
      <c r="H45" s="5">
        <f t="shared" si="5"/>
        <v>6</v>
      </c>
      <c r="I45" s="7">
        <f t="shared" si="6"/>
        <v>0.8571428571428571</v>
      </c>
      <c r="J45" s="8">
        <f t="shared" si="7"/>
        <v>235.66666666666669</v>
      </c>
      <c r="K45" s="15" t="s">
        <v>155</v>
      </c>
      <c r="L45" s="9"/>
      <c r="M45" s="9" t="s">
        <v>157</v>
      </c>
      <c r="N45" s="4"/>
      <c r="O45" s="4"/>
    </row>
    <row r="46" spans="1:15" x14ac:dyDescent="0.25">
      <c r="A46" s="4">
        <v>46</v>
      </c>
      <c r="B46" s="4" t="s">
        <v>58</v>
      </c>
      <c r="C46" s="5">
        <v>980</v>
      </c>
      <c r="D46" s="6">
        <v>463.2</v>
      </c>
      <c r="E46" s="5">
        <f t="shared" si="4"/>
        <v>453936</v>
      </c>
      <c r="F46" s="5">
        <v>23</v>
      </c>
      <c r="G46" s="5">
        <v>0</v>
      </c>
      <c r="H46" s="5">
        <f t="shared" si="5"/>
        <v>23</v>
      </c>
      <c r="I46" s="7">
        <f t="shared" si="6"/>
        <v>3.2857142857142856</v>
      </c>
      <c r="J46" s="8">
        <f t="shared" si="7"/>
        <v>298.26086956521738</v>
      </c>
      <c r="K46" s="15" t="s">
        <v>156</v>
      </c>
      <c r="L46" s="9"/>
      <c r="M46" s="9"/>
      <c r="N46" s="4"/>
      <c r="O46" s="4"/>
    </row>
    <row r="47" spans="1:15" x14ac:dyDescent="0.25">
      <c r="A47" s="4">
        <v>47</v>
      </c>
      <c r="B47" s="4" t="s">
        <v>59</v>
      </c>
      <c r="C47" s="5">
        <v>832</v>
      </c>
      <c r="D47" s="6">
        <v>463.2</v>
      </c>
      <c r="E47" s="5">
        <f t="shared" si="4"/>
        <v>385382.39999999997</v>
      </c>
      <c r="F47" s="5">
        <v>32</v>
      </c>
      <c r="G47" s="5">
        <v>11</v>
      </c>
      <c r="H47" s="5">
        <f t="shared" si="5"/>
        <v>43</v>
      </c>
      <c r="I47" s="7">
        <f t="shared" si="6"/>
        <v>6.1428571428571432</v>
      </c>
      <c r="J47" s="8">
        <f t="shared" si="7"/>
        <v>135.44186046511626</v>
      </c>
      <c r="K47" s="15" t="s">
        <v>156</v>
      </c>
      <c r="L47" s="9"/>
      <c r="M47" s="9"/>
      <c r="N47" s="4"/>
      <c r="O47" s="4"/>
    </row>
    <row r="48" spans="1:15" x14ac:dyDescent="0.25">
      <c r="A48" s="4">
        <v>48</v>
      </c>
      <c r="B48" s="4" t="s">
        <v>60</v>
      </c>
      <c r="C48" s="5">
        <v>353</v>
      </c>
      <c r="D48" s="6">
        <v>108.15</v>
      </c>
      <c r="E48" s="5">
        <f t="shared" si="4"/>
        <v>38176.950000000004</v>
      </c>
      <c r="F48" s="5">
        <v>2</v>
      </c>
      <c r="G48" s="5">
        <v>1</v>
      </c>
      <c r="H48" s="5">
        <f t="shared" si="5"/>
        <v>3</v>
      </c>
      <c r="I48" s="7">
        <f t="shared" si="6"/>
        <v>0.42857142857142855</v>
      </c>
      <c r="J48" s="8">
        <f t="shared" si="7"/>
        <v>823.66666666666674</v>
      </c>
      <c r="K48" s="15" t="s">
        <v>156</v>
      </c>
      <c r="L48" s="9"/>
      <c r="M48" s="9"/>
      <c r="N48" s="4"/>
      <c r="O48" s="4"/>
    </row>
    <row r="49" spans="1:15" x14ac:dyDescent="0.25">
      <c r="A49" s="4">
        <v>49</v>
      </c>
      <c r="B49" s="4" t="s">
        <v>61</v>
      </c>
      <c r="C49" s="5">
        <v>226</v>
      </c>
      <c r="D49" s="6">
        <v>130.86000000000001</v>
      </c>
      <c r="E49" s="5">
        <f t="shared" si="4"/>
        <v>29574.360000000004</v>
      </c>
      <c r="F49" s="5">
        <v>18</v>
      </c>
      <c r="G49" s="5">
        <v>0</v>
      </c>
      <c r="H49" s="5">
        <f t="shared" si="5"/>
        <v>18</v>
      </c>
      <c r="I49" s="7">
        <f t="shared" si="6"/>
        <v>2.5714285714285716</v>
      </c>
      <c r="J49" s="8">
        <f t="shared" si="7"/>
        <v>87.888888888888886</v>
      </c>
      <c r="K49" s="15" t="s">
        <v>155</v>
      </c>
      <c r="L49" s="9"/>
      <c r="M49" s="9" t="s">
        <v>157</v>
      </c>
      <c r="N49" s="4"/>
      <c r="O49" s="4"/>
    </row>
    <row r="50" spans="1:15" x14ac:dyDescent="0.25">
      <c r="A50" s="4">
        <v>50</v>
      </c>
      <c r="B50" s="4" t="s">
        <v>62</v>
      </c>
      <c r="C50" s="5">
        <v>1246</v>
      </c>
      <c r="D50" s="6">
        <v>899.78</v>
      </c>
      <c r="E50" s="5">
        <f t="shared" si="4"/>
        <v>1121125.8799999999</v>
      </c>
      <c r="F50" s="5">
        <v>18</v>
      </c>
      <c r="G50" s="5">
        <v>0</v>
      </c>
      <c r="H50" s="5">
        <f t="shared" si="5"/>
        <v>18</v>
      </c>
      <c r="I50" s="7">
        <f t="shared" si="6"/>
        <v>2.5714285714285716</v>
      </c>
      <c r="J50" s="8">
        <f t="shared" si="7"/>
        <v>484.55555555555554</v>
      </c>
      <c r="K50" s="15" t="s">
        <v>155</v>
      </c>
      <c r="L50" s="9"/>
      <c r="M50" s="9" t="s">
        <v>159</v>
      </c>
      <c r="N50" s="4"/>
      <c r="O50" s="4"/>
    </row>
    <row r="51" spans="1:15" x14ac:dyDescent="0.25">
      <c r="A51" s="4">
        <v>51</v>
      </c>
      <c r="B51" s="4" t="s">
        <v>63</v>
      </c>
      <c r="C51" s="5">
        <v>639</v>
      </c>
      <c r="D51" s="6">
        <v>646.83000000000004</v>
      </c>
      <c r="E51" s="5">
        <f t="shared" si="4"/>
        <v>413324.37000000005</v>
      </c>
      <c r="F51" s="5">
        <v>23</v>
      </c>
      <c r="G51" s="5">
        <v>8</v>
      </c>
      <c r="H51" s="5">
        <f t="shared" si="5"/>
        <v>31</v>
      </c>
      <c r="I51" s="7">
        <f t="shared" si="6"/>
        <v>4.4285714285714288</v>
      </c>
      <c r="J51" s="8">
        <f t="shared" si="7"/>
        <v>144.29032258064515</v>
      </c>
      <c r="K51" s="15" t="s">
        <v>155</v>
      </c>
      <c r="L51" s="9"/>
      <c r="M51" s="9" t="s">
        <v>159</v>
      </c>
      <c r="N51" s="4"/>
      <c r="O51" s="4"/>
    </row>
    <row r="52" spans="1:15" x14ac:dyDescent="0.25">
      <c r="A52" s="4">
        <v>52</v>
      </c>
      <c r="B52" s="4" t="s">
        <v>64</v>
      </c>
      <c r="C52" s="5">
        <v>490</v>
      </c>
      <c r="D52" s="6">
        <v>735.34</v>
      </c>
      <c r="E52" s="5">
        <f t="shared" si="4"/>
        <v>360316.60000000003</v>
      </c>
      <c r="F52" s="5">
        <v>26</v>
      </c>
      <c r="G52" s="5">
        <v>0</v>
      </c>
      <c r="H52" s="5">
        <f t="shared" si="5"/>
        <v>26</v>
      </c>
      <c r="I52" s="7">
        <f t="shared" si="6"/>
        <v>3.7142857142857144</v>
      </c>
      <c r="J52" s="8">
        <f t="shared" si="7"/>
        <v>131.92307692307691</v>
      </c>
      <c r="K52" s="15" t="s">
        <v>155</v>
      </c>
      <c r="L52" s="9"/>
      <c r="M52" s="9" t="s">
        <v>159</v>
      </c>
      <c r="N52" s="4"/>
      <c r="O52" s="4"/>
    </row>
    <row r="53" spans="1:15" x14ac:dyDescent="0.25">
      <c r="A53" s="4">
        <v>53</v>
      </c>
      <c r="B53" s="4" t="s">
        <v>65</v>
      </c>
      <c r="C53" s="5">
        <v>151</v>
      </c>
      <c r="D53" s="6">
        <v>853</v>
      </c>
      <c r="E53" s="5">
        <f t="shared" si="4"/>
        <v>128803</v>
      </c>
      <c r="F53" s="5">
        <v>8</v>
      </c>
      <c r="G53" s="5">
        <v>0</v>
      </c>
      <c r="H53" s="5">
        <f t="shared" si="5"/>
        <v>8</v>
      </c>
      <c r="I53" s="7">
        <f t="shared" si="6"/>
        <v>1.1428571428571428</v>
      </c>
      <c r="J53" s="8">
        <f t="shared" si="7"/>
        <v>132.125</v>
      </c>
      <c r="K53" s="15" t="s">
        <v>155</v>
      </c>
      <c r="L53" s="9"/>
      <c r="M53" s="9" t="s">
        <v>159</v>
      </c>
      <c r="N53" s="4"/>
      <c r="O53" s="4"/>
    </row>
    <row r="54" spans="1:15" x14ac:dyDescent="0.25">
      <c r="A54" s="4">
        <v>54</v>
      </c>
      <c r="B54" s="4" t="s">
        <v>66</v>
      </c>
      <c r="C54" s="5">
        <v>477</v>
      </c>
      <c r="D54" s="6">
        <v>739.91</v>
      </c>
      <c r="E54" s="5">
        <f t="shared" si="4"/>
        <v>352937.07</v>
      </c>
      <c r="F54" s="5">
        <v>14</v>
      </c>
      <c r="G54" s="5">
        <v>7</v>
      </c>
      <c r="H54" s="5">
        <f t="shared" si="5"/>
        <v>21</v>
      </c>
      <c r="I54" s="7">
        <f t="shared" si="6"/>
        <v>3</v>
      </c>
      <c r="J54" s="8">
        <f t="shared" si="7"/>
        <v>159</v>
      </c>
      <c r="K54" s="15" t="s">
        <v>155</v>
      </c>
      <c r="L54" s="9"/>
      <c r="M54" s="9" t="s">
        <v>159</v>
      </c>
      <c r="N54" s="4"/>
      <c r="O54" s="4"/>
    </row>
    <row r="55" spans="1:15" x14ac:dyDescent="0.25">
      <c r="A55" s="4">
        <v>55</v>
      </c>
      <c r="B55" s="4" t="s">
        <v>67</v>
      </c>
      <c r="C55" s="5">
        <v>603</v>
      </c>
      <c r="D55" s="6">
        <v>996.75</v>
      </c>
      <c r="E55" s="5">
        <f t="shared" si="4"/>
        <v>601040.25</v>
      </c>
      <c r="F55" s="5">
        <v>2</v>
      </c>
      <c r="G55" s="5">
        <v>8</v>
      </c>
      <c r="H55" s="5">
        <f t="shared" si="5"/>
        <v>10</v>
      </c>
      <c r="I55" s="7">
        <f t="shared" si="6"/>
        <v>1.4285714285714286</v>
      </c>
      <c r="J55" s="8">
        <f t="shared" si="7"/>
        <v>422.09999999999997</v>
      </c>
      <c r="K55" s="15" t="s">
        <v>155</v>
      </c>
      <c r="L55" s="9"/>
      <c r="M55" s="9" t="s">
        <v>159</v>
      </c>
      <c r="N55" s="4"/>
      <c r="O55" s="4"/>
    </row>
    <row r="56" spans="1:15" x14ac:dyDescent="0.25">
      <c r="A56" s="4">
        <v>56</v>
      </c>
      <c r="B56" s="4" t="s">
        <v>68</v>
      </c>
      <c r="C56" s="5">
        <v>105</v>
      </c>
      <c r="D56" s="6">
        <v>669.05</v>
      </c>
      <c r="E56" s="5">
        <f t="shared" si="4"/>
        <v>70250.25</v>
      </c>
      <c r="F56" s="5">
        <v>0</v>
      </c>
      <c r="G56" s="5">
        <v>0</v>
      </c>
      <c r="H56" s="5">
        <f t="shared" si="5"/>
        <v>0</v>
      </c>
      <c r="I56" s="7">
        <f t="shared" si="6"/>
        <v>0</v>
      </c>
      <c r="J56" s="8" t="str">
        <f t="shared" si="7"/>
        <v>нет продаж</v>
      </c>
      <c r="K56" s="15"/>
      <c r="L56" s="9"/>
      <c r="M56" s="9" t="s">
        <v>162</v>
      </c>
      <c r="N56" s="4"/>
      <c r="O56" s="4"/>
    </row>
    <row r="57" spans="1:15" x14ac:dyDescent="0.25">
      <c r="A57" s="4">
        <v>57</v>
      </c>
      <c r="B57" s="4" t="s">
        <v>69</v>
      </c>
      <c r="C57" s="5">
        <v>641</v>
      </c>
      <c r="D57" s="6">
        <v>385.05</v>
      </c>
      <c r="E57" s="5">
        <f t="shared" si="4"/>
        <v>246817.05000000002</v>
      </c>
      <c r="F57" s="5">
        <v>8</v>
      </c>
      <c r="G57" s="5">
        <v>0</v>
      </c>
      <c r="H57" s="5">
        <f t="shared" si="5"/>
        <v>8</v>
      </c>
      <c r="I57" s="7">
        <f t="shared" si="6"/>
        <v>1.1428571428571428</v>
      </c>
      <c r="J57" s="8">
        <f t="shared" si="7"/>
        <v>560.875</v>
      </c>
      <c r="K57" s="15" t="s">
        <v>155</v>
      </c>
      <c r="L57" s="9"/>
      <c r="M57" s="9" t="s">
        <v>157</v>
      </c>
      <c r="N57" s="4"/>
      <c r="O57" s="4"/>
    </row>
    <row r="58" spans="1:15" x14ac:dyDescent="0.25">
      <c r="A58" s="4">
        <v>58</v>
      </c>
      <c r="B58" s="4" t="s">
        <v>70</v>
      </c>
      <c r="C58" s="5">
        <v>406</v>
      </c>
      <c r="D58" s="6">
        <v>486.69</v>
      </c>
      <c r="E58" s="5">
        <f t="shared" si="4"/>
        <v>197596.13999999998</v>
      </c>
      <c r="F58" s="5">
        <v>9</v>
      </c>
      <c r="G58" s="5">
        <v>0</v>
      </c>
      <c r="H58" s="5">
        <f t="shared" si="5"/>
        <v>9</v>
      </c>
      <c r="I58" s="7">
        <f t="shared" si="6"/>
        <v>1.2857142857142858</v>
      </c>
      <c r="J58" s="8">
        <f t="shared" si="7"/>
        <v>315.77777777777777</v>
      </c>
      <c r="K58" s="15" t="s">
        <v>155</v>
      </c>
      <c r="L58" s="9"/>
      <c r="M58" s="9" t="s">
        <v>157</v>
      </c>
      <c r="N58" s="4"/>
      <c r="O58" s="4"/>
    </row>
    <row r="59" spans="1:15" x14ac:dyDescent="0.25">
      <c r="A59" s="4">
        <v>59</v>
      </c>
      <c r="B59" s="4" t="s">
        <v>71</v>
      </c>
      <c r="C59" s="5">
        <v>156</v>
      </c>
      <c r="D59" s="6">
        <v>415.46</v>
      </c>
      <c r="E59" s="5">
        <f t="shared" si="4"/>
        <v>64811.759999999995</v>
      </c>
      <c r="F59" s="5">
        <v>29</v>
      </c>
      <c r="G59" s="5">
        <v>0</v>
      </c>
      <c r="H59" s="5">
        <f t="shared" si="5"/>
        <v>29</v>
      </c>
      <c r="I59" s="7">
        <f t="shared" si="6"/>
        <v>4.1428571428571432</v>
      </c>
      <c r="J59" s="8">
        <f t="shared" si="7"/>
        <v>37.655172413793103</v>
      </c>
      <c r="K59" s="15" t="s">
        <v>155</v>
      </c>
      <c r="L59" s="9"/>
      <c r="M59" s="9" t="s">
        <v>157</v>
      </c>
      <c r="N59" s="4"/>
      <c r="O59" s="4"/>
    </row>
    <row r="60" spans="1:15" x14ac:dyDescent="0.25">
      <c r="A60" s="4">
        <v>60</v>
      </c>
      <c r="B60" s="4" t="s">
        <v>72</v>
      </c>
      <c r="C60" s="5">
        <v>89</v>
      </c>
      <c r="D60" s="6">
        <v>591.29</v>
      </c>
      <c r="E60" s="5">
        <f t="shared" si="4"/>
        <v>52624.81</v>
      </c>
      <c r="F60" s="5">
        <v>3</v>
      </c>
      <c r="G60" s="5">
        <v>1</v>
      </c>
      <c r="H60" s="5">
        <f t="shared" si="5"/>
        <v>4</v>
      </c>
      <c r="I60" s="7">
        <f t="shared" si="6"/>
        <v>0.5714285714285714</v>
      </c>
      <c r="J60" s="8">
        <f t="shared" si="7"/>
        <v>155.75</v>
      </c>
      <c r="K60" s="15" t="s">
        <v>155</v>
      </c>
      <c r="L60" s="9"/>
      <c r="M60" s="9" t="s">
        <v>157</v>
      </c>
      <c r="N60" s="4"/>
      <c r="O60" s="4"/>
    </row>
    <row r="61" spans="1:15" x14ac:dyDescent="0.25">
      <c r="A61" s="4">
        <v>61</v>
      </c>
      <c r="B61" s="4" t="s">
        <v>73</v>
      </c>
      <c r="C61" s="5">
        <v>144</v>
      </c>
      <c r="D61" s="6">
        <v>415.46</v>
      </c>
      <c r="E61" s="5">
        <f t="shared" si="4"/>
        <v>59826.239999999998</v>
      </c>
      <c r="F61" s="5">
        <v>5</v>
      </c>
      <c r="G61" s="5">
        <v>0</v>
      </c>
      <c r="H61" s="5">
        <f t="shared" si="5"/>
        <v>5</v>
      </c>
      <c r="I61" s="7">
        <f t="shared" si="6"/>
        <v>0.7142857142857143</v>
      </c>
      <c r="J61" s="8">
        <f t="shared" si="7"/>
        <v>201.6</v>
      </c>
      <c r="K61" s="15" t="s">
        <v>155</v>
      </c>
      <c r="L61" s="9"/>
      <c r="M61" s="9" t="s">
        <v>157</v>
      </c>
      <c r="N61" s="4"/>
      <c r="O61" s="4"/>
    </row>
    <row r="62" spans="1:15" x14ac:dyDescent="0.25">
      <c r="A62" s="4">
        <v>62</v>
      </c>
      <c r="B62" s="4" t="s">
        <v>74</v>
      </c>
      <c r="C62" s="5">
        <v>202</v>
      </c>
      <c r="D62" s="6">
        <v>486.69</v>
      </c>
      <c r="E62" s="5">
        <f t="shared" si="4"/>
        <v>98311.38</v>
      </c>
      <c r="F62" s="5">
        <v>3</v>
      </c>
      <c r="G62" s="5">
        <v>0</v>
      </c>
      <c r="H62" s="5">
        <f t="shared" si="5"/>
        <v>3</v>
      </c>
      <c r="I62" s="7">
        <f t="shared" si="6"/>
        <v>0.42857142857142855</v>
      </c>
      <c r="J62" s="8">
        <f t="shared" si="7"/>
        <v>471.33333333333337</v>
      </c>
      <c r="K62" s="15" t="s">
        <v>155</v>
      </c>
      <c r="L62" s="9"/>
      <c r="M62" s="9" t="s">
        <v>157</v>
      </c>
      <c r="N62" s="4"/>
      <c r="O62" s="4"/>
    </row>
    <row r="63" spans="1:15" x14ac:dyDescent="0.25">
      <c r="A63" s="4">
        <v>63</v>
      </c>
      <c r="B63" s="4" t="s">
        <v>75</v>
      </c>
      <c r="C63" s="5">
        <v>549</v>
      </c>
      <c r="D63" s="6">
        <v>387.67</v>
      </c>
      <c r="E63" s="5">
        <f t="shared" si="4"/>
        <v>212830.83000000002</v>
      </c>
      <c r="F63" s="5">
        <v>63</v>
      </c>
      <c r="G63" s="5">
        <v>0</v>
      </c>
      <c r="H63" s="5">
        <f t="shared" si="5"/>
        <v>63</v>
      </c>
      <c r="I63" s="7">
        <f t="shared" si="6"/>
        <v>9</v>
      </c>
      <c r="J63" s="8">
        <f t="shared" si="7"/>
        <v>61</v>
      </c>
      <c r="K63" s="15" t="s">
        <v>155</v>
      </c>
      <c r="L63" s="9"/>
      <c r="M63" s="9" t="s">
        <v>157</v>
      </c>
      <c r="N63" s="4"/>
      <c r="O63" s="4"/>
    </row>
    <row r="64" spans="1:15" x14ac:dyDescent="0.25">
      <c r="A64" s="4">
        <v>64</v>
      </c>
      <c r="B64" s="4" t="s">
        <v>76</v>
      </c>
      <c r="C64" s="5">
        <v>501</v>
      </c>
      <c r="D64" s="6">
        <v>415.46</v>
      </c>
      <c r="E64" s="5">
        <f t="shared" si="4"/>
        <v>208145.46</v>
      </c>
      <c r="F64" s="5">
        <v>60</v>
      </c>
      <c r="G64" s="5">
        <v>0</v>
      </c>
      <c r="H64" s="5">
        <f t="shared" si="5"/>
        <v>60</v>
      </c>
      <c r="I64" s="7">
        <f t="shared" si="6"/>
        <v>8.5714285714285712</v>
      </c>
      <c r="J64" s="8">
        <f t="shared" si="7"/>
        <v>58.45</v>
      </c>
      <c r="K64" s="15" t="s">
        <v>155</v>
      </c>
      <c r="L64" s="9"/>
      <c r="M64" s="9" t="s">
        <v>157</v>
      </c>
      <c r="N64" s="4"/>
      <c r="O64" s="4"/>
    </row>
    <row r="65" spans="1:15" x14ac:dyDescent="0.25">
      <c r="A65" s="4">
        <v>65</v>
      </c>
      <c r="B65" s="4" t="s">
        <v>77</v>
      </c>
      <c r="C65" s="5">
        <v>608</v>
      </c>
      <c r="D65" s="6">
        <v>415.46</v>
      </c>
      <c r="E65" s="5">
        <f t="shared" ref="E65:E96" si="8">C65*D65</f>
        <v>252599.67999999999</v>
      </c>
      <c r="F65" s="5">
        <v>50</v>
      </c>
      <c r="G65" s="5">
        <v>0</v>
      </c>
      <c r="H65" s="5">
        <f t="shared" ref="H65:H96" si="9">F65+G65</f>
        <v>50</v>
      </c>
      <c r="I65" s="7">
        <f t="shared" ref="I65:I96" si="10">H65/7</f>
        <v>7.1428571428571432</v>
      </c>
      <c r="J65" s="8">
        <f t="shared" ref="J65:J96" si="11">IF(I65&gt;0,C65/I65,"нет продаж")</f>
        <v>85.11999999999999</v>
      </c>
      <c r="K65" s="15" t="s">
        <v>155</v>
      </c>
      <c r="L65" s="9"/>
      <c r="M65" s="9" t="s">
        <v>157</v>
      </c>
      <c r="N65" s="4"/>
      <c r="O65" s="4"/>
    </row>
    <row r="66" spans="1:15" x14ac:dyDescent="0.25">
      <c r="A66" s="4">
        <v>66</v>
      </c>
      <c r="B66" s="4" t="s">
        <v>78</v>
      </c>
      <c r="C66" s="5">
        <v>405</v>
      </c>
      <c r="D66" s="6">
        <v>415.46</v>
      </c>
      <c r="E66" s="5">
        <f t="shared" si="8"/>
        <v>168261.3</v>
      </c>
      <c r="F66" s="5">
        <v>11</v>
      </c>
      <c r="G66" s="5">
        <v>0</v>
      </c>
      <c r="H66" s="5">
        <f t="shared" si="9"/>
        <v>11</v>
      </c>
      <c r="I66" s="7">
        <f t="shared" si="10"/>
        <v>1.5714285714285714</v>
      </c>
      <c r="J66" s="8">
        <f t="shared" si="11"/>
        <v>257.72727272727275</v>
      </c>
      <c r="K66" s="15" t="s">
        <v>155</v>
      </c>
      <c r="L66" s="9"/>
      <c r="M66" s="9" t="s">
        <v>157</v>
      </c>
      <c r="N66" s="4"/>
      <c r="O66" s="4"/>
    </row>
    <row r="67" spans="1:15" x14ac:dyDescent="0.25">
      <c r="A67" s="4">
        <v>67</v>
      </c>
      <c r="B67" s="4" t="s">
        <v>79</v>
      </c>
      <c r="C67" s="5">
        <v>741</v>
      </c>
      <c r="D67" s="6">
        <v>486.41</v>
      </c>
      <c r="E67" s="5">
        <f t="shared" si="8"/>
        <v>360429.81</v>
      </c>
      <c r="F67" s="5">
        <v>39</v>
      </c>
      <c r="G67" s="5">
        <v>0</v>
      </c>
      <c r="H67" s="5">
        <f t="shared" si="9"/>
        <v>39</v>
      </c>
      <c r="I67" s="7">
        <f t="shared" si="10"/>
        <v>5.5714285714285712</v>
      </c>
      <c r="J67" s="8">
        <f t="shared" si="11"/>
        <v>133</v>
      </c>
      <c r="K67" s="15" t="s">
        <v>155</v>
      </c>
      <c r="L67" s="9"/>
      <c r="M67" s="9" t="s">
        <v>157</v>
      </c>
      <c r="N67" s="4"/>
      <c r="O67" s="4"/>
    </row>
    <row r="68" spans="1:15" x14ac:dyDescent="0.25">
      <c r="A68" s="4">
        <v>68</v>
      </c>
      <c r="B68" s="4" t="s">
        <v>80</v>
      </c>
      <c r="C68" s="5">
        <v>529</v>
      </c>
      <c r="D68" s="6">
        <v>507.16</v>
      </c>
      <c r="E68" s="5">
        <f t="shared" si="8"/>
        <v>268287.64</v>
      </c>
      <c r="F68" s="5">
        <v>11</v>
      </c>
      <c r="G68" s="5">
        <v>0</v>
      </c>
      <c r="H68" s="5">
        <f t="shared" si="9"/>
        <v>11</v>
      </c>
      <c r="I68" s="7">
        <f t="shared" si="10"/>
        <v>1.5714285714285714</v>
      </c>
      <c r="J68" s="8">
        <f t="shared" si="11"/>
        <v>336.63636363636363</v>
      </c>
      <c r="K68" s="15" t="s">
        <v>155</v>
      </c>
      <c r="L68" s="9"/>
      <c r="M68" s="9" t="s">
        <v>157</v>
      </c>
      <c r="N68" s="4"/>
      <c r="O68" s="4"/>
    </row>
    <row r="69" spans="1:15" x14ac:dyDescent="0.25">
      <c r="A69" s="4">
        <v>69</v>
      </c>
      <c r="B69" s="4" t="s">
        <v>81</v>
      </c>
      <c r="C69" s="5">
        <v>399</v>
      </c>
      <c r="D69" s="6">
        <v>496.86</v>
      </c>
      <c r="E69" s="5">
        <f t="shared" si="8"/>
        <v>198247.14</v>
      </c>
      <c r="F69" s="5">
        <v>14</v>
      </c>
      <c r="G69" s="5">
        <v>0</v>
      </c>
      <c r="H69" s="5">
        <f t="shared" si="9"/>
        <v>14</v>
      </c>
      <c r="I69" s="7">
        <f t="shared" si="10"/>
        <v>2</v>
      </c>
      <c r="J69" s="8">
        <f t="shared" si="11"/>
        <v>199.5</v>
      </c>
      <c r="K69" s="15" t="s">
        <v>155</v>
      </c>
      <c r="L69" s="9"/>
      <c r="M69" s="9" t="s">
        <v>157</v>
      </c>
      <c r="N69" s="4"/>
      <c r="O69" s="4"/>
    </row>
    <row r="70" spans="1:15" x14ac:dyDescent="0.25">
      <c r="A70" s="4">
        <v>70</v>
      </c>
      <c r="B70" s="4" t="s">
        <v>82</v>
      </c>
      <c r="C70" s="5">
        <v>327</v>
      </c>
      <c r="D70" s="6">
        <v>498.54</v>
      </c>
      <c r="E70" s="5">
        <f t="shared" si="8"/>
        <v>163022.58000000002</v>
      </c>
      <c r="F70" s="5">
        <v>7</v>
      </c>
      <c r="G70" s="5">
        <v>0</v>
      </c>
      <c r="H70" s="5">
        <f t="shared" si="9"/>
        <v>7</v>
      </c>
      <c r="I70" s="7">
        <f t="shared" si="10"/>
        <v>1</v>
      </c>
      <c r="J70" s="8">
        <f t="shared" si="11"/>
        <v>327</v>
      </c>
      <c r="K70" s="15" t="s">
        <v>155</v>
      </c>
      <c r="L70" s="9"/>
      <c r="M70" s="9" t="s">
        <v>157</v>
      </c>
      <c r="N70" s="4"/>
      <c r="O70" s="4"/>
    </row>
    <row r="71" spans="1:15" x14ac:dyDescent="0.25">
      <c r="A71" s="4">
        <v>71</v>
      </c>
      <c r="B71" s="4" t="s">
        <v>83</v>
      </c>
      <c r="C71" s="5">
        <v>273</v>
      </c>
      <c r="D71" s="6">
        <v>478.17</v>
      </c>
      <c r="E71" s="5">
        <f t="shared" si="8"/>
        <v>130540.41</v>
      </c>
      <c r="F71" s="5">
        <v>4</v>
      </c>
      <c r="G71" s="5">
        <v>0</v>
      </c>
      <c r="H71" s="5">
        <f t="shared" si="9"/>
        <v>4</v>
      </c>
      <c r="I71" s="7">
        <f t="shared" si="10"/>
        <v>0.5714285714285714</v>
      </c>
      <c r="J71" s="8">
        <f t="shared" si="11"/>
        <v>477.75</v>
      </c>
      <c r="K71" s="15" t="s">
        <v>155</v>
      </c>
      <c r="L71" s="9"/>
      <c r="M71" s="9" t="s">
        <v>157</v>
      </c>
      <c r="N71" s="4"/>
      <c r="O71" s="4"/>
    </row>
    <row r="72" spans="1:15" x14ac:dyDescent="0.25">
      <c r="A72" s="4">
        <v>72</v>
      </c>
      <c r="B72" s="4" t="s">
        <v>84</v>
      </c>
      <c r="C72" s="5">
        <v>292</v>
      </c>
      <c r="D72" s="6">
        <v>478.05</v>
      </c>
      <c r="E72" s="5">
        <f t="shared" si="8"/>
        <v>139590.6</v>
      </c>
      <c r="F72" s="5">
        <v>14</v>
      </c>
      <c r="G72" s="5">
        <v>0</v>
      </c>
      <c r="H72" s="5">
        <f t="shared" si="9"/>
        <v>14</v>
      </c>
      <c r="I72" s="7">
        <f t="shared" si="10"/>
        <v>2</v>
      </c>
      <c r="J72" s="8">
        <f t="shared" si="11"/>
        <v>146</v>
      </c>
      <c r="K72" s="15" t="s">
        <v>155</v>
      </c>
      <c r="L72" s="9"/>
      <c r="M72" s="9" t="s">
        <v>157</v>
      </c>
      <c r="N72" s="4"/>
      <c r="O72" s="4"/>
    </row>
    <row r="73" spans="1:15" x14ac:dyDescent="0.25">
      <c r="A73" s="4">
        <v>73</v>
      </c>
      <c r="B73" s="4" t="s">
        <v>85</v>
      </c>
      <c r="C73" s="5">
        <v>100</v>
      </c>
      <c r="D73" s="6">
        <v>488</v>
      </c>
      <c r="E73" s="5">
        <f t="shared" si="8"/>
        <v>48800</v>
      </c>
      <c r="F73" s="5">
        <v>1</v>
      </c>
      <c r="G73" s="5">
        <v>0</v>
      </c>
      <c r="H73" s="5">
        <f t="shared" si="9"/>
        <v>1</v>
      </c>
      <c r="I73" s="7">
        <f t="shared" si="10"/>
        <v>0.14285714285714285</v>
      </c>
      <c r="J73" s="8">
        <f t="shared" si="11"/>
        <v>700</v>
      </c>
      <c r="K73" s="15" t="s">
        <v>155</v>
      </c>
      <c r="L73" s="9"/>
      <c r="M73" s="9" t="s">
        <v>157</v>
      </c>
      <c r="N73" s="4"/>
      <c r="O73" s="4"/>
    </row>
    <row r="74" spans="1:15" x14ac:dyDescent="0.25">
      <c r="A74" s="4">
        <v>74</v>
      </c>
      <c r="B74" s="4" t="s">
        <v>86</v>
      </c>
      <c r="C74" s="5">
        <v>106</v>
      </c>
      <c r="D74" s="6">
        <v>593</v>
      </c>
      <c r="E74" s="5">
        <f t="shared" si="8"/>
        <v>62858</v>
      </c>
      <c r="F74" s="5">
        <v>19</v>
      </c>
      <c r="G74" s="5">
        <v>0</v>
      </c>
      <c r="H74" s="5">
        <f t="shared" si="9"/>
        <v>19</v>
      </c>
      <c r="I74" s="7">
        <f t="shared" si="10"/>
        <v>2.7142857142857144</v>
      </c>
      <c r="J74" s="8">
        <f t="shared" si="11"/>
        <v>39.05263157894737</v>
      </c>
      <c r="K74" s="15" t="s">
        <v>155</v>
      </c>
      <c r="L74" s="9"/>
      <c r="M74" s="9" t="s">
        <v>157</v>
      </c>
      <c r="N74" s="4"/>
      <c r="O74" s="4"/>
    </row>
    <row r="75" spans="1:15" x14ac:dyDescent="0.25">
      <c r="A75" s="4">
        <v>75</v>
      </c>
      <c r="B75" s="4" t="s">
        <v>87</v>
      </c>
      <c r="C75" s="5">
        <v>5499</v>
      </c>
      <c r="D75" s="6">
        <v>463.19</v>
      </c>
      <c r="E75" s="5">
        <f t="shared" si="8"/>
        <v>2547081.81</v>
      </c>
      <c r="F75" s="5">
        <v>277</v>
      </c>
      <c r="G75" s="5">
        <v>462</v>
      </c>
      <c r="H75" s="5">
        <f t="shared" si="9"/>
        <v>739</v>
      </c>
      <c r="I75" s="7">
        <f t="shared" si="10"/>
        <v>105.57142857142857</v>
      </c>
      <c r="J75" s="8">
        <f t="shared" si="11"/>
        <v>52.087956698240866</v>
      </c>
      <c r="K75" s="15" t="s">
        <v>156</v>
      </c>
      <c r="L75" s="9"/>
      <c r="M75" s="9"/>
      <c r="N75" s="4"/>
      <c r="O75" s="4"/>
    </row>
    <row r="76" spans="1:15" x14ac:dyDescent="0.25">
      <c r="A76" s="4">
        <v>76</v>
      </c>
      <c r="B76" s="4" t="s">
        <v>88</v>
      </c>
      <c r="C76" s="5">
        <v>102</v>
      </c>
      <c r="D76" s="6">
        <v>1092.96</v>
      </c>
      <c r="E76" s="5">
        <f t="shared" si="8"/>
        <v>111481.92</v>
      </c>
      <c r="F76" s="5">
        <v>6</v>
      </c>
      <c r="G76" s="5">
        <v>9</v>
      </c>
      <c r="H76" s="5">
        <f t="shared" si="9"/>
        <v>15</v>
      </c>
      <c r="I76" s="7">
        <f t="shared" si="10"/>
        <v>2.1428571428571428</v>
      </c>
      <c r="J76" s="8">
        <f t="shared" si="11"/>
        <v>47.6</v>
      </c>
      <c r="K76" s="15" t="s">
        <v>156</v>
      </c>
      <c r="L76" s="9"/>
      <c r="M76" s="9"/>
      <c r="N76" s="4"/>
      <c r="O76" s="4"/>
    </row>
    <row r="77" spans="1:15" x14ac:dyDescent="0.25">
      <c r="A77" s="4">
        <v>77</v>
      </c>
      <c r="B77" s="4" t="s">
        <v>89</v>
      </c>
      <c r="C77" s="5">
        <v>1201</v>
      </c>
      <c r="D77" s="6">
        <v>512.32000000000005</v>
      </c>
      <c r="E77" s="5">
        <f t="shared" si="8"/>
        <v>615296.32000000007</v>
      </c>
      <c r="F77" s="5">
        <v>5</v>
      </c>
      <c r="G77" s="5">
        <v>0</v>
      </c>
      <c r="H77" s="5">
        <f t="shared" si="9"/>
        <v>5</v>
      </c>
      <c r="I77" s="7">
        <f t="shared" si="10"/>
        <v>0.7142857142857143</v>
      </c>
      <c r="J77" s="8">
        <f t="shared" si="11"/>
        <v>1681.3999999999999</v>
      </c>
      <c r="K77" s="15" t="s">
        <v>156</v>
      </c>
      <c r="L77" s="9"/>
      <c r="M77" s="9"/>
      <c r="N77" s="4"/>
      <c r="O77" s="4"/>
    </row>
    <row r="78" spans="1:15" x14ac:dyDescent="0.25">
      <c r="A78" s="4">
        <v>78</v>
      </c>
      <c r="B78" s="4" t="s">
        <v>90</v>
      </c>
      <c r="C78" s="5">
        <v>5</v>
      </c>
      <c r="D78" s="6">
        <v>819.72</v>
      </c>
      <c r="E78" s="5">
        <f t="shared" si="8"/>
        <v>4098.6000000000004</v>
      </c>
      <c r="F78" s="5">
        <v>2</v>
      </c>
      <c r="G78" s="5">
        <v>0</v>
      </c>
      <c r="H78" s="5">
        <f t="shared" si="9"/>
        <v>2</v>
      </c>
      <c r="I78" s="7">
        <f t="shared" si="10"/>
        <v>0.2857142857142857</v>
      </c>
      <c r="J78" s="8">
        <f t="shared" si="11"/>
        <v>17.5</v>
      </c>
      <c r="K78" s="15" t="s">
        <v>155</v>
      </c>
      <c r="L78" s="9"/>
      <c r="M78" s="9"/>
      <c r="N78" s="4"/>
      <c r="O78" s="4"/>
    </row>
    <row r="79" spans="1:15" x14ac:dyDescent="0.25">
      <c r="A79" s="4">
        <v>79</v>
      </c>
      <c r="B79" s="4" t="s">
        <v>91</v>
      </c>
      <c r="C79" s="5">
        <v>802</v>
      </c>
      <c r="D79" s="6">
        <v>484.93</v>
      </c>
      <c r="E79" s="5">
        <f t="shared" si="8"/>
        <v>388913.86</v>
      </c>
      <c r="F79" s="5">
        <v>1</v>
      </c>
      <c r="G79" s="5">
        <v>74</v>
      </c>
      <c r="H79" s="5">
        <f t="shared" si="9"/>
        <v>75</v>
      </c>
      <c r="I79" s="7">
        <f t="shared" si="10"/>
        <v>10.714285714285714</v>
      </c>
      <c r="J79" s="8">
        <f t="shared" si="11"/>
        <v>74.853333333333339</v>
      </c>
      <c r="K79" s="15" t="s">
        <v>156</v>
      </c>
      <c r="L79" s="9"/>
      <c r="M79" s="9"/>
      <c r="N79" s="4"/>
      <c r="O79" s="4"/>
    </row>
    <row r="80" spans="1:15" x14ac:dyDescent="0.25">
      <c r="A80" s="4">
        <v>80</v>
      </c>
      <c r="B80" s="4" t="s">
        <v>92</v>
      </c>
      <c r="C80" s="5">
        <v>30</v>
      </c>
      <c r="D80" s="6">
        <v>367.89</v>
      </c>
      <c r="E80" s="5">
        <f t="shared" si="8"/>
        <v>11036.699999999999</v>
      </c>
      <c r="F80" s="5">
        <v>1</v>
      </c>
      <c r="G80" s="5">
        <v>1</v>
      </c>
      <c r="H80" s="5">
        <f t="shared" si="9"/>
        <v>2</v>
      </c>
      <c r="I80" s="7">
        <f t="shared" si="10"/>
        <v>0.2857142857142857</v>
      </c>
      <c r="J80" s="8">
        <f t="shared" si="11"/>
        <v>105</v>
      </c>
      <c r="K80" s="15" t="s">
        <v>155</v>
      </c>
      <c r="L80" s="9"/>
      <c r="M80" s="9"/>
      <c r="N80" s="4"/>
      <c r="O80" s="4"/>
    </row>
    <row r="81" spans="1:15" x14ac:dyDescent="0.25">
      <c r="A81" s="4">
        <v>81</v>
      </c>
      <c r="B81" s="4" t="s">
        <v>93</v>
      </c>
      <c r="C81" s="5">
        <v>22</v>
      </c>
      <c r="D81" s="6">
        <v>294.14999999999998</v>
      </c>
      <c r="E81" s="5">
        <f t="shared" si="8"/>
        <v>6471.2999999999993</v>
      </c>
      <c r="F81" s="5">
        <v>2</v>
      </c>
      <c r="G81" s="5">
        <v>0</v>
      </c>
      <c r="H81" s="5">
        <f t="shared" si="9"/>
        <v>2</v>
      </c>
      <c r="I81" s="7">
        <f t="shared" si="10"/>
        <v>0.2857142857142857</v>
      </c>
      <c r="J81" s="8">
        <f t="shared" si="11"/>
        <v>77</v>
      </c>
      <c r="K81" s="15" t="s">
        <v>155</v>
      </c>
      <c r="L81" s="9"/>
      <c r="M81" s="9"/>
      <c r="N81" s="4"/>
      <c r="O81" s="4"/>
    </row>
    <row r="82" spans="1:15" x14ac:dyDescent="0.25">
      <c r="A82" s="4">
        <v>82</v>
      </c>
      <c r="B82" s="4" t="s">
        <v>94</v>
      </c>
      <c r="C82" s="5">
        <v>525</v>
      </c>
      <c r="D82" s="6">
        <v>549.71</v>
      </c>
      <c r="E82" s="5">
        <f t="shared" si="8"/>
        <v>288597.75</v>
      </c>
      <c r="F82" s="5">
        <v>1</v>
      </c>
      <c r="G82" s="5">
        <v>0</v>
      </c>
      <c r="H82" s="5">
        <f t="shared" si="9"/>
        <v>1</v>
      </c>
      <c r="I82" s="7">
        <f t="shared" si="10"/>
        <v>0.14285714285714285</v>
      </c>
      <c r="J82" s="8">
        <f t="shared" si="11"/>
        <v>3675</v>
      </c>
      <c r="K82" s="15"/>
      <c r="L82" s="9"/>
      <c r="M82" s="9" t="s">
        <v>162</v>
      </c>
      <c r="N82" s="4"/>
      <c r="O82" s="4"/>
    </row>
    <row r="83" spans="1:15" x14ac:dyDescent="0.25">
      <c r="A83" s="4">
        <v>83</v>
      </c>
      <c r="B83" s="4" t="s">
        <v>95</v>
      </c>
      <c r="C83" s="5">
        <v>55</v>
      </c>
      <c r="D83" s="6">
        <v>1057.2</v>
      </c>
      <c r="E83" s="5">
        <f t="shared" si="8"/>
        <v>58146</v>
      </c>
      <c r="F83" s="5">
        <v>0</v>
      </c>
      <c r="G83" s="5">
        <v>0</v>
      </c>
      <c r="H83" s="5">
        <f t="shared" si="9"/>
        <v>0</v>
      </c>
      <c r="I83" s="7">
        <f t="shared" si="10"/>
        <v>0</v>
      </c>
      <c r="J83" s="8" t="str">
        <f t="shared" si="11"/>
        <v>нет продаж</v>
      </c>
      <c r="K83" s="15" t="s">
        <v>155</v>
      </c>
      <c r="L83" s="9"/>
      <c r="M83" s="9"/>
      <c r="N83" s="4"/>
      <c r="O83" s="4"/>
    </row>
    <row r="84" spans="1:15" x14ac:dyDescent="0.25">
      <c r="A84" s="4">
        <v>84</v>
      </c>
      <c r="B84" s="4" t="s">
        <v>96</v>
      </c>
      <c r="C84" s="5">
        <v>115</v>
      </c>
      <c r="D84" s="6">
        <v>722.04</v>
      </c>
      <c r="E84" s="5">
        <f t="shared" si="8"/>
        <v>83034.599999999991</v>
      </c>
      <c r="F84" s="5">
        <v>3</v>
      </c>
      <c r="G84" s="5">
        <v>0</v>
      </c>
      <c r="H84" s="5">
        <f t="shared" si="9"/>
        <v>3</v>
      </c>
      <c r="I84" s="7">
        <f t="shared" si="10"/>
        <v>0.42857142857142855</v>
      </c>
      <c r="J84" s="8">
        <f t="shared" si="11"/>
        <v>268.33333333333337</v>
      </c>
      <c r="K84" s="15" t="s">
        <v>155</v>
      </c>
      <c r="L84" s="9"/>
      <c r="M84" s="9"/>
      <c r="N84" s="4"/>
      <c r="O84" s="4"/>
    </row>
    <row r="85" spans="1:15" x14ac:dyDescent="0.25">
      <c r="A85" s="4">
        <v>85</v>
      </c>
      <c r="B85" s="4" t="s">
        <v>97</v>
      </c>
      <c r="C85" s="5">
        <v>25</v>
      </c>
      <c r="D85" s="6">
        <v>845.49</v>
      </c>
      <c r="E85" s="5">
        <f t="shared" si="8"/>
        <v>21137.25</v>
      </c>
      <c r="F85" s="5">
        <v>1</v>
      </c>
      <c r="G85" s="5">
        <v>0</v>
      </c>
      <c r="H85" s="5">
        <f t="shared" si="9"/>
        <v>1</v>
      </c>
      <c r="I85" s="7">
        <f t="shared" si="10"/>
        <v>0.14285714285714285</v>
      </c>
      <c r="J85" s="8">
        <f t="shared" si="11"/>
        <v>175</v>
      </c>
      <c r="K85" s="15" t="s">
        <v>155</v>
      </c>
      <c r="L85" s="9"/>
      <c r="M85" s="9"/>
      <c r="N85" s="4"/>
      <c r="O85" s="4"/>
    </row>
    <row r="86" spans="1:15" x14ac:dyDescent="0.25">
      <c r="A86" s="4">
        <v>86</v>
      </c>
      <c r="B86" s="4" t="s">
        <v>98</v>
      </c>
      <c r="C86" s="5">
        <v>15980</v>
      </c>
      <c r="D86" s="6">
        <v>723.87</v>
      </c>
      <c r="E86" s="5">
        <f t="shared" si="8"/>
        <v>11567442.6</v>
      </c>
      <c r="F86" s="5">
        <v>69</v>
      </c>
      <c r="G86" s="5">
        <v>655</v>
      </c>
      <c r="H86" s="5">
        <f t="shared" si="9"/>
        <v>724</v>
      </c>
      <c r="I86" s="7">
        <f t="shared" si="10"/>
        <v>103.42857142857143</v>
      </c>
      <c r="J86" s="8">
        <f t="shared" si="11"/>
        <v>154.50276243093921</v>
      </c>
      <c r="K86" s="15" t="s">
        <v>156</v>
      </c>
      <c r="L86" s="9"/>
      <c r="M86" s="9"/>
      <c r="N86" s="4"/>
      <c r="O86" s="4"/>
    </row>
    <row r="87" spans="1:15" x14ac:dyDescent="0.25">
      <c r="A87" s="4">
        <v>87</v>
      </c>
      <c r="B87" s="4" t="s">
        <v>99</v>
      </c>
      <c r="C87" s="5">
        <v>8728</v>
      </c>
      <c r="D87" s="6">
        <v>512.17999999999995</v>
      </c>
      <c r="E87" s="5">
        <f t="shared" si="8"/>
        <v>4470307.0399999991</v>
      </c>
      <c r="F87" s="5">
        <v>25</v>
      </c>
      <c r="G87" s="5">
        <v>744</v>
      </c>
      <c r="H87" s="5">
        <f t="shared" si="9"/>
        <v>769</v>
      </c>
      <c r="I87" s="7">
        <f t="shared" si="10"/>
        <v>109.85714285714286</v>
      </c>
      <c r="J87" s="8">
        <f t="shared" si="11"/>
        <v>79.448634590377111</v>
      </c>
      <c r="K87" s="15" t="s">
        <v>156</v>
      </c>
      <c r="L87" s="9"/>
      <c r="M87" s="9"/>
      <c r="N87" s="4"/>
      <c r="O87" s="4"/>
    </row>
    <row r="88" spans="1:15" x14ac:dyDescent="0.25">
      <c r="A88" s="4">
        <v>88</v>
      </c>
      <c r="B88" s="4" t="s">
        <v>100</v>
      </c>
      <c r="C88" s="5">
        <v>2217</v>
      </c>
      <c r="D88" s="6">
        <v>532.1</v>
      </c>
      <c r="E88" s="5">
        <f t="shared" si="8"/>
        <v>1179665.7</v>
      </c>
      <c r="F88" s="5">
        <v>27</v>
      </c>
      <c r="G88" s="5">
        <v>137</v>
      </c>
      <c r="H88" s="5">
        <f t="shared" si="9"/>
        <v>164</v>
      </c>
      <c r="I88" s="7">
        <f t="shared" si="10"/>
        <v>23.428571428571427</v>
      </c>
      <c r="J88" s="8">
        <f t="shared" si="11"/>
        <v>94.628048780487816</v>
      </c>
      <c r="K88" s="15" t="s">
        <v>156</v>
      </c>
      <c r="L88" s="9"/>
      <c r="M88" s="9"/>
      <c r="N88" s="4"/>
      <c r="O88" s="4"/>
    </row>
    <row r="89" spans="1:15" x14ac:dyDescent="0.25">
      <c r="A89" s="4">
        <v>89</v>
      </c>
      <c r="B89" s="4" t="s">
        <v>101</v>
      </c>
      <c r="C89" s="5">
        <v>1296</v>
      </c>
      <c r="D89" s="6">
        <v>96.94</v>
      </c>
      <c r="E89" s="5">
        <f t="shared" si="8"/>
        <v>125634.23999999999</v>
      </c>
      <c r="F89" s="5">
        <v>3</v>
      </c>
      <c r="G89" s="5">
        <v>1</v>
      </c>
      <c r="H89" s="5">
        <f t="shared" si="9"/>
        <v>4</v>
      </c>
      <c r="I89" s="7">
        <f t="shared" si="10"/>
        <v>0.5714285714285714</v>
      </c>
      <c r="J89" s="8">
        <f t="shared" si="11"/>
        <v>2268</v>
      </c>
      <c r="K89" s="15" t="s">
        <v>156</v>
      </c>
      <c r="L89" s="9"/>
      <c r="M89" s="9"/>
      <c r="N89" s="4"/>
      <c r="O89" s="4"/>
    </row>
    <row r="90" spans="1:15" x14ac:dyDescent="0.25">
      <c r="A90" s="4">
        <v>90</v>
      </c>
      <c r="B90" s="4" t="s">
        <v>102</v>
      </c>
      <c r="C90" s="5">
        <v>13</v>
      </c>
      <c r="D90" s="6">
        <v>623.42999999999995</v>
      </c>
      <c r="E90" s="5">
        <f t="shared" si="8"/>
        <v>8104.5899999999992</v>
      </c>
      <c r="F90" s="5">
        <v>0</v>
      </c>
      <c r="G90" s="5">
        <v>0</v>
      </c>
      <c r="H90" s="5">
        <f t="shared" si="9"/>
        <v>0</v>
      </c>
      <c r="I90" s="7">
        <f t="shared" si="10"/>
        <v>0</v>
      </c>
      <c r="J90" s="8" t="str">
        <f t="shared" si="11"/>
        <v>нет продаж</v>
      </c>
      <c r="K90" s="15" t="s">
        <v>156</v>
      </c>
      <c r="L90" s="9"/>
      <c r="M90" s="9"/>
      <c r="N90" s="4"/>
      <c r="O90" s="4"/>
    </row>
    <row r="91" spans="1:15" x14ac:dyDescent="0.25">
      <c r="A91" s="4">
        <v>91</v>
      </c>
      <c r="B91" s="4" t="s">
        <v>103</v>
      </c>
      <c r="C91" s="5">
        <v>353</v>
      </c>
      <c r="D91" s="6">
        <v>864.11</v>
      </c>
      <c r="E91" s="5">
        <f t="shared" si="8"/>
        <v>305030.83</v>
      </c>
      <c r="F91" s="5">
        <v>1</v>
      </c>
      <c r="G91" s="5">
        <v>10</v>
      </c>
      <c r="H91" s="5">
        <f t="shared" si="9"/>
        <v>11</v>
      </c>
      <c r="I91" s="7">
        <f t="shared" si="10"/>
        <v>1.5714285714285714</v>
      </c>
      <c r="J91" s="8">
        <f t="shared" si="11"/>
        <v>224.63636363636365</v>
      </c>
      <c r="K91" s="15" t="s">
        <v>156</v>
      </c>
      <c r="L91" s="9"/>
      <c r="M91" s="9"/>
      <c r="N91" s="4"/>
      <c r="O91" s="4"/>
    </row>
    <row r="92" spans="1:15" x14ac:dyDescent="0.25">
      <c r="A92" s="4">
        <v>92</v>
      </c>
      <c r="B92" s="4" t="s">
        <v>104</v>
      </c>
      <c r="C92" s="5">
        <v>1456</v>
      </c>
      <c r="D92" s="6">
        <v>707.88</v>
      </c>
      <c r="E92" s="5">
        <f t="shared" si="8"/>
        <v>1030673.28</v>
      </c>
      <c r="F92" s="5">
        <v>10</v>
      </c>
      <c r="G92" s="5">
        <v>2</v>
      </c>
      <c r="H92" s="5">
        <f t="shared" si="9"/>
        <v>12</v>
      </c>
      <c r="I92" s="7">
        <f t="shared" si="10"/>
        <v>1.7142857142857142</v>
      </c>
      <c r="J92" s="8">
        <f t="shared" si="11"/>
        <v>849.33333333333337</v>
      </c>
      <c r="K92" s="15" t="s">
        <v>156</v>
      </c>
      <c r="L92" s="9"/>
      <c r="M92" s="9"/>
      <c r="N92" s="4"/>
      <c r="O92" s="4"/>
    </row>
    <row r="93" spans="1:15" x14ac:dyDescent="0.25">
      <c r="A93" s="4">
        <v>93</v>
      </c>
      <c r="B93" s="4" t="s">
        <v>105</v>
      </c>
      <c r="C93" s="5">
        <v>35</v>
      </c>
      <c r="D93" s="6">
        <v>763.83</v>
      </c>
      <c r="E93" s="5">
        <f t="shared" si="8"/>
        <v>26734.050000000003</v>
      </c>
      <c r="F93" s="5">
        <v>0</v>
      </c>
      <c r="G93" s="5">
        <v>0</v>
      </c>
      <c r="H93" s="5">
        <f t="shared" si="9"/>
        <v>0</v>
      </c>
      <c r="I93" s="7">
        <f t="shared" si="10"/>
        <v>0</v>
      </c>
      <c r="J93" s="8" t="str">
        <f t="shared" si="11"/>
        <v>нет продаж</v>
      </c>
      <c r="K93" s="15" t="s">
        <v>156</v>
      </c>
      <c r="L93" s="9"/>
      <c r="M93" s="9"/>
      <c r="N93" s="4"/>
      <c r="O93" s="4"/>
    </row>
    <row r="94" spans="1:15" x14ac:dyDescent="0.25">
      <c r="A94" s="4">
        <v>94</v>
      </c>
      <c r="B94" s="4" t="s">
        <v>106</v>
      </c>
      <c r="C94" s="5">
        <v>1375</v>
      </c>
      <c r="D94" s="6">
        <v>556.17999999999995</v>
      </c>
      <c r="E94" s="5">
        <f t="shared" si="8"/>
        <v>764747.49999999988</v>
      </c>
      <c r="F94" s="5">
        <v>6</v>
      </c>
      <c r="G94" s="5">
        <v>2</v>
      </c>
      <c r="H94" s="5">
        <f t="shared" si="9"/>
        <v>8</v>
      </c>
      <c r="I94" s="7">
        <f t="shared" si="10"/>
        <v>1.1428571428571428</v>
      </c>
      <c r="J94" s="8">
        <f t="shared" si="11"/>
        <v>1203.125</v>
      </c>
      <c r="K94" s="15" t="s">
        <v>156</v>
      </c>
      <c r="L94" s="9"/>
      <c r="M94" s="9"/>
      <c r="N94" s="4"/>
      <c r="O94" s="4"/>
    </row>
    <row r="95" spans="1:15" x14ac:dyDescent="0.25">
      <c r="A95" s="4">
        <v>95</v>
      </c>
      <c r="B95" s="4" t="s">
        <v>107</v>
      </c>
      <c r="C95" s="5">
        <v>77</v>
      </c>
      <c r="D95" s="6">
        <v>687.58</v>
      </c>
      <c r="E95" s="5">
        <f t="shared" si="8"/>
        <v>52943.66</v>
      </c>
      <c r="F95" s="5">
        <v>0</v>
      </c>
      <c r="G95" s="5">
        <v>0</v>
      </c>
      <c r="H95" s="5">
        <f t="shared" si="9"/>
        <v>0</v>
      </c>
      <c r="I95" s="7">
        <f t="shared" si="10"/>
        <v>0</v>
      </c>
      <c r="J95" s="8" t="str">
        <f t="shared" si="11"/>
        <v>нет продаж</v>
      </c>
      <c r="K95" s="15" t="s">
        <v>156</v>
      </c>
      <c r="L95" s="9"/>
      <c r="M95" s="9"/>
      <c r="N95" s="4"/>
      <c r="O95" s="4"/>
    </row>
    <row r="96" spans="1:15" x14ac:dyDescent="0.25">
      <c r="A96" s="4">
        <v>96</v>
      </c>
      <c r="B96" s="4" t="s">
        <v>108</v>
      </c>
      <c r="C96" s="5">
        <v>24</v>
      </c>
      <c r="D96" s="6">
        <v>719.58</v>
      </c>
      <c r="E96" s="5">
        <f t="shared" si="8"/>
        <v>17269.920000000002</v>
      </c>
      <c r="F96" s="5">
        <v>0</v>
      </c>
      <c r="G96" s="5">
        <v>0</v>
      </c>
      <c r="H96" s="5">
        <f t="shared" si="9"/>
        <v>0</v>
      </c>
      <c r="I96" s="7">
        <f t="shared" si="10"/>
        <v>0</v>
      </c>
      <c r="J96" s="8" t="str">
        <f t="shared" si="11"/>
        <v>нет продаж</v>
      </c>
      <c r="K96" s="15" t="s">
        <v>156</v>
      </c>
      <c r="L96" s="9"/>
      <c r="M96" s="9"/>
      <c r="N96" s="4"/>
      <c r="O96" s="4"/>
    </row>
    <row r="97" spans="1:15" x14ac:dyDescent="0.25">
      <c r="A97" s="4">
        <v>97</v>
      </c>
      <c r="B97" s="4" t="s">
        <v>109</v>
      </c>
      <c r="C97" s="5">
        <v>1008</v>
      </c>
      <c r="D97" s="6">
        <v>1335.95</v>
      </c>
      <c r="E97" s="5">
        <f t="shared" ref="E97:E128" si="12">C97*D97</f>
        <v>1346637.6</v>
      </c>
      <c r="F97" s="5">
        <v>2</v>
      </c>
      <c r="G97" s="5">
        <v>6</v>
      </c>
      <c r="H97" s="5">
        <f t="shared" ref="H97:H128" si="13">F97+G97</f>
        <v>8</v>
      </c>
      <c r="I97" s="7">
        <f t="shared" ref="I97:I128" si="14">H97/7</f>
        <v>1.1428571428571428</v>
      </c>
      <c r="J97" s="8">
        <f t="shared" ref="J97:J128" si="15">IF(I97&gt;0,C97/I97,"нет продаж")</f>
        <v>882</v>
      </c>
      <c r="K97" s="15" t="s">
        <v>156</v>
      </c>
      <c r="L97" s="9"/>
      <c r="M97" s="9"/>
      <c r="N97" s="4"/>
      <c r="O97" s="4"/>
    </row>
    <row r="98" spans="1:15" x14ac:dyDescent="0.25">
      <c r="A98" s="4">
        <v>98</v>
      </c>
      <c r="B98" s="4" t="s">
        <v>110</v>
      </c>
      <c r="C98" s="5">
        <v>397</v>
      </c>
      <c r="D98" s="6">
        <v>974.04</v>
      </c>
      <c r="E98" s="5">
        <f t="shared" si="12"/>
        <v>386693.88</v>
      </c>
      <c r="F98" s="5">
        <v>3</v>
      </c>
      <c r="G98" s="5">
        <v>2</v>
      </c>
      <c r="H98" s="5">
        <f t="shared" si="13"/>
        <v>5</v>
      </c>
      <c r="I98" s="7">
        <f t="shared" si="14"/>
        <v>0.7142857142857143</v>
      </c>
      <c r="J98" s="8">
        <f t="shared" si="15"/>
        <v>555.79999999999995</v>
      </c>
      <c r="K98" s="15" t="s">
        <v>156</v>
      </c>
      <c r="L98" s="9"/>
      <c r="M98" s="9"/>
      <c r="N98" s="4"/>
      <c r="O98" s="4"/>
    </row>
    <row r="99" spans="1:15" x14ac:dyDescent="0.25">
      <c r="A99" s="10"/>
      <c r="B99" s="10" t="s">
        <v>111</v>
      </c>
      <c r="C99" s="11">
        <f>SUM(C2:C98)</f>
        <v>107153</v>
      </c>
      <c r="D99" s="12"/>
      <c r="E99" s="11">
        <f>SUM(E2:E98)</f>
        <v>48368760.100000009</v>
      </c>
      <c r="F99" s="11">
        <f>SUM(F2:F98)</f>
        <v>2232</v>
      </c>
      <c r="G99" s="11">
        <f>SUM(G2:G98)</f>
        <v>2149</v>
      </c>
      <c r="H99" s="11">
        <f>SUM(H2:H98)</f>
        <v>4381</v>
      </c>
      <c r="I99" s="13">
        <f t="shared" si="14"/>
        <v>625.85714285714289</v>
      </c>
      <c r="J99" s="11">
        <f>C99/I99</f>
        <v>171.20999771741612</v>
      </c>
      <c r="K99" s="16"/>
      <c r="L99" s="10"/>
      <c r="M99" s="10"/>
      <c r="N99" s="10"/>
      <c r="O99" s="10"/>
    </row>
  </sheetData>
  <autoFilter ref="A1:O98"/>
  <conditionalFormatting sqref="J2:J98">
    <cfRule type="cellIs" dxfId="2" priority="1" operator="greaterThan">
      <formula>365</formula>
    </cfRule>
    <cfRule type="cellIs" dxfId="1" priority="2" operator="between">
      <formula>181</formula>
      <formula>365</formula>
    </cfRule>
    <cfRule type="cellIs" dxfId="0" priority="3" operator="lessThan">
      <formula>60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>
      <selection activeCell="B2" sqref="B2"/>
    </sheetView>
  </sheetViews>
  <sheetFormatPr defaultRowHeight="15" x14ac:dyDescent="0.25"/>
  <cols>
    <col min="1" max="1" width="22" customWidth="1"/>
    <col min="2" max="2" width="70" customWidth="1"/>
    <col min="3" max="4" width="16" customWidth="1"/>
  </cols>
  <sheetData>
    <row r="1" spans="1:4" x14ac:dyDescent="0.25">
      <c r="A1" s="14" t="s">
        <v>112</v>
      </c>
      <c r="B1" s="14" t="s">
        <v>113</v>
      </c>
      <c r="C1" s="14" t="s">
        <v>114</v>
      </c>
      <c r="D1" s="14" t="s">
        <v>115</v>
      </c>
    </row>
    <row r="2" spans="1:4" x14ac:dyDescent="0.25">
      <c r="A2" t="s">
        <v>116</v>
      </c>
      <c r="B2" t="s">
        <v>117</v>
      </c>
      <c r="C2">
        <v>23</v>
      </c>
      <c r="D2">
        <v>19</v>
      </c>
    </row>
    <row r="3" spans="1:4" x14ac:dyDescent="0.25">
      <c r="A3" t="s">
        <v>118</v>
      </c>
      <c r="B3" t="s">
        <v>119</v>
      </c>
      <c r="C3">
        <v>8</v>
      </c>
      <c r="D3">
        <v>6</v>
      </c>
    </row>
    <row r="4" spans="1:4" x14ac:dyDescent="0.25">
      <c r="A4" t="s">
        <v>120</v>
      </c>
      <c r="B4" t="s">
        <v>121</v>
      </c>
      <c r="C4">
        <v>6</v>
      </c>
      <c r="D4">
        <v>5</v>
      </c>
    </row>
    <row r="5" spans="1:4" x14ac:dyDescent="0.25">
      <c r="A5" t="s">
        <v>122</v>
      </c>
      <c r="B5" t="s">
        <v>123</v>
      </c>
      <c r="C5">
        <v>5</v>
      </c>
      <c r="D5">
        <v>7</v>
      </c>
    </row>
    <row r="6" spans="1:4" x14ac:dyDescent="0.25">
      <c r="A6" t="s">
        <v>124</v>
      </c>
      <c r="B6" t="s">
        <v>125</v>
      </c>
      <c r="C6">
        <v>4</v>
      </c>
      <c r="D6">
        <v>2</v>
      </c>
    </row>
    <row r="7" spans="1:4" x14ac:dyDescent="0.25">
      <c r="A7" t="s">
        <v>124</v>
      </c>
      <c r="B7" t="s">
        <v>126</v>
      </c>
      <c r="C7">
        <v>4</v>
      </c>
      <c r="D7">
        <v>0</v>
      </c>
    </row>
    <row r="8" spans="1:4" x14ac:dyDescent="0.25">
      <c r="A8" t="s">
        <v>127</v>
      </c>
      <c r="B8" t="s">
        <v>128</v>
      </c>
      <c r="C8">
        <v>3</v>
      </c>
      <c r="D8">
        <v>1</v>
      </c>
    </row>
    <row r="9" spans="1:4" x14ac:dyDescent="0.25">
      <c r="A9" t="s">
        <v>122</v>
      </c>
      <c r="B9" t="s">
        <v>129</v>
      </c>
      <c r="C9">
        <v>2</v>
      </c>
      <c r="D9">
        <v>1</v>
      </c>
    </row>
    <row r="10" spans="1:4" x14ac:dyDescent="0.25">
      <c r="A10" t="s">
        <v>118</v>
      </c>
      <c r="B10" t="s">
        <v>130</v>
      </c>
      <c r="C10">
        <v>2</v>
      </c>
      <c r="D10">
        <v>3</v>
      </c>
    </row>
    <row r="11" spans="1:4" x14ac:dyDescent="0.25">
      <c r="A11" t="s">
        <v>131</v>
      </c>
      <c r="B11" t="s">
        <v>132</v>
      </c>
      <c r="C11">
        <v>2</v>
      </c>
      <c r="D11">
        <v>2</v>
      </c>
    </row>
    <row r="12" spans="1:4" x14ac:dyDescent="0.25">
      <c r="A12" t="s">
        <v>133</v>
      </c>
      <c r="B12" t="s">
        <v>134</v>
      </c>
      <c r="C12">
        <v>2</v>
      </c>
      <c r="D12">
        <v>4</v>
      </c>
    </row>
    <row r="13" spans="1:4" x14ac:dyDescent="0.25">
      <c r="A13" t="s">
        <v>135</v>
      </c>
      <c r="B13" t="s">
        <v>136</v>
      </c>
      <c r="C13">
        <v>2</v>
      </c>
      <c r="D13">
        <v>1</v>
      </c>
    </row>
    <row r="14" spans="1:4" x14ac:dyDescent="0.25">
      <c r="A14" t="s">
        <v>137</v>
      </c>
      <c r="B14" t="s">
        <v>138</v>
      </c>
      <c r="C14">
        <v>1</v>
      </c>
      <c r="D14">
        <v>2</v>
      </c>
    </row>
    <row r="15" spans="1:4" x14ac:dyDescent="0.25">
      <c r="A15" t="s">
        <v>139</v>
      </c>
      <c r="B15" t="s">
        <v>140</v>
      </c>
      <c r="C15">
        <v>1</v>
      </c>
      <c r="D15">
        <v>0</v>
      </c>
    </row>
    <row r="16" spans="1:4" x14ac:dyDescent="0.25">
      <c r="A16" t="s">
        <v>135</v>
      </c>
      <c r="B16" t="s">
        <v>141</v>
      </c>
      <c r="C16">
        <v>1</v>
      </c>
      <c r="D16">
        <v>1</v>
      </c>
    </row>
    <row r="17" spans="1:4" x14ac:dyDescent="0.25">
      <c r="A17" t="s">
        <v>142</v>
      </c>
      <c r="B17" t="s">
        <v>143</v>
      </c>
      <c r="C17">
        <v>1</v>
      </c>
      <c r="D17">
        <v>0</v>
      </c>
    </row>
    <row r="18" spans="1:4" x14ac:dyDescent="0.25">
      <c r="A18" t="s">
        <v>144</v>
      </c>
      <c r="B18" t="s">
        <v>145</v>
      </c>
      <c r="C18">
        <v>0</v>
      </c>
      <c r="D18">
        <v>2</v>
      </c>
    </row>
    <row r="19" spans="1:4" x14ac:dyDescent="0.25">
      <c r="A19" t="s">
        <v>144</v>
      </c>
      <c r="B19" t="s">
        <v>146</v>
      </c>
      <c r="C19">
        <v>0</v>
      </c>
      <c r="D19">
        <v>2</v>
      </c>
    </row>
    <row r="20" spans="1:4" x14ac:dyDescent="0.25">
      <c r="A20" t="s">
        <v>144</v>
      </c>
      <c r="B20" t="s">
        <v>147</v>
      </c>
      <c r="C20">
        <v>0</v>
      </c>
      <c r="D20">
        <v>1</v>
      </c>
    </row>
    <row r="21" spans="1:4" x14ac:dyDescent="0.25">
      <c r="A21" t="s">
        <v>148</v>
      </c>
      <c r="B21" t="s">
        <v>149</v>
      </c>
      <c r="C21">
        <v>0</v>
      </c>
      <c r="D21">
        <v>1</v>
      </c>
    </row>
    <row r="22" spans="1:4" x14ac:dyDescent="0.25">
      <c r="A22" t="s">
        <v>150</v>
      </c>
      <c r="B22" t="s">
        <v>151</v>
      </c>
      <c r="C22">
        <v>0</v>
      </c>
      <c r="D22">
        <v>8</v>
      </c>
    </row>
    <row r="23" spans="1:4" x14ac:dyDescent="0.25">
      <c r="A23" t="s">
        <v>124</v>
      </c>
      <c r="B23" t="s">
        <v>152</v>
      </c>
      <c r="C23">
        <v>0</v>
      </c>
      <c r="D23">
        <v>3</v>
      </c>
    </row>
    <row r="24" spans="1:4" x14ac:dyDescent="0.25">
      <c r="A24" t="s">
        <v>153</v>
      </c>
      <c r="B24" t="s">
        <v>154</v>
      </c>
      <c r="C24">
        <v>0</v>
      </c>
      <c r="D2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Итог</vt:lpstr>
      <vt:lpstr>WB без остатка на складе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2026-09-28T11:58:31Z</dcterms:created>
  <dcterms:modified xsi:type="dcterms:W3CDTF">2026-09-28T21:49:31Z</dcterms:modified>
</cp:coreProperties>
</file>
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xr:revisionPtr revIDLastSave="0" documentId="8_{F3D68ED7-D42F-4882-B730-AD4A7C763098}" xr6:coauthVersionLast="47" xr6:coauthVersionMax="47" xr10:uidLastSave="{00000000-0000-0000-0000-000000000000}"/>
  <bookViews>
    <workbookView xWindow="-120" yWindow="-120" windowWidth="29040" windowHeight="15720" xr2:uid="{7A4061EE-8742-4D8C-B4CC-369BCF8F049A}"/>
  </bookViews>
  <sheets>
    <sheet name="Лист1" sheetId="1" r:id="rId1"/>
  </sheets>
  <definedNames>
    <definedName name="_xlnm._FilterDatabase" localSheetId="0" hidden="1">Лист1!$A$1:$G$109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3" i="1"/>
  <c r="H105" i="1" s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8" i="1"/>
  <c r="G4" i="1"/>
  <c r="G5" i="1"/>
  <c r="G6" i="1"/>
  <c r="G97" i="1"/>
  <c r="G3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8" i="1"/>
  <c r="G99" i="1"/>
  <c r="G100" i="1"/>
  <c r="G101" i="1"/>
  <c r="G102" i="1"/>
  <c r="G103" i="1"/>
  <c r="G104" i="1"/>
  <c r="G105" i="1" l="1"/>
</calcChain>
</file>

<file path=xl/sharedStrings.xml><?xml version="1.0" encoding="utf-8"?>
<sst xmlns="http://schemas.openxmlformats.org/spreadsheetml/2006/main" count="111" uniqueCount="110">
  <si>
    <t>Наименование</t>
  </si>
  <si>
    <t>Остаток</t>
  </si>
  <si>
    <t>DEOPROCE SHAMPOO - BLACK GARLIC INTENSME ENERGY [200ml]/ Шампунь с черным чесноком против выпадения волос</t>
  </si>
  <si>
    <t>ELIZAVECCA - CER-100 Collagen Ceramide Coating Protein Treatment [100ml] / Коллагеновая маска для волос</t>
  </si>
  <si>
    <t>ENOUGH - Collagen Moisture Essential Cream [50ml] / Увлажняющий крем для лица с коллагеном</t>
  </si>
  <si>
    <t>ENOUGH - Collagen Whitening Moisture Cream 3in1 [50g] / Антивозрастной отбеливающий крем с коллагеном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</si>
  <si>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</si>
  <si>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</si>
  <si>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ETUDE - Baking Powder Crunch Pore Scrub [200ml] / Очищающий скраб для лица с содой</t>
  </si>
  <si>
    <t>FARMSTAY - Collagen &amp; Hyaluronic Acid All-In One Ampoule [250ml] / Сыворотка с коллагеном и гиалуроновой кислотой</t>
  </si>
  <si>
    <t>FARMSTAY - Black Garlic Nourishing Shampoo [530ml] / Шампунь-кондиционер 2в1 с экстрактом черного чеснока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</si>
  <si>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</si>
  <si>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</si>
  <si>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>FARMSTAY ESCARGOT NOBLESSE INTENSIVE AMPOULE/ сыворотка с улиткой</t>
  </si>
  <si>
    <t>FARMSTAY - Argan Oil Complete Volume Up Shampoo &amp; Conditioner [530ml] / Шампунь-кондиционер с аргановым маслом</t>
  </si>
  <si>
    <t>FARMSTAY - Collagen Water Full Shampoo &amp; Conditioner [530ml] / Шампунь-кондиционер 2в1 с коллагеном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</si>
  <si>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</si>
  <si>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</si>
  <si>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>FARMSTAY - Collagen Pure Cleansing Foam [180ml]/Пенка для умывания</t>
  </si>
  <si>
    <t>HEIMISH - Artless Glow Base SPF50+ PA+++(Renew) [40ml] / База под макияж SPF50+ PA+++</t>
  </si>
  <si>
    <t>JIGOTT - Snail Lifting Cream [70ml] / Крем для лица увлажняющий антивозрастной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</si>
  <si>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</si>
  <si>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</si>
  <si>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JIGOTT - Ultimate Real Collagen Toner [300ml] / тонер с коллагеном антивозрастной</t>
  </si>
  <si>
    <t>JIGOTT - Daily Real Cica Toner [300ml] / Тонер для лица с центеллой азиатской</t>
  </si>
  <si>
    <t>JIGOTT - Moisture Real Aloe Vera Toner [300ml] / Тонер для лица увлажняющий с экстрактом алоэ</t>
  </si>
  <si>
    <t>JMSOLUTION ACTIVE BLACK CAVIAR MASK [30ml*10ea] / Ультратонкая тканевая маска с черной икрой</t>
  </si>
  <si>
    <t>JMSOLUTION - Active Golden Caviar Nourishing Mask [30ml*10ea] / Ультратонкая тканевая маска с золотом и икрой</t>
  </si>
  <si>
    <t>JMSOLUTION - Active Jellyfish Vital Mask [30ml*10ea] / Ультратонкая тканевая маска с экстрактом медузы</t>
  </si>
  <si>
    <t>JMSOLUTION GLORY AQUA FULLERENE MASK DELUXE</t>
  </si>
  <si>
    <t>JMSOLUTION PANTHELENE INTENSIVE BARRIER MASK</t>
  </si>
  <si>
    <t>JMSOLUTION - The Natural Cordyceps Melitaris Mask Moisture [30ml*10ea] / Тканевая маска для лица с экстрактом кордицепса и комплексом аминокислот</t>
  </si>
  <si>
    <t>JMSOLUTION - Water Luminous S.O.S. Ringer Mask Black [35ml*10ea] / Ультраувлажняющая тканевая маска</t>
  </si>
  <si>
    <t>JMSOLUTION GREEN DEAR TIGER CICA MASK PURE 30ml*10ea / Регенерирующая маска для лица с центеллой</t>
  </si>
  <si>
    <t>JMSOLUTION - MASK PACK DISNEY [30ml*10ea] - ассорти набор из 10шт</t>
  </si>
  <si>
    <t>LEBELAGE - Dr. Peptide Derma Eye Cream [40ml] / Крем для глаз антивозрастной с пептидами</t>
  </si>
  <si>
    <t>MANYO - Bifida Biome Complex Ampoule [50ml] / Антивозрастная сыворотка для лица</t>
  </si>
  <si>
    <t>MANYO - Galac Whitening Vita Serum [50ml] / Осветляющая сыворотка с Витамином C</t>
  </si>
  <si>
    <t>MANYO - Bifida Biome Ampoule Lotion [300ml] / Укрепляющий лосьон с бифидобактериями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</si>
  <si>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</si>
  <si>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</si>
  <si>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</si>
  <si>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</si>
  <si>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</si>
  <si>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</si>
  <si>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</si>
  <si>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</si>
  <si>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Chamomile Lightening Hydrogel Eye Patch [60ea] / Успокаивающие гидрогелевые патчи для глаз с экстрактом ромашки</t>
  </si>
  <si>
    <t>PETITFEE - Gold &amp; EGF Hydrogel Eye &amp; Spot Patch [60ea]/ гидрогелевые патчи с золотом и EGF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</si>
  <si>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</si>
  <si>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</si>
  <si>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</si>
  <si>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</si>
  <si>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</si>
  <si>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Black Pearl &amp; Gold Hydrogel Eye Patch [1 pairs]/ Гидрогелевые патчи для глаз с черным жемчугом и золотом 1 пара</t>
  </si>
  <si>
    <t>PETITFEE - Gold Hydrogel Eye Patch [1 Pairs] / гидрогелевые патчи для глаз с золотом 1 пара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</si>
  <si>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</si>
  <si>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</si>
  <si>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</si>
  <si>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</si>
  <si>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</si>
  <si>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</si>
  <si>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ROUND LAB 1025 DOKDO CLEANSER_150ml - Увлажняющая пенка для умывания лица</t>
  </si>
  <si>
    <t>ROUND LAB BIRCH JUICE MOISTURIZING CREAM_80ml -Увлажняющий крем с березовым соком</t>
  </si>
  <si>
    <t>ROUND LAB MUGWORT CALMING CLEANSER_150ml - Очищающая пенка для умывания лица от прыщей и акне</t>
  </si>
  <si>
    <t>ROUND LAB PINE CALMING CICA AMPOULE_30ml - Сыворотка для жирной кожи лица увлажняющая с центеллой</t>
  </si>
  <si>
    <t>ROUND LAB 1025 DOKDO TONER_200ml / Отшелушивающий тоник с морской водой</t>
  </si>
  <si>
    <t>SKIN1004 - Madagascar Centella Ampoule [30ml] / Сыворотка для лица успокаивающая из экстракта центеллы.</t>
  </si>
  <si>
    <t>SOME BY MI - AHA-BHA-PHA 30 Days Miracle Cream [60g] / Крем для лица</t>
  </si>
  <si>
    <t>THE ORDINARY - Glycolic Acid 7% Toning Solution [KOR] [240ml] / Тоник с гликолевой кислотой 7%</t>
  </si>
  <si>
    <t>Celimax Dual Barrier Creamy Toner, тонер 150 мл</t>
  </si>
  <si>
    <t>CELIMAX THE VITA-A RETINAL SHOT TIGHTENING BOOSTER [15ml]/Подтягивающий бустер-крем с ретинолом для лица</t>
  </si>
  <si>
    <t>CELIMAX THE VITA-A RETINOL SHOT TIGHTENING SERUM [30ml]/Сыворотка с ретинолом и микроиглами для лица</t>
  </si>
  <si>
    <t>CELIMAX JI WOO GAE CICA BHA BLEMISH TONER PAD_10EA [30ml]/успокаивающие тонер-пэды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</si>
  <si>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</si>
  <si>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</si>
  <si>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</si>
  <si>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</si>
  <si>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</si>
  <si>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</si>
  <si>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</si>
  <si>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VT PDRN ESSENCE 100 / Укрепляющая бустер-эссенция с ПДРН</t>
  </si>
  <si>
    <t>VT REEDLE SHOT 100 / Бустер-сыворотка с микроиглами</t>
  </si>
  <si>
    <t xml:space="preserve">ENOUGH Collagen whitening cover tip concealer #01 [9g]/Консилер для лица (основная карточка) </t>
  </si>
  <si>
    <t>C/c</t>
  </si>
  <si>
    <t>02,2028</t>
  </si>
  <si>
    <t>09,2028</t>
  </si>
  <si>
    <t>12,2026</t>
  </si>
  <si>
    <t>заказ</t>
  </si>
  <si>
    <t>DEOPROCE RINSE - BLACK GARLIC INTENSME ENERGY [1000ml] / Бальзам от выпадения волос Чёрный чеснок</t>
  </si>
  <si>
    <t>JIGOTT - Aloe Real Ampoule Mask [27ml] / Ампульная маска с экстрактом алое</t>
  </si>
  <si>
    <t>JIGOTT - Black Snail Real Ampoule Mask [27ml] / Ампульная маска с экстрактом слизи черной улитки</t>
  </si>
  <si>
    <t>JIGOTT - Camellia Real Ampoule Mask [27ml] / Ампульная маска с экстрактом камелии</t>
  </si>
  <si>
    <t>JIGOTT - Caviar Real Ampoule Mask [27ml] / Ампульная маска с экстрактом икры</t>
  </si>
  <si>
    <t>JIGOTT - Collagen Real Ampoule Mask [27ml] / Ампульная маска с коллагеном</t>
  </si>
  <si>
    <t>JIGOTT - Cucumber Real Ampoule Mask [27ml] / Тканевая маска с экстрактом огурца</t>
  </si>
  <si>
    <t>JIGOTT - Green Tea Real Ampoule Mask [27ml] / Ампульная маска с экстрактом зеленого чая</t>
  </si>
  <si>
    <t>JIGOTT - Honey Real Ampoule Mask [27ml] / Ампульная маска с экстрактом меда</t>
  </si>
  <si>
    <t>JIGOTT - Hyaluronic Acid Real Ampoule Mask [27ml] / Ампульная маска с гиалуроновой кислотой</t>
  </si>
  <si>
    <t>JIGOTT - Lotus Real Ampoule Mask [27ml] / Ампульная маска с экстрактом лотоса</t>
  </si>
  <si>
    <t>JIGOTT - Pearl Real Ampoule Mask [27ml] / ампульная маска для лица с жемчугом</t>
  </si>
  <si>
    <t>JIGOTT - Placenta Real Ampoule Mask [27ml] / Ампульная маска с плацентой</t>
  </si>
  <si>
    <t>JIGOTT - Pomegranate Real Ampoule Mask [27ml] / Ампульная маска с экстрактом граната</t>
  </si>
  <si>
    <t>JIGOTT - Potato Real Ampoule Mask [27ml] / Ампульная маска с экстрактом картофеля</t>
  </si>
  <si>
    <t>JIGOTT - Red Ginseng Real Ampoule Mask [27ml] / Ампульная маска с красным женьшенем</t>
  </si>
  <si>
    <t>JIGOTT - Vitamin Real Ampoule Mask [27ml] / Ампульная маска с витаминами</t>
  </si>
  <si>
    <t>JMSOLUTION - Active Birds Nest Moisture Mask [30ml*10ea] / Ультратонкая тканевая маска с ласточкиным гнездом</t>
  </si>
  <si>
    <t>DEOPROCE SHAMPOO - BLACK GARLIC INTENSME ENERGY [1000ml]/ Шампунь с черным чесноком против выпадения волос</t>
  </si>
  <si>
    <t>JMSOLUTION  JMSOLUTION - Glory Aqua TOCOPHEROL VITAMIN C MASK PLUS [30ml*10ea] / Тканевая маска</t>
  </si>
  <si>
    <t>общая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</si>
</sst>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3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15" xfId="0" applyFont="1" applyBorder="1"/>
    <xf numFmtId="0" fontId="4" fillId="0" borderId="0" xfId="0" applyFont="1"/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" fontId="3" fillId="0" borderId="10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1" fontId="3" fillId="0" borderId="14" xfId="0" applyNumberFormat="1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3" fillId="0" borderId="8" xfId="0" applyFont="1" applyBorder="1" applyAlignment="1">
      <alignment horizontal="center" wrapText="1"/>
    </xf>
    <xf numFmtId="1" fontId="3" fillId="0" borderId="8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4" fillId="4" borderId="0" xfId="0" applyFont="1" applyFill="1"/>
    <xf numFmtId="0" fontId="5" fillId="0" borderId="17" xfId="0" applyFont="1" applyBorder="1" applyAlignment="1">
      <alignment horizontal="center" wrapText="1"/>
    </xf>
    <xf numFmtId="0" fontId="6" fillId="0" borderId="18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4" fillId="5" borderId="15" xfId="0" applyFont="1" applyFill="1" applyBorder="1" applyAlignment="1">
      <alignment horizontal="center" vertical="center"/>
    </xf>
    <xf numFmtId="0" fontId="4" fillId="5" borderId="15" xfId="0" applyFont="1" applyFill="1" applyBorder="1"/>
    <xf numFmtId="0" fontId="4" fillId="5" borderId="16" xfId="0" applyFont="1" applyFill="1" applyBorder="1"/>
    <xf numFmtId="0" fontId="2" fillId="4" borderId="18" xfId="0" applyFont="1" applyFill="1" applyBorder="1" applyAlignment="1">
      <alignment wrapText="1"/>
    </xf>
    <xf numFmtId="0" fontId="2" fillId="6" borderId="1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BD01-7CA6-45C8-B091-31B7C434CC9B}">
  <dimension ref="A1:J105"/>
  <sheetViews>
    <sheetView tabSelected="1" topLeftCell="A67" zoomScale="130" zoomScaleNormal="130" workbookViewId="0">
      <selection activeCell="I91" sqref="I91"/>
    </sheetView>
  </sheetViews>
  <sheetFormatPr defaultColWidth="8.7109375" defaultRowHeight="15" x14ac:dyDescent="0.25"/>
  <cols>
    <col min="1" max="1" width="106.140625" style="6" customWidth="1"/>
    <col min="2" max="2" width="11" style="6" customWidth="1"/>
    <col min="3" max="3" width="10.140625" style="6" customWidth="1"/>
    <col min="4" max="4" width="8.7109375" style="6"/>
    <col min="5" max="5" width="8.7109375" style="4"/>
    <col min="6" max="6" width="8.7109375" style="6"/>
    <col min="7" max="7" width="11.140625" style="6" customWidth="1"/>
    <col min="8" max="8" width="12.7109375" style="6" customWidth="1"/>
    <col min="9" max="16384" width="8.7109375" style="6"/>
  </cols>
  <sheetData>
    <row r="1" spans="1:10" ht="36" customHeight="1" thickBot="1" x14ac:dyDescent="0.3">
      <c r="A1" s="2" t="s">
        <v>0</v>
      </c>
      <c r="B1" s="27"/>
      <c r="C1" s="3" t="s">
        <v>1</v>
      </c>
      <c r="D1" s="3" t="s">
        <v>84</v>
      </c>
      <c r="F1" s="30" t="s">
        <v>88</v>
      </c>
      <c r="G1" s="5"/>
      <c r="H1" s="5" t="s">
        <v>109</v>
      </c>
      <c r="I1" s="5"/>
      <c r="J1" s="5"/>
    </row>
    <row r="2" spans="1:10" ht="18.75" customHeight="1" thickBot="1" x14ac:dyDescent="0.3">
      <c r="A2" s="7"/>
      <c r="B2" s="28"/>
      <c r="C2" s="8"/>
      <c r="D2" s="8"/>
      <c r="F2" s="31"/>
      <c r="G2" s="5"/>
      <c r="H2" s="5"/>
      <c r="I2" s="5"/>
      <c r="J2" s="5"/>
    </row>
    <row r="3" spans="1:10" ht="15.75" thickBot="1" x14ac:dyDescent="0.3">
      <c r="A3" s="9" t="s">
        <v>2</v>
      </c>
      <c r="B3" s="29">
        <f>C3-F3</f>
        <v>0</v>
      </c>
      <c r="C3" s="10">
        <v>240</v>
      </c>
      <c r="D3" s="11">
        <v>166.24299999999999</v>
      </c>
      <c r="E3" s="4">
        <v>2028</v>
      </c>
      <c r="F3" s="31">
        <v>240</v>
      </c>
      <c r="G3" s="5">
        <f t="shared" ref="G3:G67" si="0">D3*F3</f>
        <v>39898.32</v>
      </c>
      <c r="H3" s="5">
        <f>C3*D3</f>
        <v>39898.32</v>
      </c>
      <c r="I3" s="5"/>
      <c r="J3" s="5"/>
    </row>
    <row r="4" spans="1:10" ht="15.75" thickBot="1" x14ac:dyDescent="0.3">
      <c r="A4" s="9" t="s">
        <v>89</v>
      </c>
      <c r="B4" s="29">
        <f t="shared" ref="B4:B67" si="1">C4-F4</f>
        <v>0</v>
      </c>
      <c r="C4" s="10">
        <v>400</v>
      </c>
      <c r="D4" s="11">
        <v>394.82300000000004</v>
      </c>
      <c r="E4" s="4">
        <v>2028</v>
      </c>
      <c r="F4" s="31">
        <v>400</v>
      </c>
      <c r="G4" s="5">
        <f t="shared" si="0"/>
        <v>157929.20000000001</v>
      </c>
      <c r="H4" s="5">
        <f t="shared" ref="H4:H67" si="2">C4*D4</f>
        <v>157929.20000000001</v>
      </c>
      <c r="I4" s="5"/>
      <c r="J4" s="5"/>
    </row>
    <row r="5" spans="1:10" ht="15.75" thickBot="1" x14ac:dyDescent="0.3">
      <c r="A5" s="9" t="s">
        <v>107</v>
      </c>
      <c r="B5" s="29">
        <f t="shared" si="1"/>
        <v>0</v>
      </c>
      <c r="C5" s="10">
        <v>400</v>
      </c>
      <c r="D5" s="11">
        <v>404.71200000000005</v>
      </c>
      <c r="E5" s="4">
        <v>2028</v>
      </c>
      <c r="F5" s="31">
        <v>400</v>
      </c>
      <c r="G5" s="5">
        <f t="shared" si="0"/>
        <v>161884.80000000002</v>
      </c>
      <c r="H5" s="5">
        <f t="shared" si="2"/>
        <v>161884.80000000002</v>
      </c>
      <c r="I5" s="5"/>
      <c r="J5" s="5"/>
    </row>
    <row r="6" spans="1:10" ht="15.75" thickBot="1" x14ac:dyDescent="0.3">
      <c r="A6" s="9" t="s">
        <v>3</v>
      </c>
      <c r="B6" s="29">
        <f t="shared" si="1"/>
        <v>0</v>
      </c>
      <c r="C6" s="10">
        <v>300</v>
      </c>
      <c r="D6" s="11">
        <v>266.45299999999997</v>
      </c>
      <c r="E6" s="4">
        <v>2028</v>
      </c>
      <c r="F6" s="31">
        <v>300</v>
      </c>
      <c r="G6" s="5">
        <f t="shared" si="0"/>
        <v>79935.899999999994</v>
      </c>
      <c r="H6" s="5">
        <f t="shared" si="2"/>
        <v>79935.899999999994</v>
      </c>
      <c r="I6" s="5"/>
      <c r="J6" s="5"/>
    </row>
    <row r="7" spans="1:10" ht="15.75" thickBot="1" x14ac:dyDescent="0.3">
      <c r="A7" s="9" t="s">
        <v>4</v>
      </c>
      <c r="B7" s="33">
        <f t="shared" si="1"/>
        <v>5340</v>
      </c>
      <c r="C7" s="10">
        <v>7340</v>
      </c>
      <c r="D7" s="11">
        <v>177.43000000000004</v>
      </c>
      <c r="E7" s="4">
        <v>2028</v>
      </c>
      <c r="F7" s="31">
        <v>2000</v>
      </c>
      <c r="G7" s="5">
        <f t="shared" si="0"/>
        <v>354860.00000000006</v>
      </c>
      <c r="H7" s="5">
        <f t="shared" si="2"/>
        <v>1302336.2000000002</v>
      </c>
      <c r="I7" s="5"/>
      <c r="J7" s="5"/>
    </row>
    <row r="8" spans="1:10" ht="15.75" thickBot="1" x14ac:dyDescent="0.3">
      <c r="A8" s="9" t="s">
        <v>5</v>
      </c>
      <c r="B8" s="29">
        <f t="shared" si="1"/>
        <v>0</v>
      </c>
      <c r="C8" s="10">
        <v>344</v>
      </c>
      <c r="D8" s="11">
        <v>202.268</v>
      </c>
      <c r="E8" s="4">
        <v>2028</v>
      </c>
      <c r="F8" s="31">
        <v>344</v>
      </c>
      <c r="G8" s="5">
        <f t="shared" si="0"/>
        <v>69580.191999999995</v>
      </c>
      <c r="H8" s="5">
        <f t="shared" si="2"/>
        <v>69580.191999999995</v>
      </c>
      <c r="I8" s="5"/>
      <c r="J8" s="5"/>
    </row>
    <row r="9" spans="1:10" ht="15.75" thickBot="1" x14ac:dyDescent="0.3">
      <c r="A9" s="9" t="s">
        <v>83</v>
      </c>
      <c r="B9" s="29">
        <f t="shared" si="1"/>
        <v>0</v>
      </c>
      <c r="C9" s="10">
        <v>200</v>
      </c>
      <c r="D9" s="11">
        <v>201.56399999999999</v>
      </c>
      <c r="E9" s="4">
        <v>6.2027000000000001</v>
      </c>
      <c r="F9" s="31">
        <v>200</v>
      </c>
      <c r="G9" s="5">
        <f t="shared" si="0"/>
        <v>40312.799999999996</v>
      </c>
      <c r="H9" s="5">
        <f t="shared" si="2"/>
        <v>40312.799999999996</v>
      </c>
      <c r="I9" s="5"/>
      <c r="J9" s="5"/>
    </row>
    <row r="10" spans="1:10" ht="15.75" thickBot="1" x14ac:dyDescent="0.3">
      <c r="A10" s="9" t="s">
        <v>6</v>
      </c>
      <c r="B10" s="29">
        <f t="shared" si="1"/>
        <v>0</v>
      </c>
      <c r="C10" s="10">
        <v>300</v>
      </c>
      <c r="D10" s="11">
        <v>201.56399999999999</v>
      </c>
      <c r="E10" s="4">
        <v>6.2027000000000001</v>
      </c>
      <c r="F10" s="31">
        <v>300</v>
      </c>
      <c r="G10" s="5">
        <f t="shared" si="0"/>
        <v>60469.2</v>
      </c>
      <c r="H10" s="5">
        <f t="shared" si="2"/>
        <v>60469.2</v>
      </c>
      <c r="I10" s="5"/>
      <c r="J10" s="5"/>
    </row>
    <row r="11" spans="1:10" ht="15.75" thickBot="1" x14ac:dyDescent="0.3">
      <c r="A11" s="9" t="s">
        <v>7</v>
      </c>
      <c r="B11" s="29">
        <f t="shared" si="1"/>
        <v>0</v>
      </c>
      <c r="C11" s="10">
        <v>260</v>
      </c>
      <c r="D11" s="11">
        <v>201.56399999999999</v>
      </c>
      <c r="E11" s="4">
        <v>6.2027000000000001</v>
      </c>
      <c r="F11" s="31">
        <v>260</v>
      </c>
      <c r="G11" s="5">
        <f t="shared" si="0"/>
        <v>52406.64</v>
      </c>
      <c r="H11" s="5">
        <f t="shared" si="2"/>
        <v>52406.64</v>
      </c>
      <c r="I11" s="5"/>
      <c r="J11" s="5"/>
    </row>
    <row r="12" spans="1:10" ht="15.75" thickBot="1" x14ac:dyDescent="0.3">
      <c r="A12" s="9" t="s">
        <v>8</v>
      </c>
      <c r="B12" s="33">
        <f t="shared" si="1"/>
        <v>5479</v>
      </c>
      <c r="C12" s="10">
        <v>7279</v>
      </c>
      <c r="D12" s="11">
        <v>397.13299999999998</v>
      </c>
      <c r="E12" s="4">
        <v>2028</v>
      </c>
      <c r="F12" s="31">
        <v>1800</v>
      </c>
      <c r="G12" s="5">
        <f t="shared" si="0"/>
        <v>714839.4</v>
      </c>
      <c r="H12" s="5">
        <f t="shared" si="2"/>
        <v>2890731.1069999998</v>
      </c>
      <c r="I12" s="5"/>
      <c r="J12" s="5"/>
    </row>
    <row r="13" spans="1:10" ht="15.75" thickBot="1" x14ac:dyDescent="0.3">
      <c r="A13" s="9" t="s">
        <v>9</v>
      </c>
      <c r="B13" s="29">
        <f t="shared" si="1"/>
        <v>2179</v>
      </c>
      <c r="C13" s="10">
        <v>6179</v>
      </c>
      <c r="D13" s="11">
        <v>382.536</v>
      </c>
      <c r="E13" s="4">
        <v>2028</v>
      </c>
      <c r="F13" s="31">
        <v>4000</v>
      </c>
      <c r="G13" s="5">
        <f t="shared" si="0"/>
        <v>1530144</v>
      </c>
      <c r="H13" s="5">
        <f t="shared" si="2"/>
        <v>2363689.9440000001</v>
      </c>
      <c r="I13" s="5"/>
      <c r="J13" s="5"/>
    </row>
    <row r="14" spans="1:10" ht="15.75" thickBot="1" x14ac:dyDescent="0.3">
      <c r="A14" s="9" t="s">
        <v>10</v>
      </c>
      <c r="B14" s="29">
        <f t="shared" si="1"/>
        <v>2839</v>
      </c>
      <c r="C14" s="10">
        <v>3239</v>
      </c>
      <c r="D14" s="11">
        <v>436.392</v>
      </c>
      <c r="E14" s="4">
        <v>2028</v>
      </c>
      <c r="F14" s="31">
        <v>400</v>
      </c>
      <c r="G14" s="5">
        <f t="shared" si="0"/>
        <v>174556.79999999999</v>
      </c>
      <c r="H14" s="5">
        <f t="shared" si="2"/>
        <v>1413473.6880000001</v>
      </c>
      <c r="I14" s="5"/>
      <c r="J14" s="5"/>
    </row>
    <row r="15" spans="1:10" ht="15.75" thickBot="1" x14ac:dyDescent="0.3">
      <c r="A15" s="9" t="s">
        <v>11</v>
      </c>
      <c r="B15" s="34">
        <f t="shared" si="1"/>
        <v>400</v>
      </c>
      <c r="C15" s="10">
        <v>900</v>
      </c>
      <c r="D15" s="11">
        <v>474.15500000000003</v>
      </c>
      <c r="E15" s="4">
        <v>2028</v>
      </c>
      <c r="F15" s="31">
        <v>500</v>
      </c>
      <c r="G15" s="5">
        <f t="shared" si="0"/>
        <v>237077.50000000003</v>
      </c>
      <c r="H15" s="5">
        <f t="shared" si="2"/>
        <v>426739.5</v>
      </c>
      <c r="I15" s="5"/>
      <c r="J15" s="5"/>
    </row>
    <row r="16" spans="1:10" ht="15.75" thickBot="1" x14ac:dyDescent="0.3">
      <c r="A16" s="9" t="s">
        <v>12</v>
      </c>
      <c r="B16" s="34">
        <f t="shared" si="1"/>
        <v>460</v>
      </c>
      <c r="C16" s="10">
        <v>860</v>
      </c>
      <c r="D16" s="11">
        <v>345.22399999999999</v>
      </c>
      <c r="E16" s="4">
        <v>2028</v>
      </c>
      <c r="F16" s="31">
        <v>400</v>
      </c>
      <c r="G16" s="5">
        <f t="shared" si="0"/>
        <v>138089.60000000001</v>
      </c>
      <c r="H16" s="5">
        <f t="shared" si="2"/>
        <v>296892.64</v>
      </c>
      <c r="I16" s="5"/>
      <c r="J16" s="5"/>
    </row>
    <row r="17" spans="1:10" ht="15.75" thickBot="1" x14ac:dyDescent="0.3">
      <c r="A17" s="9" t="s">
        <v>13</v>
      </c>
      <c r="B17" s="34">
        <f t="shared" si="1"/>
        <v>501</v>
      </c>
      <c r="C17" s="10">
        <v>901</v>
      </c>
      <c r="D17" s="11">
        <v>429.50599999999997</v>
      </c>
      <c r="E17" s="4">
        <v>2028</v>
      </c>
      <c r="F17" s="31">
        <v>400</v>
      </c>
      <c r="G17" s="5">
        <f t="shared" si="0"/>
        <v>171802.4</v>
      </c>
      <c r="H17" s="5">
        <f t="shared" si="2"/>
        <v>386984.90599999996</v>
      </c>
      <c r="I17" s="5"/>
      <c r="J17" s="5"/>
    </row>
    <row r="18" spans="1:10" ht="15.75" thickBot="1" x14ac:dyDescent="0.3">
      <c r="A18" s="9" t="s">
        <v>14</v>
      </c>
      <c r="B18" s="29">
        <f t="shared" si="1"/>
        <v>2035</v>
      </c>
      <c r="C18" s="10">
        <v>2435</v>
      </c>
      <c r="D18" s="11">
        <v>440.83600000000001</v>
      </c>
      <c r="E18" s="4">
        <v>2028</v>
      </c>
      <c r="F18" s="31">
        <v>400</v>
      </c>
      <c r="G18" s="5">
        <f t="shared" si="0"/>
        <v>176334.4</v>
      </c>
      <c r="H18" s="5">
        <f t="shared" si="2"/>
        <v>1073435.6599999999</v>
      </c>
      <c r="I18" s="5"/>
      <c r="J18" s="5"/>
    </row>
    <row r="19" spans="1:10" ht="15.75" thickBot="1" x14ac:dyDescent="0.3">
      <c r="A19" s="9" t="s">
        <v>15</v>
      </c>
      <c r="B19" s="29">
        <f t="shared" si="1"/>
        <v>2693</v>
      </c>
      <c r="C19" s="10">
        <v>3493</v>
      </c>
      <c r="D19" s="11">
        <v>436.392</v>
      </c>
      <c r="E19" s="4">
        <v>2028</v>
      </c>
      <c r="F19" s="31">
        <v>800</v>
      </c>
      <c r="G19" s="5">
        <f t="shared" si="0"/>
        <v>349113.59999999998</v>
      </c>
      <c r="H19" s="5">
        <f t="shared" si="2"/>
        <v>1524317.2560000001</v>
      </c>
      <c r="I19" s="5"/>
      <c r="J19" s="5"/>
    </row>
    <row r="20" spans="1:10" ht="15.75" thickBot="1" x14ac:dyDescent="0.3">
      <c r="A20" s="9" t="s">
        <v>16</v>
      </c>
      <c r="B20" s="29">
        <f t="shared" si="1"/>
        <v>0</v>
      </c>
      <c r="C20" s="10">
        <v>156</v>
      </c>
      <c r="D20" s="11">
        <v>254.90299999999999</v>
      </c>
      <c r="E20" s="4">
        <v>2028</v>
      </c>
      <c r="F20" s="31">
        <v>156</v>
      </c>
      <c r="G20" s="5">
        <f t="shared" si="0"/>
        <v>39764.868000000002</v>
      </c>
      <c r="H20" s="5">
        <f t="shared" si="2"/>
        <v>39764.868000000002</v>
      </c>
      <c r="I20" s="5"/>
      <c r="J20" s="5"/>
    </row>
    <row r="21" spans="1:10" ht="15.75" thickBot="1" x14ac:dyDescent="0.3">
      <c r="A21" s="9" t="s">
        <v>17</v>
      </c>
      <c r="B21" s="29">
        <f t="shared" si="1"/>
        <v>0</v>
      </c>
      <c r="C21" s="10">
        <v>200</v>
      </c>
      <c r="D21" s="11">
        <v>532.86199999999997</v>
      </c>
      <c r="E21" s="4">
        <v>2028</v>
      </c>
      <c r="F21" s="31">
        <v>200</v>
      </c>
      <c r="G21" s="5">
        <f t="shared" si="0"/>
        <v>106572.4</v>
      </c>
      <c r="H21" s="5">
        <f t="shared" si="2"/>
        <v>106572.4</v>
      </c>
      <c r="I21" s="5"/>
      <c r="J21" s="5"/>
    </row>
    <row r="22" spans="1:10" ht="15.75" thickBot="1" x14ac:dyDescent="0.3">
      <c r="A22" s="9" t="s">
        <v>18</v>
      </c>
      <c r="B22" s="29">
        <f t="shared" si="1"/>
        <v>0</v>
      </c>
      <c r="C22" s="10">
        <v>300</v>
      </c>
      <c r="D22" s="11">
        <v>177.61699999999999</v>
      </c>
      <c r="E22" s="4">
        <v>2028</v>
      </c>
      <c r="F22" s="31">
        <v>300</v>
      </c>
      <c r="G22" s="5">
        <f t="shared" si="0"/>
        <v>53285.1</v>
      </c>
      <c r="H22" s="5">
        <f t="shared" si="2"/>
        <v>53285.1</v>
      </c>
      <c r="I22" s="5"/>
      <c r="J22" s="5"/>
    </row>
    <row r="23" spans="1:10" ht="15.75" thickBot="1" x14ac:dyDescent="0.3">
      <c r="A23" s="9" t="s">
        <v>19</v>
      </c>
      <c r="B23" s="29">
        <f t="shared" si="1"/>
        <v>541</v>
      </c>
      <c r="C23" s="10">
        <v>941</v>
      </c>
      <c r="D23" s="11">
        <v>847.52800000000002</v>
      </c>
      <c r="E23" s="4">
        <v>2028</v>
      </c>
      <c r="F23" s="31">
        <v>400</v>
      </c>
      <c r="G23" s="5">
        <f t="shared" si="0"/>
        <v>339011.2</v>
      </c>
      <c r="H23" s="5">
        <f t="shared" si="2"/>
        <v>797523.848</v>
      </c>
      <c r="I23" s="5"/>
      <c r="J23" s="5"/>
    </row>
    <row r="24" spans="1:10" ht="15.75" thickBot="1" x14ac:dyDescent="0.3">
      <c r="A24" s="9" t="s">
        <v>20</v>
      </c>
      <c r="B24" s="33">
        <f t="shared" si="1"/>
        <v>6863</v>
      </c>
      <c r="C24" s="10">
        <v>7463</v>
      </c>
      <c r="D24" s="11">
        <v>222.49699999999999</v>
      </c>
      <c r="E24" s="4">
        <v>2028</v>
      </c>
      <c r="F24" s="31">
        <v>600</v>
      </c>
      <c r="G24" s="5">
        <f t="shared" si="0"/>
        <v>133498.19999999998</v>
      </c>
      <c r="H24" s="5">
        <f t="shared" si="2"/>
        <v>1660495.1109999998</v>
      </c>
      <c r="I24" s="5"/>
      <c r="J24" s="5"/>
    </row>
    <row r="25" spans="1:10" ht="15.75" thickBot="1" x14ac:dyDescent="0.3">
      <c r="A25" s="9" t="s">
        <v>21</v>
      </c>
      <c r="B25" s="29">
        <f t="shared" si="1"/>
        <v>200</v>
      </c>
      <c r="C25" s="10">
        <v>500</v>
      </c>
      <c r="D25" s="11">
        <v>204.446</v>
      </c>
      <c r="E25" s="4">
        <v>2028</v>
      </c>
      <c r="F25" s="31">
        <v>300</v>
      </c>
      <c r="G25" s="5">
        <f t="shared" si="0"/>
        <v>61333.8</v>
      </c>
      <c r="H25" s="5">
        <f t="shared" si="2"/>
        <v>102223</v>
      </c>
      <c r="I25" s="5"/>
      <c r="J25" s="5"/>
    </row>
    <row r="26" spans="1:10" ht="15.75" thickBot="1" x14ac:dyDescent="0.3">
      <c r="A26" s="9" t="s">
        <v>22</v>
      </c>
      <c r="B26" s="29">
        <f t="shared" si="1"/>
        <v>1014</v>
      </c>
      <c r="C26" s="10">
        <v>1614</v>
      </c>
      <c r="D26" s="11">
        <v>222.49699999999999</v>
      </c>
      <c r="E26" s="4">
        <v>2028</v>
      </c>
      <c r="F26" s="31">
        <v>600</v>
      </c>
      <c r="G26" s="5">
        <f t="shared" si="0"/>
        <v>133498.19999999998</v>
      </c>
      <c r="H26" s="5">
        <f t="shared" si="2"/>
        <v>359110.158</v>
      </c>
      <c r="I26" s="5"/>
      <c r="J26" s="5"/>
    </row>
    <row r="27" spans="1:10" ht="15.75" thickBot="1" x14ac:dyDescent="0.3">
      <c r="A27" s="22" t="s">
        <v>90</v>
      </c>
      <c r="B27" s="29">
        <f t="shared" si="1"/>
        <v>0</v>
      </c>
      <c r="C27" s="10">
        <v>1190</v>
      </c>
      <c r="D27" s="11">
        <v>25</v>
      </c>
      <c r="E27" s="4">
        <v>2028</v>
      </c>
      <c r="F27" s="31">
        <v>1190</v>
      </c>
      <c r="G27" s="5">
        <f t="shared" si="0"/>
        <v>29750</v>
      </c>
      <c r="H27" s="5">
        <f t="shared" si="2"/>
        <v>29750</v>
      </c>
      <c r="I27" s="5"/>
      <c r="J27" s="5"/>
    </row>
    <row r="28" spans="1:10" ht="15.75" thickBot="1" x14ac:dyDescent="0.3">
      <c r="A28" s="1" t="s">
        <v>91</v>
      </c>
      <c r="B28" s="29">
        <f t="shared" si="1"/>
        <v>0</v>
      </c>
      <c r="C28" s="10">
        <v>1190</v>
      </c>
      <c r="D28" s="11">
        <v>25</v>
      </c>
      <c r="E28" s="4">
        <v>2028</v>
      </c>
      <c r="F28" s="31">
        <v>1190</v>
      </c>
      <c r="G28" s="5">
        <f t="shared" si="0"/>
        <v>29750</v>
      </c>
      <c r="H28" s="5">
        <f t="shared" si="2"/>
        <v>29750</v>
      </c>
      <c r="I28" s="5"/>
      <c r="J28" s="5"/>
    </row>
    <row r="29" spans="1:10" ht="15.75" thickBot="1" x14ac:dyDescent="0.3">
      <c r="A29" s="1" t="s">
        <v>92</v>
      </c>
      <c r="B29" s="29">
        <f t="shared" si="1"/>
        <v>0</v>
      </c>
      <c r="C29" s="10">
        <v>1190</v>
      </c>
      <c r="D29" s="11">
        <v>25</v>
      </c>
      <c r="E29" s="4">
        <v>2028</v>
      </c>
      <c r="F29" s="31">
        <v>1190</v>
      </c>
      <c r="G29" s="5">
        <f t="shared" si="0"/>
        <v>29750</v>
      </c>
      <c r="H29" s="5">
        <f t="shared" si="2"/>
        <v>29750</v>
      </c>
      <c r="I29" s="5"/>
      <c r="J29" s="5"/>
    </row>
    <row r="30" spans="1:10" ht="15.75" thickBot="1" x14ac:dyDescent="0.3">
      <c r="A30" s="1" t="s">
        <v>93</v>
      </c>
      <c r="B30" s="29">
        <f t="shared" si="1"/>
        <v>0</v>
      </c>
      <c r="C30" s="10">
        <v>1190</v>
      </c>
      <c r="D30" s="11">
        <v>25</v>
      </c>
      <c r="E30" s="4">
        <v>2028</v>
      </c>
      <c r="F30" s="31">
        <v>1190</v>
      </c>
      <c r="G30" s="5">
        <f t="shared" si="0"/>
        <v>29750</v>
      </c>
      <c r="H30" s="5">
        <f t="shared" si="2"/>
        <v>29750</v>
      </c>
      <c r="I30" s="5"/>
      <c r="J30" s="5"/>
    </row>
    <row r="31" spans="1:10" ht="15.75" thickBot="1" x14ac:dyDescent="0.3">
      <c r="A31" s="1" t="s">
        <v>94</v>
      </c>
      <c r="B31" s="29">
        <f t="shared" si="1"/>
        <v>0</v>
      </c>
      <c r="C31" s="10">
        <v>1190</v>
      </c>
      <c r="D31" s="11">
        <v>25</v>
      </c>
      <c r="E31" s="4">
        <v>2028</v>
      </c>
      <c r="F31" s="31">
        <v>1190</v>
      </c>
      <c r="G31" s="5">
        <f t="shared" si="0"/>
        <v>29750</v>
      </c>
      <c r="H31" s="5">
        <f t="shared" si="2"/>
        <v>29750</v>
      </c>
      <c r="I31" s="5"/>
      <c r="J31" s="5"/>
    </row>
    <row r="32" spans="1:10" ht="15.75" thickBot="1" x14ac:dyDescent="0.3">
      <c r="A32" s="1" t="s">
        <v>95</v>
      </c>
      <c r="B32" s="29">
        <f t="shared" si="1"/>
        <v>0</v>
      </c>
      <c r="C32" s="10">
        <v>1190</v>
      </c>
      <c r="D32" s="11">
        <v>25</v>
      </c>
      <c r="E32" s="4">
        <v>2028</v>
      </c>
      <c r="F32" s="31">
        <v>1190</v>
      </c>
      <c r="G32" s="5">
        <f t="shared" si="0"/>
        <v>29750</v>
      </c>
      <c r="H32" s="5">
        <f t="shared" si="2"/>
        <v>29750</v>
      </c>
      <c r="I32" s="5"/>
      <c r="J32" s="5"/>
    </row>
    <row r="33" spans="1:10" ht="15.75" thickBot="1" x14ac:dyDescent="0.3">
      <c r="A33" s="1" t="s">
        <v>96</v>
      </c>
      <c r="B33" s="29">
        <f t="shared" si="1"/>
        <v>0</v>
      </c>
      <c r="C33" s="10">
        <v>1190</v>
      </c>
      <c r="D33" s="11">
        <v>25</v>
      </c>
      <c r="E33" s="4">
        <v>2028</v>
      </c>
      <c r="F33" s="31">
        <v>1190</v>
      </c>
      <c r="G33" s="5">
        <f t="shared" si="0"/>
        <v>29750</v>
      </c>
      <c r="H33" s="5">
        <f t="shared" si="2"/>
        <v>29750</v>
      </c>
      <c r="I33" s="5"/>
      <c r="J33" s="5"/>
    </row>
    <row r="34" spans="1:10" ht="15.75" thickBot="1" x14ac:dyDescent="0.3">
      <c r="A34" s="1" t="s">
        <v>97</v>
      </c>
      <c r="B34" s="29">
        <f t="shared" si="1"/>
        <v>0</v>
      </c>
      <c r="C34" s="10">
        <v>1190</v>
      </c>
      <c r="D34" s="11">
        <v>25</v>
      </c>
      <c r="E34" s="4">
        <v>2028</v>
      </c>
      <c r="F34" s="31">
        <v>1190</v>
      </c>
      <c r="G34" s="5">
        <f t="shared" si="0"/>
        <v>29750</v>
      </c>
      <c r="H34" s="5">
        <f t="shared" si="2"/>
        <v>29750</v>
      </c>
      <c r="I34" s="5"/>
      <c r="J34" s="5"/>
    </row>
    <row r="35" spans="1:10" ht="15.75" thickBot="1" x14ac:dyDescent="0.3">
      <c r="A35" s="1" t="s">
        <v>98</v>
      </c>
      <c r="B35" s="29">
        <f t="shared" si="1"/>
        <v>0</v>
      </c>
      <c r="C35" s="10">
        <v>1190</v>
      </c>
      <c r="D35" s="11">
        <v>25</v>
      </c>
      <c r="E35" s="4">
        <v>2028</v>
      </c>
      <c r="F35" s="31">
        <v>1190</v>
      </c>
      <c r="G35" s="5">
        <f t="shared" si="0"/>
        <v>29750</v>
      </c>
      <c r="H35" s="5">
        <f t="shared" si="2"/>
        <v>29750</v>
      </c>
      <c r="I35" s="5"/>
      <c r="J35" s="5"/>
    </row>
    <row r="36" spans="1:10" ht="15.75" thickBot="1" x14ac:dyDescent="0.3">
      <c r="A36" s="1" t="s">
        <v>99</v>
      </c>
      <c r="B36" s="29">
        <f t="shared" si="1"/>
        <v>0</v>
      </c>
      <c r="C36" s="10">
        <v>1190</v>
      </c>
      <c r="D36" s="11">
        <v>25</v>
      </c>
      <c r="E36" s="4">
        <v>2028</v>
      </c>
      <c r="F36" s="31">
        <v>1190</v>
      </c>
      <c r="G36" s="5">
        <f t="shared" si="0"/>
        <v>29750</v>
      </c>
      <c r="H36" s="5">
        <f t="shared" si="2"/>
        <v>29750</v>
      </c>
      <c r="I36" s="5"/>
      <c r="J36" s="5"/>
    </row>
    <row r="37" spans="1:10" ht="15.75" thickBot="1" x14ac:dyDescent="0.3">
      <c r="A37" s="1" t="s">
        <v>100</v>
      </c>
      <c r="B37" s="29">
        <f t="shared" si="1"/>
        <v>0</v>
      </c>
      <c r="C37" s="10">
        <v>1190</v>
      </c>
      <c r="D37" s="11">
        <v>25</v>
      </c>
      <c r="E37" s="4">
        <v>2028</v>
      </c>
      <c r="F37" s="31">
        <v>1190</v>
      </c>
      <c r="G37" s="5">
        <f t="shared" si="0"/>
        <v>29750</v>
      </c>
      <c r="H37" s="5">
        <f t="shared" si="2"/>
        <v>29750</v>
      </c>
      <c r="I37" s="5"/>
      <c r="J37" s="5"/>
    </row>
    <row r="38" spans="1:10" ht="15.75" thickBot="1" x14ac:dyDescent="0.3">
      <c r="A38" s="1" t="s">
        <v>101</v>
      </c>
      <c r="B38" s="29">
        <f t="shared" si="1"/>
        <v>0</v>
      </c>
      <c r="C38" s="10">
        <v>1190</v>
      </c>
      <c r="D38" s="11">
        <v>25</v>
      </c>
      <c r="E38" s="4">
        <v>2028</v>
      </c>
      <c r="F38" s="31">
        <v>1190</v>
      </c>
      <c r="G38" s="5">
        <f t="shared" si="0"/>
        <v>29750</v>
      </c>
      <c r="H38" s="5">
        <f t="shared" si="2"/>
        <v>29750</v>
      </c>
      <c r="I38" s="5"/>
      <c r="J38" s="5"/>
    </row>
    <row r="39" spans="1:10" ht="15.75" thickBot="1" x14ac:dyDescent="0.3">
      <c r="A39" s="1" t="s">
        <v>102</v>
      </c>
      <c r="B39" s="29">
        <f t="shared" si="1"/>
        <v>0</v>
      </c>
      <c r="C39" s="10">
        <v>1190</v>
      </c>
      <c r="D39" s="11">
        <v>25</v>
      </c>
      <c r="E39" s="4">
        <v>2028</v>
      </c>
      <c r="F39" s="31">
        <v>1190</v>
      </c>
      <c r="G39" s="5">
        <f t="shared" si="0"/>
        <v>29750</v>
      </c>
      <c r="H39" s="5">
        <f t="shared" si="2"/>
        <v>29750</v>
      </c>
      <c r="I39" s="5"/>
      <c r="J39" s="5"/>
    </row>
    <row r="40" spans="1:10" ht="15.75" thickBot="1" x14ac:dyDescent="0.3">
      <c r="A40" s="1" t="s">
        <v>103</v>
      </c>
      <c r="B40" s="29">
        <f t="shared" si="1"/>
        <v>0</v>
      </c>
      <c r="C40" s="10">
        <v>1190</v>
      </c>
      <c r="D40" s="11">
        <v>25</v>
      </c>
      <c r="E40" s="4">
        <v>2028</v>
      </c>
      <c r="F40" s="31">
        <v>1190</v>
      </c>
      <c r="G40" s="5">
        <f t="shared" si="0"/>
        <v>29750</v>
      </c>
      <c r="H40" s="5">
        <f t="shared" si="2"/>
        <v>29750</v>
      </c>
      <c r="I40" s="5"/>
      <c r="J40" s="5"/>
    </row>
    <row r="41" spans="1:10" ht="15.75" thickBot="1" x14ac:dyDescent="0.3">
      <c r="A41" s="1" t="s">
        <v>104</v>
      </c>
      <c r="B41" s="29">
        <f t="shared" si="1"/>
        <v>0</v>
      </c>
      <c r="C41" s="10">
        <v>1190</v>
      </c>
      <c r="D41" s="11">
        <v>25</v>
      </c>
      <c r="E41" s="4">
        <v>2028</v>
      </c>
      <c r="F41" s="31">
        <v>1190</v>
      </c>
      <c r="G41" s="5">
        <f t="shared" si="0"/>
        <v>29750</v>
      </c>
      <c r="H41" s="5">
        <f t="shared" si="2"/>
        <v>29750</v>
      </c>
      <c r="I41" s="5"/>
      <c r="J41" s="5"/>
    </row>
    <row r="42" spans="1:10" ht="15.75" thickBot="1" x14ac:dyDescent="0.3">
      <c r="A42" s="1" t="s">
        <v>105</v>
      </c>
      <c r="B42" s="29">
        <f t="shared" si="1"/>
        <v>0</v>
      </c>
      <c r="C42" s="10">
        <v>1190</v>
      </c>
      <c r="D42" s="11">
        <v>25</v>
      </c>
      <c r="E42" s="4">
        <v>2028</v>
      </c>
      <c r="F42" s="31">
        <v>1190</v>
      </c>
      <c r="G42" s="5">
        <f t="shared" si="0"/>
        <v>29750</v>
      </c>
      <c r="H42" s="5">
        <f t="shared" si="2"/>
        <v>29750</v>
      </c>
      <c r="I42" s="5"/>
      <c r="J42" s="5"/>
    </row>
    <row r="43" spans="1:10" ht="15.75" thickBot="1" x14ac:dyDescent="0.3">
      <c r="A43" s="9" t="s">
        <v>23</v>
      </c>
      <c r="B43" s="29">
        <f t="shared" si="1"/>
        <v>500</v>
      </c>
      <c r="C43" s="10">
        <v>800</v>
      </c>
      <c r="D43" s="11">
        <v>291.89600000000002</v>
      </c>
      <c r="E43" s="4">
        <v>2028</v>
      </c>
      <c r="F43" s="31">
        <v>300</v>
      </c>
      <c r="G43" s="5">
        <f t="shared" si="0"/>
        <v>87568.8</v>
      </c>
      <c r="H43" s="5">
        <f t="shared" si="2"/>
        <v>233516.80000000002</v>
      </c>
      <c r="I43" s="5"/>
      <c r="J43" s="5"/>
    </row>
    <row r="44" spans="1:10" ht="15.75" thickBot="1" x14ac:dyDescent="0.3">
      <c r="A44" s="9" t="s">
        <v>24</v>
      </c>
      <c r="B44" s="29">
        <f t="shared" si="1"/>
        <v>500</v>
      </c>
      <c r="C44" s="10">
        <v>800</v>
      </c>
      <c r="D44" s="11">
        <v>291.89600000000002</v>
      </c>
      <c r="E44" s="4">
        <v>2028</v>
      </c>
      <c r="F44" s="31">
        <v>300</v>
      </c>
      <c r="G44" s="5">
        <f t="shared" si="0"/>
        <v>87568.8</v>
      </c>
      <c r="H44" s="5">
        <f t="shared" si="2"/>
        <v>233516.80000000002</v>
      </c>
      <c r="I44" s="5"/>
      <c r="J44" s="5"/>
    </row>
    <row r="45" spans="1:10" ht="15.75" thickBot="1" x14ac:dyDescent="0.3">
      <c r="A45" s="12" t="s">
        <v>25</v>
      </c>
      <c r="B45" s="29">
        <f t="shared" si="1"/>
        <v>0</v>
      </c>
      <c r="C45" s="13">
        <v>100</v>
      </c>
      <c r="D45" s="14">
        <v>291.89600000000002</v>
      </c>
      <c r="E45" s="4">
        <v>2028</v>
      </c>
      <c r="F45" s="31">
        <v>100</v>
      </c>
      <c r="G45" s="5">
        <f t="shared" si="0"/>
        <v>29189.600000000002</v>
      </c>
      <c r="H45" s="5">
        <f t="shared" si="2"/>
        <v>29189.600000000002</v>
      </c>
      <c r="I45" s="5"/>
      <c r="J45" s="5"/>
    </row>
    <row r="46" spans="1:10" ht="15.75" thickBot="1" x14ac:dyDescent="0.3">
      <c r="A46" s="23" t="s">
        <v>26</v>
      </c>
      <c r="B46" s="29">
        <f t="shared" si="1"/>
        <v>0</v>
      </c>
      <c r="C46" s="15">
        <v>110</v>
      </c>
      <c r="D46" s="16">
        <v>376.49699999999996</v>
      </c>
      <c r="E46" s="4">
        <v>2028</v>
      </c>
      <c r="F46" s="31">
        <v>110</v>
      </c>
      <c r="G46" s="5">
        <f t="shared" si="0"/>
        <v>41414.67</v>
      </c>
      <c r="H46" s="5">
        <f t="shared" si="2"/>
        <v>41414.67</v>
      </c>
      <c r="I46" s="5"/>
      <c r="J46" s="5"/>
    </row>
    <row r="47" spans="1:10" ht="15.75" thickBot="1" x14ac:dyDescent="0.3">
      <c r="A47" s="24" t="s">
        <v>27</v>
      </c>
      <c r="B47" s="29">
        <f t="shared" si="1"/>
        <v>0</v>
      </c>
      <c r="C47" s="15">
        <v>110</v>
      </c>
      <c r="D47" s="17">
        <v>376.49699999999996</v>
      </c>
      <c r="E47" s="4">
        <v>2028</v>
      </c>
      <c r="F47" s="31">
        <v>110</v>
      </c>
      <c r="G47" s="5">
        <f t="shared" si="0"/>
        <v>41414.67</v>
      </c>
      <c r="H47" s="5">
        <f t="shared" si="2"/>
        <v>41414.67</v>
      </c>
      <c r="I47" s="5"/>
      <c r="J47" s="5"/>
    </row>
    <row r="48" spans="1:10" ht="15.75" thickBot="1" x14ac:dyDescent="0.3">
      <c r="A48" s="24" t="s">
        <v>28</v>
      </c>
      <c r="B48" s="29">
        <f t="shared" si="1"/>
        <v>0</v>
      </c>
      <c r="C48" s="15">
        <v>110</v>
      </c>
      <c r="D48" s="17">
        <v>376.49699999999996</v>
      </c>
      <c r="E48" s="4">
        <v>2028</v>
      </c>
      <c r="F48" s="31">
        <v>110</v>
      </c>
      <c r="G48" s="5">
        <f t="shared" si="0"/>
        <v>41414.67</v>
      </c>
      <c r="H48" s="5">
        <f t="shared" si="2"/>
        <v>41414.67</v>
      </c>
      <c r="I48" s="5"/>
      <c r="J48" s="5"/>
    </row>
    <row r="49" spans="1:10" ht="15.75" thickBot="1" x14ac:dyDescent="0.3">
      <c r="A49" s="24" t="s">
        <v>106</v>
      </c>
      <c r="B49" s="29">
        <f t="shared" si="1"/>
        <v>0</v>
      </c>
      <c r="C49" s="15">
        <v>110</v>
      </c>
      <c r="D49" s="17">
        <v>376.49699999999996</v>
      </c>
      <c r="E49" s="4">
        <v>2028</v>
      </c>
      <c r="F49" s="31">
        <v>110</v>
      </c>
      <c r="G49" s="5">
        <f t="shared" si="0"/>
        <v>41414.67</v>
      </c>
      <c r="H49" s="5">
        <f t="shared" si="2"/>
        <v>41414.67</v>
      </c>
      <c r="I49" s="5"/>
      <c r="J49" s="5"/>
    </row>
    <row r="50" spans="1:10" ht="15.75" thickBot="1" x14ac:dyDescent="0.3">
      <c r="A50" s="24" t="s">
        <v>29</v>
      </c>
      <c r="B50" s="29">
        <f t="shared" si="1"/>
        <v>0</v>
      </c>
      <c r="C50" s="15">
        <v>110</v>
      </c>
      <c r="D50" s="17">
        <v>495.38499999999999</v>
      </c>
      <c r="E50" s="4">
        <v>2028</v>
      </c>
      <c r="F50" s="31">
        <v>110</v>
      </c>
      <c r="G50" s="5">
        <f t="shared" si="0"/>
        <v>54492.35</v>
      </c>
      <c r="H50" s="5">
        <f t="shared" si="2"/>
        <v>54492.35</v>
      </c>
      <c r="I50" s="5"/>
      <c r="J50" s="5"/>
    </row>
    <row r="51" spans="1:10" ht="15.75" thickBot="1" x14ac:dyDescent="0.3">
      <c r="A51" s="24" t="s">
        <v>108</v>
      </c>
      <c r="B51" s="29">
        <f t="shared" si="1"/>
        <v>0</v>
      </c>
      <c r="C51" s="15">
        <v>110</v>
      </c>
      <c r="D51" s="17">
        <v>495.38499999999999</v>
      </c>
      <c r="E51" s="4">
        <v>2028</v>
      </c>
      <c r="F51" s="31">
        <v>110</v>
      </c>
      <c r="G51" s="5">
        <f t="shared" si="0"/>
        <v>54492.35</v>
      </c>
      <c r="H51" s="5">
        <f t="shared" si="2"/>
        <v>54492.35</v>
      </c>
      <c r="I51" s="5"/>
      <c r="J51" s="5"/>
    </row>
    <row r="52" spans="1:10" ht="15.75" thickBot="1" x14ac:dyDescent="0.3">
      <c r="A52" s="24" t="s">
        <v>30</v>
      </c>
      <c r="B52" s="29">
        <f t="shared" si="1"/>
        <v>0</v>
      </c>
      <c r="C52" s="15">
        <v>110</v>
      </c>
      <c r="D52" s="17">
        <v>495.38499999999999</v>
      </c>
      <c r="E52" s="4">
        <v>2028</v>
      </c>
      <c r="F52" s="31">
        <v>110</v>
      </c>
      <c r="G52" s="5">
        <f t="shared" si="0"/>
        <v>54492.35</v>
      </c>
      <c r="H52" s="5">
        <f t="shared" si="2"/>
        <v>54492.35</v>
      </c>
      <c r="I52" s="5"/>
      <c r="J52" s="5"/>
    </row>
    <row r="53" spans="1:10" ht="24" thickBot="1" x14ac:dyDescent="0.3">
      <c r="A53" s="24" t="s">
        <v>31</v>
      </c>
      <c r="B53" s="29">
        <f t="shared" si="1"/>
        <v>0</v>
      </c>
      <c r="C53" s="15">
        <v>110</v>
      </c>
      <c r="D53" s="17">
        <v>350.29499999999996</v>
      </c>
      <c r="E53" s="4">
        <v>2028</v>
      </c>
      <c r="F53" s="31">
        <v>110</v>
      </c>
      <c r="G53" s="5">
        <f t="shared" si="0"/>
        <v>38532.449999999997</v>
      </c>
      <c r="H53" s="5">
        <f t="shared" si="2"/>
        <v>38532.449999999997</v>
      </c>
      <c r="I53" s="5"/>
      <c r="J53" s="5"/>
    </row>
    <row r="54" spans="1:10" ht="15.75" thickBot="1" x14ac:dyDescent="0.3">
      <c r="A54" s="24" t="s">
        <v>32</v>
      </c>
      <c r="B54" s="29">
        <f t="shared" si="1"/>
        <v>0</v>
      </c>
      <c r="C54" s="15">
        <v>110</v>
      </c>
      <c r="D54" s="17">
        <v>495.38499999999999</v>
      </c>
      <c r="E54" s="4">
        <v>2028</v>
      </c>
      <c r="F54" s="31">
        <v>110</v>
      </c>
      <c r="G54" s="5">
        <f t="shared" si="0"/>
        <v>54492.35</v>
      </c>
      <c r="H54" s="5">
        <f t="shared" si="2"/>
        <v>54492.35</v>
      </c>
      <c r="I54" s="5"/>
      <c r="J54" s="5"/>
    </row>
    <row r="55" spans="1:10" ht="15.75" thickBot="1" x14ac:dyDescent="0.3">
      <c r="A55" s="25" t="s">
        <v>33</v>
      </c>
      <c r="B55" s="29">
        <f t="shared" si="1"/>
        <v>0</v>
      </c>
      <c r="C55" s="15">
        <v>110</v>
      </c>
      <c r="D55" s="18">
        <v>376.49699999999996</v>
      </c>
      <c r="E55" s="4">
        <v>2028</v>
      </c>
      <c r="F55" s="31">
        <v>110</v>
      </c>
      <c r="G55" s="5">
        <f t="shared" si="0"/>
        <v>41414.67</v>
      </c>
      <c r="H55" s="5">
        <f t="shared" si="2"/>
        <v>41414.67</v>
      </c>
      <c r="I55" s="5"/>
      <c r="J55" s="5"/>
    </row>
    <row r="56" spans="1:10" ht="15.75" thickBot="1" x14ac:dyDescent="0.3">
      <c r="A56" s="19" t="s">
        <v>34</v>
      </c>
      <c r="B56" s="29">
        <f t="shared" si="1"/>
        <v>0</v>
      </c>
      <c r="C56" s="20">
        <v>832</v>
      </c>
      <c r="D56" s="21">
        <v>509.52</v>
      </c>
      <c r="E56" s="4">
        <v>2028</v>
      </c>
      <c r="F56" s="31">
        <v>832</v>
      </c>
      <c r="G56" s="5">
        <f t="shared" si="0"/>
        <v>423920.64000000001</v>
      </c>
      <c r="H56" s="5">
        <f t="shared" si="2"/>
        <v>423920.64000000001</v>
      </c>
      <c r="I56" s="5"/>
      <c r="J56" s="5"/>
    </row>
    <row r="57" spans="1:10" ht="15.75" thickBot="1" x14ac:dyDescent="0.3">
      <c r="A57" s="9" t="s">
        <v>35</v>
      </c>
      <c r="B57" s="29">
        <f t="shared" si="1"/>
        <v>200</v>
      </c>
      <c r="C57" s="10">
        <v>400</v>
      </c>
      <c r="D57" s="11">
        <v>118.96500000000002</v>
      </c>
      <c r="E57" s="4" t="s">
        <v>85</v>
      </c>
      <c r="F57" s="31">
        <v>200</v>
      </c>
      <c r="G57" s="5">
        <f t="shared" si="0"/>
        <v>23793.000000000004</v>
      </c>
      <c r="H57" s="5">
        <f t="shared" si="2"/>
        <v>47586.000000000007</v>
      </c>
      <c r="I57" s="5"/>
      <c r="J57" s="5"/>
    </row>
    <row r="58" spans="1:10" ht="15.75" thickBot="1" x14ac:dyDescent="0.3">
      <c r="A58" s="9" t="s">
        <v>36</v>
      </c>
      <c r="B58" s="29">
        <f t="shared" si="1"/>
        <v>905</v>
      </c>
      <c r="C58" s="10">
        <v>1355</v>
      </c>
      <c r="D58" s="11">
        <v>989.75799999999992</v>
      </c>
      <c r="E58" s="4">
        <v>2028</v>
      </c>
      <c r="F58" s="31">
        <v>450</v>
      </c>
      <c r="G58" s="5">
        <f t="shared" si="0"/>
        <v>445391.1</v>
      </c>
      <c r="H58" s="5">
        <f t="shared" si="2"/>
        <v>1341122.0899999999</v>
      </c>
      <c r="I58" s="5"/>
      <c r="J58" s="5"/>
    </row>
    <row r="59" spans="1:10" ht="15.75" thickBot="1" x14ac:dyDescent="0.3">
      <c r="A59" s="9" t="s">
        <v>37</v>
      </c>
      <c r="B59" s="29">
        <f t="shared" si="1"/>
        <v>459</v>
      </c>
      <c r="C59" s="10">
        <v>759</v>
      </c>
      <c r="D59" s="11">
        <v>711.51300000000003</v>
      </c>
      <c r="E59" s="4">
        <v>2028</v>
      </c>
      <c r="F59" s="31">
        <v>300</v>
      </c>
      <c r="G59" s="5">
        <f t="shared" si="0"/>
        <v>213453.90000000002</v>
      </c>
      <c r="H59" s="5">
        <f t="shared" si="2"/>
        <v>540038.36699999997</v>
      </c>
      <c r="I59" s="5"/>
      <c r="J59" s="5"/>
    </row>
    <row r="60" spans="1:10" ht="15.75" thickBot="1" x14ac:dyDescent="0.3">
      <c r="A60" s="9" t="s">
        <v>38</v>
      </c>
      <c r="B60" s="29">
        <f t="shared" si="1"/>
        <v>324</v>
      </c>
      <c r="C60" s="10">
        <v>624</v>
      </c>
      <c r="D60" s="11">
        <v>808.87400000000002</v>
      </c>
      <c r="E60" s="4">
        <v>2028</v>
      </c>
      <c r="F60" s="31">
        <v>300</v>
      </c>
      <c r="G60" s="5">
        <f t="shared" si="0"/>
        <v>242662.2</v>
      </c>
      <c r="H60" s="5">
        <f t="shared" si="2"/>
        <v>504737.37599999999</v>
      </c>
      <c r="I60" s="5"/>
      <c r="J60" s="5"/>
    </row>
    <row r="61" spans="1:10" ht="15.75" thickBot="1" x14ac:dyDescent="0.3">
      <c r="A61" s="9" t="s">
        <v>39</v>
      </c>
      <c r="B61" s="29">
        <f t="shared" si="1"/>
        <v>0</v>
      </c>
      <c r="C61" s="10">
        <v>80</v>
      </c>
      <c r="D61" s="11">
        <v>938.3</v>
      </c>
      <c r="E61" s="4">
        <v>2028</v>
      </c>
      <c r="F61" s="31">
        <v>80</v>
      </c>
      <c r="G61" s="5">
        <f t="shared" si="0"/>
        <v>75064</v>
      </c>
      <c r="H61" s="5">
        <f t="shared" si="2"/>
        <v>75064</v>
      </c>
      <c r="I61" s="5"/>
      <c r="J61" s="5"/>
    </row>
    <row r="62" spans="1:10" ht="15.75" thickBot="1" x14ac:dyDescent="0.3">
      <c r="A62" s="9" t="s">
        <v>40</v>
      </c>
      <c r="B62" s="29">
        <f t="shared" si="1"/>
        <v>300</v>
      </c>
      <c r="C62" s="10">
        <v>650</v>
      </c>
      <c r="D62" s="11">
        <v>813.90099999999995</v>
      </c>
      <c r="E62" s="4">
        <v>2028</v>
      </c>
      <c r="F62" s="31">
        <v>350</v>
      </c>
      <c r="G62" s="5">
        <f t="shared" si="0"/>
        <v>284865.34999999998</v>
      </c>
      <c r="H62" s="5">
        <f t="shared" si="2"/>
        <v>529035.65</v>
      </c>
      <c r="I62" s="5"/>
      <c r="J62" s="5"/>
    </row>
    <row r="63" spans="1:10" ht="15.75" thickBot="1" x14ac:dyDescent="0.3">
      <c r="A63" s="9" t="s">
        <v>41</v>
      </c>
      <c r="B63" s="29">
        <f t="shared" si="1"/>
        <v>514</v>
      </c>
      <c r="C63" s="10">
        <v>614</v>
      </c>
      <c r="D63" s="11">
        <v>1096.425</v>
      </c>
      <c r="E63" s="4">
        <v>2028</v>
      </c>
      <c r="F63" s="31">
        <v>100</v>
      </c>
      <c r="G63" s="5">
        <f t="shared" si="0"/>
        <v>109642.5</v>
      </c>
      <c r="H63" s="5">
        <f t="shared" si="2"/>
        <v>673204.95</v>
      </c>
      <c r="I63" s="5"/>
      <c r="J63" s="5"/>
    </row>
    <row r="64" spans="1:10" ht="15.75" thickBot="1" x14ac:dyDescent="0.3">
      <c r="A64" s="9" t="s">
        <v>42</v>
      </c>
      <c r="B64" s="29">
        <f t="shared" si="1"/>
        <v>0</v>
      </c>
      <c r="C64" s="10">
        <v>360</v>
      </c>
      <c r="D64" s="11">
        <v>423.55500000000001</v>
      </c>
      <c r="E64" s="4">
        <v>2028</v>
      </c>
      <c r="F64" s="31">
        <v>360</v>
      </c>
      <c r="G64" s="5">
        <f t="shared" si="0"/>
        <v>152479.79999999999</v>
      </c>
      <c r="H64" s="5">
        <f t="shared" si="2"/>
        <v>152479.79999999999</v>
      </c>
      <c r="I64" s="5"/>
      <c r="J64" s="5"/>
    </row>
    <row r="65" spans="1:10" ht="15.75" thickBot="1" x14ac:dyDescent="0.3">
      <c r="A65" s="9" t="s">
        <v>43</v>
      </c>
      <c r="B65" s="29">
        <f t="shared" si="1"/>
        <v>0</v>
      </c>
      <c r="C65" s="10">
        <v>180</v>
      </c>
      <c r="D65" s="11">
        <v>535.35900000000004</v>
      </c>
      <c r="E65" s="4">
        <v>2028</v>
      </c>
      <c r="F65" s="31">
        <v>180</v>
      </c>
      <c r="G65" s="5">
        <f t="shared" si="0"/>
        <v>96364.62000000001</v>
      </c>
      <c r="H65" s="5">
        <f t="shared" si="2"/>
        <v>96364.62000000001</v>
      </c>
      <c r="I65" s="5"/>
      <c r="J65" s="5"/>
    </row>
    <row r="66" spans="1:10" ht="15.75" thickBot="1" x14ac:dyDescent="0.3">
      <c r="A66" s="9" t="s">
        <v>44</v>
      </c>
      <c r="B66" s="29">
        <f t="shared" si="1"/>
        <v>0</v>
      </c>
      <c r="C66" s="10">
        <v>156</v>
      </c>
      <c r="D66" s="11">
        <v>457.00599999999991</v>
      </c>
      <c r="E66" s="4">
        <v>2028</v>
      </c>
      <c r="F66" s="31">
        <v>156</v>
      </c>
      <c r="G66" s="5">
        <f t="shared" si="0"/>
        <v>71292.935999999987</v>
      </c>
      <c r="H66" s="5">
        <f t="shared" si="2"/>
        <v>71292.935999999987</v>
      </c>
      <c r="I66" s="5"/>
      <c r="J66" s="5"/>
    </row>
    <row r="67" spans="1:10" ht="15.75" thickBot="1" x14ac:dyDescent="0.3">
      <c r="A67" s="9" t="s">
        <v>45</v>
      </c>
      <c r="B67" s="29">
        <f t="shared" si="1"/>
        <v>0</v>
      </c>
      <c r="C67" s="10">
        <v>89</v>
      </c>
      <c r="D67" s="11">
        <v>650.41899999999998</v>
      </c>
      <c r="E67" s="4">
        <v>2028</v>
      </c>
      <c r="F67" s="31">
        <v>89</v>
      </c>
      <c r="G67" s="5">
        <f t="shared" si="0"/>
        <v>57887.290999999997</v>
      </c>
      <c r="H67" s="5">
        <f t="shared" si="2"/>
        <v>57887.290999999997</v>
      </c>
      <c r="I67" s="5"/>
      <c r="J67" s="5"/>
    </row>
    <row r="68" spans="1:10" ht="15.75" thickBot="1" x14ac:dyDescent="0.3">
      <c r="A68" s="9" t="s">
        <v>46</v>
      </c>
      <c r="B68" s="29">
        <f t="shared" ref="B68:B104" si="3">C68-F68</f>
        <v>0</v>
      </c>
      <c r="C68" s="10">
        <v>72</v>
      </c>
      <c r="D68" s="11">
        <v>457.00599999999991</v>
      </c>
      <c r="E68" s="4">
        <v>2028</v>
      </c>
      <c r="F68" s="31">
        <v>72</v>
      </c>
      <c r="G68" s="5">
        <f t="shared" ref="G68:G103" si="4">D68*F68</f>
        <v>32904.431999999993</v>
      </c>
      <c r="H68" s="5">
        <f t="shared" ref="H68:H104" si="5">C68*D68</f>
        <v>32904.431999999993</v>
      </c>
      <c r="I68" s="5"/>
      <c r="J68" s="5"/>
    </row>
    <row r="69" spans="1:10" ht="15.75" thickBot="1" x14ac:dyDescent="0.3">
      <c r="A69" s="9" t="s">
        <v>47</v>
      </c>
      <c r="B69" s="29">
        <f t="shared" si="3"/>
        <v>0</v>
      </c>
      <c r="C69" s="10">
        <v>0</v>
      </c>
      <c r="D69" s="11">
        <v>457.00599999999991</v>
      </c>
      <c r="E69" s="4">
        <v>2028</v>
      </c>
      <c r="F69" s="31"/>
      <c r="G69" s="5">
        <f t="shared" si="4"/>
        <v>0</v>
      </c>
      <c r="H69" s="5">
        <f t="shared" si="5"/>
        <v>0</v>
      </c>
      <c r="I69" s="5"/>
      <c r="J69" s="5"/>
    </row>
    <row r="70" spans="1:10" ht="15.75" thickBot="1" x14ac:dyDescent="0.3">
      <c r="A70" s="9" t="s">
        <v>48</v>
      </c>
      <c r="B70" s="29">
        <f t="shared" si="3"/>
        <v>0</v>
      </c>
      <c r="C70" s="10">
        <v>0</v>
      </c>
      <c r="D70" s="11">
        <v>423.55500000000001</v>
      </c>
      <c r="E70" s="4">
        <v>2028</v>
      </c>
      <c r="F70" s="31"/>
      <c r="G70" s="5">
        <f t="shared" si="4"/>
        <v>0</v>
      </c>
      <c r="H70" s="5">
        <f t="shared" si="5"/>
        <v>0</v>
      </c>
      <c r="I70" s="5"/>
      <c r="J70" s="5"/>
    </row>
    <row r="71" spans="1:10" ht="15.75" thickBot="1" x14ac:dyDescent="0.3">
      <c r="A71" s="9" t="s">
        <v>49</v>
      </c>
      <c r="B71" s="29">
        <f t="shared" si="3"/>
        <v>0</v>
      </c>
      <c r="C71" s="10">
        <v>117</v>
      </c>
      <c r="D71" s="11">
        <v>535.35900000000004</v>
      </c>
      <c r="E71" s="4">
        <v>2028</v>
      </c>
      <c r="F71" s="31">
        <v>117</v>
      </c>
      <c r="G71" s="5">
        <f t="shared" si="4"/>
        <v>62637.003000000004</v>
      </c>
      <c r="H71" s="5">
        <f t="shared" si="5"/>
        <v>62637.003000000004</v>
      </c>
      <c r="I71" s="5"/>
      <c r="J71" s="5"/>
    </row>
    <row r="72" spans="1:10" ht="15.75" thickBot="1" x14ac:dyDescent="0.3">
      <c r="A72" s="9" t="s">
        <v>50</v>
      </c>
      <c r="B72" s="29">
        <f t="shared" si="3"/>
        <v>0</v>
      </c>
      <c r="C72" s="10">
        <v>216</v>
      </c>
      <c r="D72" s="11">
        <v>426.43700000000001</v>
      </c>
      <c r="E72" s="4">
        <v>2028</v>
      </c>
      <c r="F72" s="31">
        <v>216</v>
      </c>
      <c r="G72" s="5">
        <f t="shared" si="4"/>
        <v>92110.392000000007</v>
      </c>
      <c r="H72" s="5">
        <f t="shared" si="5"/>
        <v>92110.392000000007</v>
      </c>
      <c r="I72" s="5"/>
      <c r="J72" s="5"/>
    </row>
    <row r="73" spans="1:10" ht="15.75" thickBot="1" x14ac:dyDescent="0.3">
      <c r="A73" s="9" t="s">
        <v>51</v>
      </c>
      <c r="B73" s="29">
        <f t="shared" si="3"/>
        <v>0</v>
      </c>
      <c r="C73" s="10">
        <v>360</v>
      </c>
      <c r="D73" s="11">
        <v>457.00599999999991</v>
      </c>
      <c r="E73" s="4">
        <v>2028</v>
      </c>
      <c r="F73" s="31">
        <v>360</v>
      </c>
      <c r="G73" s="5">
        <f t="shared" si="4"/>
        <v>164522.15999999997</v>
      </c>
      <c r="H73" s="5">
        <f t="shared" si="5"/>
        <v>164522.15999999997</v>
      </c>
      <c r="I73" s="5"/>
      <c r="J73" s="5"/>
    </row>
    <row r="74" spans="1:10" ht="15.75" thickBot="1" x14ac:dyDescent="0.3">
      <c r="A74" s="9" t="s">
        <v>52</v>
      </c>
      <c r="B74" s="29">
        <f t="shared" si="3"/>
        <v>0</v>
      </c>
      <c r="C74" s="10">
        <v>144</v>
      </c>
      <c r="D74" s="11">
        <v>457.00599999999991</v>
      </c>
      <c r="E74" s="4">
        <v>2028</v>
      </c>
      <c r="F74" s="31">
        <v>144</v>
      </c>
      <c r="G74" s="5">
        <f t="shared" si="4"/>
        <v>65808.863999999987</v>
      </c>
      <c r="H74" s="5">
        <f t="shared" si="5"/>
        <v>65808.863999999987</v>
      </c>
      <c r="I74" s="5"/>
      <c r="J74" s="5"/>
    </row>
    <row r="75" spans="1:10" ht="15.75" thickBot="1" x14ac:dyDescent="0.3">
      <c r="A75" s="9" t="s">
        <v>53</v>
      </c>
      <c r="B75" s="29">
        <f t="shared" si="3"/>
        <v>0</v>
      </c>
      <c r="C75" s="10">
        <v>405</v>
      </c>
      <c r="D75" s="11">
        <v>457.00599999999991</v>
      </c>
      <c r="E75" s="4">
        <v>2028</v>
      </c>
      <c r="F75" s="31">
        <v>405</v>
      </c>
      <c r="G75" s="5">
        <f t="shared" si="4"/>
        <v>185087.42999999996</v>
      </c>
      <c r="H75" s="5">
        <f t="shared" si="5"/>
        <v>185087.42999999996</v>
      </c>
      <c r="I75" s="5"/>
      <c r="J75" s="5"/>
    </row>
    <row r="76" spans="1:10" ht="15.75" thickBot="1" x14ac:dyDescent="0.3">
      <c r="A76" s="9" t="s">
        <v>54</v>
      </c>
      <c r="B76" s="29">
        <f t="shared" si="3"/>
        <v>0</v>
      </c>
      <c r="C76" s="10">
        <v>320</v>
      </c>
      <c r="D76" s="11">
        <v>78.36399999999999</v>
      </c>
      <c r="E76" s="4">
        <v>2028</v>
      </c>
      <c r="F76" s="31">
        <v>320</v>
      </c>
      <c r="G76" s="5">
        <f t="shared" si="4"/>
        <v>25076.479999999996</v>
      </c>
      <c r="H76" s="5">
        <f t="shared" si="5"/>
        <v>25076.479999999996</v>
      </c>
      <c r="I76" s="5"/>
      <c r="J76" s="5"/>
    </row>
    <row r="77" spans="1:10" ht="15.75" thickBot="1" x14ac:dyDescent="0.3">
      <c r="A77" s="9" t="s">
        <v>55</v>
      </c>
      <c r="B77" s="29">
        <f t="shared" si="3"/>
        <v>0</v>
      </c>
      <c r="C77" s="10">
        <v>428</v>
      </c>
      <c r="D77" s="11">
        <v>78.36399999999999</v>
      </c>
      <c r="E77" s="4">
        <v>2028</v>
      </c>
      <c r="F77" s="31">
        <v>428</v>
      </c>
      <c r="G77" s="5">
        <f t="shared" si="4"/>
        <v>33539.791999999994</v>
      </c>
      <c r="H77" s="5">
        <f t="shared" si="5"/>
        <v>33539.791999999994</v>
      </c>
      <c r="I77" s="5"/>
      <c r="J77" s="5"/>
    </row>
    <row r="78" spans="1:10" ht="15.75" thickBot="1" x14ac:dyDescent="0.3">
      <c r="A78" s="9" t="s">
        <v>56</v>
      </c>
      <c r="B78" s="29">
        <f t="shared" si="3"/>
        <v>400</v>
      </c>
      <c r="C78" s="10">
        <v>600</v>
      </c>
      <c r="D78" s="11">
        <v>535.05100000000004</v>
      </c>
      <c r="E78" s="4">
        <v>2028</v>
      </c>
      <c r="F78" s="31">
        <v>200</v>
      </c>
      <c r="G78" s="5">
        <f t="shared" si="4"/>
        <v>107010.20000000001</v>
      </c>
      <c r="H78" s="5">
        <f t="shared" si="5"/>
        <v>321030.60000000003</v>
      </c>
      <c r="I78" s="5"/>
      <c r="J78" s="5"/>
    </row>
    <row r="79" spans="1:10" ht="15.75" thickBot="1" x14ac:dyDescent="0.3">
      <c r="A79" s="9" t="s">
        <v>57</v>
      </c>
      <c r="B79" s="29">
        <f t="shared" si="3"/>
        <v>290</v>
      </c>
      <c r="C79" s="10">
        <v>390</v>
      </c>
      <c r="D79" s="11">
        <v>557.87599999999998</v>
      </c>
      <c r="E79" s="4">
        <v>2028</v>
      </c>
      <c r="F79" s="31">
        <v>100</v>
      </c>
      <c r="G79" s="5">
        <f t="shared" si="4"/>
        <v>55787.6</v>
      </c>
      <c r="H79" s="5">
        <f t="shared" si="5"/>
        <v>217571.63999999998</v>
      </c>
      <c r="I79" s="5"/>
      <c r="J79" s="5"/>
    </row>
    <row r="80" spans="1:10" ht="15.75" thickBot="1" x14ac:dyDescent="0.3">
      <c r="A80" s="9" t="s">
        <v>58</v>
      </c>
      <c r="B80" s="29">
        <f t="shared" si="3"/>
        <v>0</v>
      </c>
      <c r="C80" s="10">
        <v>90</v>
      </c>
      <c r="D80" s="11">
        <v>546.54600000000005</v>
      </c>
      <c r="E80" s="4">
        <v>2028</v>
      </c>
      <c r="F80" s="31">
        <v>90</v>
      </c>
      <c r="G80" s="5">
        <f t="shared" si="4"/>
        <v>49189.140000000007</v>
      </c>
      <c r="H80" s="5">
        <f t="shared" si="5"/>
        <v>49189.140000000007</v>
      </c>
      <c r="I80" s="5"/>
      <c r="J80" s="5"/>
    </row>
    <row r="81" spans="1:10" ht="15.75" thickBot="1" x14ac:dyDescent="0.3">
      <c r="A81" s="9" t="s">
        <v>59</v>
      </c>
      <c r="B81" s="29">
        <f t="shared" si="3"/>
        <v>0</v>
      </c>
      <c r="C81" s="10">
        <v>60</v>
      </c>
      <c r="D81" s="11">
        <v>548.39400000000001</v>
      </c>
      <c r="E81" s="4">
        <v>2028</v>
      </c>
      <c r="F81" s="31">
        <v>60</v>
      </c>
      <c r="G81" s="5">
        <f t="shared" si="4"/>
        <v>32903.64</v>
      </c>
      <c r="H81" s="5">
        <f t="shared" si="5"/>
        <v>32903.64</v>
      </c>
      <c r="I81" s="5"/>
      <c r="J81" s="5"/>
    </row>
    <row r="82" spans="1:10" ht="15.75" thickBot="1" x14ac:dyDescent="0.3">
      <c r="A82" s="9" t="s">
        <v>60</v>
      </c>
      <c r="B82" s="29">
        <f t="shared" si="3"/>
        <v>0</v>
      </c>
      <c r="C82" s="10">
        <v>150</v>
      </c>
      <c r="D82" s="11">
        <v>525.98699999999997</v>
      </c>
      <c r="E82" s="4">
        <v>2028</v>
      </c>
      <c r="F82" s="31">
        <v>150</v>
      </c>
      <c r="G82" s="5">
        <f t="shared" si="4"/>
        <v>78898.049999999988</v>
      </c>
      <c r="H82" s="5">
        <f t="shared" si="5"/>
        <v>78898.049999999988</v>
      </c>
      <c r="I82" s="5"/>
      <c r="J82" s="5"/>
    </row>
    <row r="83" spans="1:10" ht="15.75" thickBot="1" x14ac:dyDescent="0.3">
      <c r="A83" s="9" t="s">
        <v>61</v>
      </c>
      <c r="B83" s="29">
        <f t="shared" si="3"/>
        <v>0</v>
      </c>
      <c r="C83" s="10">
        <v>90</v>
      </c>
      <c r="D83" s="11">
        <v>525.85500000000002</v>
      </c>
      <c r="E83" s="4">
        <v>2028</v>
      </c>
      <c r="F83" s="31">
        <v>90</v>
      </c>
      <c r="G83" s="5">
        <f t="shared" si="4"/>
        <v>47326.950000000004</v>
      </c>
      <c r="H83" s="5">
        <f t="shared" si="5"/>
        <v>47326.950000000004</v>
      </c>
      <c r="I83" s="5"/>
      <c r="J83" s="5"/>
    </row>
    <row r="84" spans="1:10" ht="15.75" thickBot="1" x14ac:dyDescent="0.3">
      <c r="A84" s="9" t="s">
        <v>62</v>
      </c>
      <c r="B84" s="33">
        <f t="shared" si="3"/>
        <v>6126</v>
      </c>
      <c r="C84" s="10">
        <v>7126</v>
      </c>
      <c r="D84" s="11">
        <v>509.50900000000001</v>
      </c>
      <c r="E84" s="4">
        <v>2028</v>
      </c>
      <c r="F84" s="31">
        <v>1000</v>
      </c>
      <c r="G84" s="5">
        <f t="shared" si="4"/>
        <v>509509</v>
      </c>
      <c r="H84" s="5">
        <f t="shared" si="5"/>
        <v>3630761.1340000001</v>
      </c>
      <c r="I84" s="5"/>
      <c r="J84" s="5"/>
    </row>
    <row r="85" spans="1:10" ht="15.75" thickBot="1" x14ac:dyDescent="0.3">
      <c r="A85" s="9" t="s">
        <v>63</v>
      </c>
      <c r="B85" s="29">
        <f t="shared" si="3"/>
        <v>0</v>
      </c>
      <c r="C85" s="10">
        <v>259</v>
      </c>
      <c r="D85" s="11">
        <v>1202.2560000000001</v>
      </c>
      <c r="E85" s="4">
        <v>2028</v>
      </c>
      <c r="F85" s="31">
        <v>259</v>
      </c>
      <c r="G85" s="5">
        <f t="shared" si="4"/>
        <v>311384.304</v>
      </c>
      <c r="H85" s="5">
        <f t="shared" si="5"/>
        <v>311384.304</v>
      </c>
      <c r="I85" s="5"/>
      <c r="J85" s="5"/>
    </row>
    <row r="86" spans="1:10" ht="15.75" thickBot="1" x14ac:dyDescent="0.3">
      <c r="A86" s="9" t="s">
        <v>64</v>
      </c>
      <c r="B86" s="29">
        <f t="shared" si="3"/>
        <v>1122</v>
      </c>
      <c r="C86" s="10">
        <v>1422</v>
      </c>
      <c r="D86" s="11">
        <v>563.55200000000002</v>
      </c>
      <c r="E86" s="4">
        <v>2028</v>
      </c>
      <c r="F86" s="31">
        <v>300</v>
      </c>
      <c r="G86" s="5">
        <f t="shared" si="4"/>
        <v>169065.60000000001</v>
      </c>
      <c r="H86" s="5">
        <f t="shared" si="5"/>
        <v>801370.94400000002</v>
      </c>
      <c r="I86" s="5"/>
      <c r="J86" s="5"/>
    </row>
    <row r="87" spans="1:10" ht="15.75" thickBot="1" x14ac:dyDescent="0.3">
      <c r="A87" s="9" t="s">
        <v>65</v>
      </c>
      <c r="B87" s="29">
        <f t="shared" si="3"/>
        <v>0</v>
      </c>
      <c r="C87" s="10">
        <v>32</v>
      </c>
      <c r="D87" s="11">
        <v>901.69200000000001</v>
      </c>
      <c r="E87" s="4">
        <v>2028</v>
      </c>
      <c r="F87" s="31">
        <v>32</v>
      </c>
      <c r="G87" s="5">
        <f t="shared" si="4"/>
        <v>28854.144</v>
      </c>
      <c r="H87" s="5">
        <f t="shared" si="5"/>
        <v>28854.144</v>
      </c>
      <c r="I87" s="5"/>
      <c r="J87" s="5"/>
    </row>
    <row r="88" spans="1:10" ht="15.75" thickBot="1" x14ac:dyDescent="0.3">
      <c r="A88" s="9" t="s">
        <v>66</v>
      </c>
      <c r="B88" s="29">
        <f t="shared" si="3"/>
        <v>686</v>
      </c>
      <c r="C88" s="10">
        <v>966</v>
      </c>
      <c r="D88" s="11">
        <v>533.423</v>
      </c>
      <c r="E88" s="4">
        <v>2028</v>
      </c>
      <c r="F88" s="31">
        <v>280</v>
      </c>
      <c r="G88" s="5">
        <f t="shared" si="4"/>
        <v>149358.44</v>
      </c>
      <c r="H88" s="5">
        <f t="shared" si="5"/>
        <v>515286.61800000002</v>
      </c>
      <c r="I88" s="5"/>
      <c r="J88" s="5"/>
    </row>
    <row r="89" spans="1:10" ht="15.75" thickBot="1" x14ac:dyDescent="0.3">
      <c r="A89" s="9" t="s">
        <v>67</v>
      </c>
      <c r="B89" s="29">
        <f t="shared" si="3"/>
        <v>0</v>
      </c>
      <c r="C89" s="10">
        <v>30</v>
      </c>
      <c r="D89" s="11">
        <v>404.67900000000003</v>
      </c>
      <c r="E89" s="4" t="s">
        <v>86</v>
      </c>
      <c r="F89" s="31">
        <v>30</v>
      </c>
      <c r="G89" s="5">
        <f t="shared" si="4"/>
        <v>12140.37</v>
      </c>
      <c r="H89" s="5">
        <f t="shared" si="5"/>
        <v>12140.37</v>
      </c>
      <c r="I89" s="5"/>
      <c r="J89" s="5"/>
    </row>
    <row r="90" spans="1:10" ht="15.75" thickBot="1" x14ac:dyDescent="0.3">
      <c r="A90" s="9" t="s">
        <v>68</v>
      </c>
      <c r="B90" s="29">
        <f t="shared" si="3"/>
        <v>0</v>
      </c>
      <c r="C90" s="10">
        <v>55</v>
      </c>
      <c r="D90" s="11">
        <v>1162.92</v>
      </c>
      <c r="E90" s="4" t="s">
        <v>87</v>
      </c>
      <c r="F90" s="31">
        <v>55</v>
      </c>
      <c r="G90" s="5">
        <f t="shared" si="4"/>
        <v>63960.600000000006</v>
      </c>
      <c r="H90" s="5">
        <f t="shared" si="5"/>
        <v>63960.600000000006</v>
      </c>
      <c r="I90" s="5"/>
      <c r="J90" s="5"/>
    </row>
    <row r="91" spans="1:10" ht="15.75" thickBot="1" x14ac:dyDescent="0.3">
      <c r="A91" s="9" t="s">
        <v>69</v>
      </c>
      <c r="B91" s="29">
        <f t="shared" si="3"/>
        <v>0</v>
      </c>
      <c r="C91" s="10">
        <v>31</v>
      </c>
      <c r="D91" s="11">
        <v>930.03899999999999</v>
      </c>
      <c r="E91" s="4" t="s">
        <v>87</v>
      </c>
      <c r="F91" s="31">
        <v>31</v>
      </c>
      <c r="G91" s="5">
        <f t="shared" si="4"/>
        <v>28831.208999999999</v>
      </c>
      <c r="H91" s="5">
        <f t="shared" si="5"/>
        <v>28831.208999999999</v>
      </c>
      <c r="I91" s="5"/>
      <c r="J91" s="5"/>
    </row>
    <row r="92" spans="1:10" ht="15.75" thickBot="1" x14ac:dyDescent="0.3">
      <c r="A92" s="9" t="s">
        <v>70</v>
      </c>
      <c r="B92" s="33">
        <f t="shared" si="3"/>
        <v>3520</v>
      </c>
      <c r="C92" s="10">
        <v>4520</v>
      </c>
      <c r="D92" s="11">
        <v>730.24599999999998</v>
      </c>
      <c r="E92" s="4">
        <v>2028</v>
      </c>
      <c r="F92" s="31">
        <v>1000</v>
      </c>
      <c r="G92" s="5">
        <f t="shared" si="4"/>
        <v>730246</v>
      </c>
      <c r="H92" s="5">
        <f t="shared" si="5"/>
        <v>3300711.92</v>
      </c>
      <c r="I92" s="5"/>
      <c r="J92" s="5"/>
    </row>
    <row r="93" spans="1:10" ht="15.75" thickBot="1" x14ac:dyDescent="0.3">
      <c r="A93" s="9" t="s">
        <v>71</v>
      </c>
      <c r="B93" s="33">
        <f t="shared" si="3"/>
        <v>8893</v>
      </c>
      <c r="C93" s="10">
        <v>9493</v>
      </c>
      <c r="D93" s="11">
        <v>563.39799999999991</v>
      </c>
      <c r="E93" s="4">
        <v>2028</v>
      </c>
      <c r="F93" s="31">
        <v>600</v>
      </c>
      <c r="G93" s="5">
        <f t="shared" si="4"/>
        <v>338038.79999999993</v>
      </c>
      <c r="H93" s="5">
        <f t="shared" si="5"/>
        <v>5348337.2139999988</v>
      </c>
      <c r="I93" s="5"/>
      <c r="J93" s="5"/>
    </row>
    <row r="94" spans="1:10" ht="15.75" thickBot="1" x14ac:dyDescent="0.3">
      <c r="A94" s="9" t="s">
        <v>72</v>
      </c>
      <c r="B94" s="29">
        <f t="shared" si="3"/>
        <v>2512</v>
      </c>
      <c r="C94" s="10">
        <v>3112</v>
      </c>
      <c r="D94" s="11">
        <v>585.31000000000006</v>
      </c>
      <c r="E94" s="4">
        <v>2028</v>
      </c>
      <c r="F94" s="31">
        <v>600</v>
      </c>
      <c r="G94" s="5">
        <f t="shared" si="4"/>
        <v>351186.00000000006</v>
      </c>
      <c r="H94" s="5">
        <f t="shared" si="5"/>
        <v>1821484.7200000002</v>
      </c>
      <c r="I94" s="5"/>
      <c r="J94" s="5"/>
    </row>
    <row r="95" spans="1:10" ht="15.75" thickBot="1" x14ac:dyDescent="0.3">
      <c r="A95" s="9" t="s">
        <v>73</v>
      </c>
      <c r="B95" s="29">
        <f t="shared" si="3"/>
        <v>800</v>
      </c>
      <c r="C95" s="10">
        <v>1000</v>
      </c>
      <c r="D95" s="11">
        <v>106.63399999999999</v>
      </c>
      <c r="E95" s="4">
        <v>2028</v>
      </c>
      <c r="F95" s="31">
        <v>200</v>
      </c>
      <c r="G95" s="5">
        <f t="shared" si="4"/>
        <v>21326.799999999996</v>
      </c>
      <c r="H95" s="5">
        <f t="shared" si="5"/>
        <v>106633.99999999999</v>
      </c>
      <c r="I95" s="5"/>
      <c r="J95" s="5"/>
    </row>
    <row r="96" spans="1:10" ht="15.75" thickBot="1" x14ac:dyDescent="0.3">
      <c r="A96" s="9" t="s">
        <v>74</v>
      </c>
      <c r="B96" s="29">
        <f t="shared" si="3"/>
        <v>0</v>
      </c>
      <c r="C96" s="10">
        <v>13</v>
      </c>
      <c r="D96" s="11">
        <v>685.77299999999991</v>
      </c>
      <c r="E96" s="4">
        <v>2028</v>
      </c>
      <c r="F96" s="31">
        <v>13</v>
      </c>
      <c r="G96" s="5">
        <f t="shared" si="4"/>
        <v>8915.0489999999991</v>
      </c>
      <c r="H96" s="5">
        <f t="shared" si="5"/>
        <v>8915.0489999999991</v>
      </c>
      <c r="I96" s="5"/>
      <c r="J96" s="5"/>
    </row>
    <row r="97" spans="1:10" ht="15.75" thickBot="1" x14ac:dyDescent="0.3">
      <c r="A97" s="9" t="s">
        <v>75</v>
      </c>
      <c r="B97" s="29">
        <f t="shared" si="3"/>
        <v>0</v>
      </c>
      <c r="C97" s="10">
        <v>90</v>
      </c>
      <c r="D97" s="11">
        <v>950.52099999999996</v>
      </c>
      <c r="E97" s="4">
        <v>12.2027</v>
      </c>
      <c r="F97" s="31">
        <v>90</v>
      </c>
      <c r="G97" s="5">
        <f t="shared" si="4"/>
        <v>85546.89</v>
      </c>
      <c r="H97" s="5">
        <f t="shared" si="5"/>
        <v>85546.89</v>
      </c>
      <c r="I97" s="5"/>
      <c r="J97" s="5"/>
    </row>
    <row r="98" spans="1:10" ht="15.75" thickBot="1" x14ac:dyDescent="0.3">
      <c r="A98" s="9" t="s">
        <v>76</v>
      </c>
      <c r="B98" s="29">
        <f t="shared" si="3"/>
        <v>1300</v>
      </c>
      <c r="C98" s="10">
        <v>1500</v>
      </c>
      <c r="D98" s="11">
        <v>778.66800000000001</v>
      </c>
      <c r="E98" s="4">
        <v>2028</v>
      </c>
      <c r="F98" s="31">
        <v>200</v>
      </c>
      <c r="G98" s="5">
        <f t="shared" si="4"/>
        <v>155733.6</v>
      </c>
      <c r="H98" s="5">
        <f t="shared" si="5"/>
        <v>1168002</v>
      </c>
      <c r="I98" s="5"/>
      <c r="J98" s="5"/>
    </row>
    <row r="99" spans="1:10" ht="15.75" thickBot="1" x14ac:dyDescent="0.3">
      <c r="A99" s="9" t="s">
        <v>77</v>
      </c>
      <c r="B99" s="29">
        <f t="shared" si="3"/>
        <v>0</v>
      </c>
      <c r="C99" s="10">
        <v>57</v>
      </c>
      <c r="D99" s="11">
        <v>840.21299999999997</v>
      </c>
      <c r="E99" s="4">
        <v>2028</v>
      </c>
      <c r="F99" s="31">
        <v>57</v>
      </c>
      <c r="G99" s="5">
        <f t="shared" si="4"/>
        <v>47892.140999999996</v>
      </c>
      <c r="H99" s="5">
        <f t="shared" si="5"/>
        <v>47892.140999999996</v>
      </c>
      <c r="I99" s="5"/>
      <c r="J99" s="5"/>
    </row>
    <row r="100" spans="1:10" ht="15.75" thickBot="1" x14ac:dyDescent="0.3">
      <c r="A100" s="9" t="s">
        <v>78</v>
      </c>
      <c r="B100" s="29">
        <f t="shared" si="3"/>
        <v>1175</v>
      </c>
      <c r="C100" s="10">
        <v>1375</v>
      </c>
      <c r="D100" s="11">
        <v>611.798</v>
      </c>
      <c r="E100" s="4">
        <v>2028</v>
      </c>
      <c r="F100" s="31">
        <v>200</v>
      </c>
      <c r="G100" s="5">
        <f t="shared" si="4"/>
        <v>122359.6</v>
      </c>
      <c r="H100" s="5">
        <f t="shared" si="5"/>
        <v>841222.25</v>
      </c>
      <c r="I100" s="5"/>
      <c r="J100" s="5"/>
    </row>
    <row r="101" spans="1:10" ht="15.75" thickBot="1" x14ac:dyDescent="0.3">
      <c r="A101" s="9" t="s">
        <v>79</v>
      </c>
      <c r="B101" s="29">
        <f t="shared" si="3"/>
        <v>0</v>
      </c>
      <c r="C101" s="10">
        <v>70</v>
      </c>
      <c r="D101" s="11">
        <v>756.33800000000008</v>
      </c>
      <c r="E101" s="4">
        <v>11.2027</v>
      </c>
      <c r="F101" s="31">
        <v>70</v>
      </c>
      <c r="G101" s="5">
        <f t="shared" si="4"/>
        <v>52943.66</v>
      </c>
      <c r="H101" s="5">
        <f t="shared" si="5"/>
        <v>52943.66</v>
      </c>
      <c r="I101" s="5"/>
      <c r="J101" s="5"/>
    </row>
    <row r="102" spans="1:10" ht="15.75" thickBot="1" x14ac:dyDescent="0.3">
      <c r="A102" s="9" t="s">
        <v>80</v>
      </c>
      <c r="B102" s="29">
        <f t="shared" si="3"/>
        <v>0</v>
      </c>
      <c r="C102" s="10">
        <v>23</v>
      </c>
      <c r="D102" s="11">
        <v>791.53800000000001</v>
      </c>
      <c r="E102" s="4">
        <v>2028</v>
      </c>
      <c r="F102" s="31">
        <v>23</v>
      </c>
      <c r="G102" s="5">
        <f t="shared" si="4"/>
        <v>18205.374</v>
      </c>
      <c r="H102" s="5">
        <f t="shared" si="5"/>
        <v>18205.374</v>
      </c>
      <c r="I102" s="5"/>
      <c r="J102" s="5"/>
    </row>
    <row r="103" spans="1:10" ht="15.75" thickBot="1" x14ac:dyDescent="0.3">
      <c r="A103" s="9" t="s">
        <v>81</v>
      </c>
      <c r="B103" s="29">
        <f t="shared" si="3"/>
        <v>809</v>
      </c>
      <c r="C103" s="10">
        <v>1009</v>
      </c>
      <c r="D103" s="11">
        <v>1469.5450000000001</v>
      </c>
      <c r="E103" s="4">
        <v>2028</v>
      </c>
      <c r="F103" s="31">
        <v>200</v>
      </c>
      <c r="G103" s="5">
        <f t="shared" si="4"/>
        <v>293909</v>
      </c>
      <c r="H103" s="5">
        <f t="shared" si="5"/>
        <v>1482770.905</v>
      </c>
      <c r="I103" s="5"/>
      <c r="J103" s="5"/>
    </row>
    <row r="104" spans="1:10" ht="15.75" thickBot="1" x14ac:dyDescent="0.3">
      <c r="A104" s="9" t="s">
        <v>82</v>
      </c>
      <c r="B104" s="29">
        <f t="shared" si="3"/>
        <v>297</v>
      </c>
      <c r="C104" s="10">
        <v>397</v>
      </c>
      <c r="D104" s="11">
        <v>1071.444</v>
      </c>
      <c r="E104" s="4">
        <v>2028</v>
      </c>
      <c r="F104" s="31">
        <v>100</v>
      </c>
      <c r="G104" s="5">
        <f>D104*F104</f>
        <v>107144.4</v>
      </c>
      <c r="H104" s="5">
        <f t="shared" si="5"/>
        <v>425363.26799999998</v>
      </c>
      <c r="I104" s="5"/>
      <c r="J104" s="5"/>
    </row>
    <row r="105" spans="1:10" x14ac:dyDescent="0.25">
      <c r="G105" s="32">
        <f>SUM(G3:G104)</f>
        <v>13356271.370999999</v>
      </c>
      <c r="H105" s="26">
        <f>SUM(H3:H104)</f>
        <v>42917749.845000006</v>
      </c>
    </row>
  </sheetData>
  <autoFilter ref="A1:G109" xr:uid="{E121BD01-7CA6-45C8-B091-31B7C434CC9B}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User3</cp:lastModifiedBy>
  <cp:lastPrinted>2026-08-25T13:43:14Z</cp:lastPrinted>
  <dcterms:created xsi:type="dcterms:W3CDTF">2026-08-05T12:44:14Z</dcterms:created>
  <dcterms:modified xsi:type="dcterms:W3CDTF">2026-09-04T05:17:48Z</dcterms:modified>
</cp:coreProperties>
</file>
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2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СВОДКА" sheetId="1" state="visible" r:id="rId3"/>
    <sheet name="2. ПО БРЕНДАМ" sheetId="2" state="visible" r:id="rId4"/>
    <sheet name="3. CELIMAX" sheetId="3" state="visible" r:id="rId5"/>
    <sheet name="4. FARMSTAY" sheetId="4" state="visible" r:id="rId6"/>
    <sheet name="5. ROUND LAB" sheetId="5" state="visible" r:id="rId7"/>
    <sheet name="6. MANYO" sheetId="6" state="visible" r:id="rId8"/>
    <sheet name="7. JIGOTT" sheetId="7" state="visible" r:id="rId9"/>
    <sheet name="8. PETITFEE" sheetId="8" state="visible" r:id="rId10"/>
    <sheet name="9. ETUDE" sheetId="9" state="visible" r:id="rId11"/>
    <sheet name="10. ENOUGH" sheetId="10" state="visible" r:id="rId12"/>
    <sheet name="11. VT" sheetId="11" state="visible" r:id="rId13"/>
    <sheet name="12. JMSOLUTION" sheetId="12" state="visible" r:id="rId14"/>
    <sheet name="13. HEIMISH" sheetId="13" state="visible" r:id="rId15"/>
    <sheet name="14. DEOPROCE" sheetId="14" state="visible" r:id="rId16"/>
    <sheet name="15. SOME BY MI" sheetId="15" state="visible" r:id="rId17"/>
    <sheet name="16. ELIZAVECCA" sheetId="16" state="visible" r:id="rId18"/>
    <sheet name="17. COSRX" sheetId="17" state="visible" r:id="rId19"/>
    <sheet name="18. THE ORDINARY" sheetId="18" state="visible" r:id="rId20"/>
    <sheet name="19. LEBELAGE" sheetId="19" state="visible" r:id="rId21"/>
    <sheet name="20. LANEIGE" sheetId="20" state="visible" r:id="rId22"/>
    <sheet name="21. SKIN1004" sheetId="21" state="visible" r:id="rId23"/>
    <sheet name="22. EKEL" sheetId="22" state="visible" r:id="rId24"/>
    <sheet name="23. DR. JART" sheetId="23" state="visible" r:id="rId25"/>
    <sheet name="24. MASIL" sheetId="24" state="visible" r:id="rId26"/>
    <sheet name="25. ОСТАТКИ ОТ 3000 ШТ" sheetId="25" state="visible" r:id="rId27"/>
    <sheet name="26. ВСЕ ПОЗИЦИИ" sheetId="26" state="visible" r:id="rId28"/>
    <sheet name="27. КОЛИЧЕСТВО ПО ПОЗИЦИЯМ" sheetId="27" state="visible" r:id="rId29"/>
    <sheet name="28. ИТОГО ПО БРЕНДАМ" sheetId="28" state="visible" r:id="rId30"/>
  </sheets>
  <definedNames>
    <definedName function="false" hidden="true" localSheetId="9" name="_xlnm._FilterDatabase" vbProcedure="false">'10. ENOUGH'!$A$1:$K$18</definedName>
    <definedName function="false" hidden="true" localSheetId="10" name="_xlnm._FilterDatabase" vbProcedure="false">'11. VT'!$A$1:$E$3</definedName>
    <definedName function="false" hidden="true" localSheetId="11" name="_xlnm._FilterDatabase" vbProcedure="false">'12. JMSOLUTION'!$A$1:$E$3</definedName>
    <definedName function="false" hidden="true" localSheetId="12" name="_xlnm._FilterDatabase" vbProcedure="false">'13. HEIMISH'!$A$1:$E$2</definedName>
    <definedName function="false" hidden="true" localSheetId="13" name="_xlnm._FilterDatabase" vbProcedure="false">'14. DEOPROCE'!$A$1:$E$5</definedName>
    <definedName function="false" hidden="true" localSheetId="14" name="_xlnm._FilterDatabase" vbProcedure="false">'15. SOME BY MI'!$A$1:$E$3</definedName>
    <definedName function="false" hidden="true" localSheetId="15" name="_xlnm._FilterDatabase" vbProcedure="false">'16. ELIZAVECCA'!$A$1:$E$4</definedName>
    <definedName function="false" hidden="true" localSheetId="16" name="_xlnm._FilterDatabase" vbProcedure="false">'17. COSRX'!$A$1:$E$2</definedName>
    <definedName function="false" hidden="true" localSheetId="17" name="_xlnm._FilterDatabase" vbProcedure="false">'18. THE ORDINARY'!$A$1:$E$3</definedName>
    <definedName function="false" hidden="true" localSheetId="18" name="_xlnm._FilterDatabase" vbProcedure="false">'19. LEBELAGE'!$A$1:$E$2</definedName>
    <definedName function="false" hidden="true" localSheetId="19" name="_xlnm._FilterDatabase" vbProcedure="false">'20. LANEIGE'!$A$1:$E$2</definedName>
    <definedName function="false" hidden="true" localSheetId="20" name="_xlnm._FilterDatabase" vbProcedure="false">'21. SKIN1004'!$A$1:$K$5</definedName>
    <definedName function="false" hidden="true" localSheetId="21" name="_xlnm._FilterDatabase" vbProcedure="false">'22. EKEL'!$A$1:$E$2</definedName>
    <definedName function="false" hidden="true" localSheetId="22" name="_xlnm._FilterDatabase" vbProcedure="false">'23. DR. JART'!$A$1:$E$2</definedName>
    <definedName function="false" hidden="true" localSheetId="23" name="_xlnm._FilterDatabase" vbProcedure="false">'24. MASIL'!$A$1:$E$2</definedName>
    <definedName function="false" hidden="true" localSheetId="24" name="_xlnm._FilterDatabase" vbProcedure="false">'25. ОСТАТКИ ОТ 3000 ШТ'!$A$1:$P$11</definedName>
    <definedName function="false" hidden="true" localSheetId="25" name="_xlnm._FilterDatabase" vbProcedure="false">'26. ВСЕ ПОЗИЦИИ'!$A$1:$O$142</definedName>
    <definedName function="false" hidden="true" localSheetId="2" name="_xlnm._FilterDatabase" vbProcedure="false">'3. CELIMAX'!$A$1:$N$28</definedName>
    <definedName function="false" hidden="true" localSheetId="3" name="_xlnm._FilterDatabase" vbProcedure="false">'4. FARMSTAY'!$A$1:$E$11</definedName>
    <definedName function="false" hidden="true" localSheetId="4" name="_xlnm._FilterDatabase" vbProcedure="false">'5. ROUND LAB'!$A$1:$K$14</definedName>
    <definedName function="false" hidden="true" localSheetId="5" name="_xlnm._FilterDatabase" vbProcedure="false">'6. MANYO'!$A$1:$K$8</definedName>
    <definedName function="false" hidden="true" localSheetId="6" name="_xlnm._FilterDatabase" vbProcedure="false">'7. JIGOTT'!$A$1:$E$9</definedName>
    <definedName function="false" hidden="true" localSheetId="7" name="_xlnm._FilterDatabase" vbProcedure="false">'8. PETITFEE'!$A$1:$E$17</definedName>
    <definedName function="false" hidden="true" localSheetId="8" name="_xlnm._FilterDatabase" vbProcedure="false">'9. ETUDE'!$A$1:$E$4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<sst xmlns="http://schemas.openxmlformats.org/spreadsheetml/2006/main" count="1378" uniqueCount="362">
  <si>
    <t xml:space="preserve">СКЛАД ДЕДОВСК — ПОЛНАЯ КАРТИНА</t>
  </si>
  <si>
    <t xml:space="preserve">Остаток на 31.08.2026 + товар в пути</t>
  </si>
  <si>
    <t xml:space="preserve">Количество</t>
  </si>
  <si>
    <t xml:space="preserve">Позиций всего</t>
  </si>
  <si>
    <t xml:space="preserve">Склад, шт</t>
  </si>
  <si>
    <t xml:space="preserve">Контейнер, шт</t>
  </si>
  <si>
    <t xml:space="preserve">Машина, шт</t>
  </si>
  <si>
    <t xml:space="preserve">ВСЕГО, шт</t>
  </si>
  <si>
    <t xml:space="preserve">Деньги в товаре</t>
  </si>
  <si>
    <t xml:space="preserve">Склад, ₽</t>
  </si>
  <si>
    <t xml:space="preserve">Контейнер, ₽</t>
  </si>
  <si>
    <t xml:space="preserve">Машина, ₽</t>
  </si>
  <si>
    <t xml:space="preserve">ВСЕГО, ₽</t>
  </si>
  <si>
    <t xml:space="preserve">Средняя себестоимость, ₽/шт</t>
  </si>
  <si>
    <t xml:space="preserve">Структура файла</t>
  </si>
  <si>
    <t xml:space="preserve">Лист 2 — итоги по брендам с разбивкой склад / контейнер / машина</t>
  </si>
  <si>
    <t xml:space="preserve">Листы 3–24 — по одному листу на бренд</t>
  </si>
  <si>
    <t xml:space="preserve">Лист 25 — позиции с остатком от 3 000 штук</t>
  </si>
  <si>
    <t xml:space="preserve">Лист 26 — все позиции одним списком</t>
  </si>
  <si>
    <t xml:space="preserve">Лист 27 — количество и суммы по позициям, сгруппировано по брендам</t>
  </si>
  <si>
    <t xml:space="preserve">Лист 28 — итоги по брендам</t>
  </si>
  <si>
    <t xml:space="preserve">№</t>
  </si>
  <si>
    <t xml:space="preserve">Бренд</t>
  </si>
  <si>
    <t xml:space="preserve">Позиций</t>
  </si>
  <si>
    <t xml:space="preserve">Сумма склад, ₽</t>
  </si>
  <si>
    <t xml:space="preserve">Сумма контейнер, ₽</t>
  </si>
  <si>
    <t xml:space="preserve">Сумма машина, ₽</t>
  </si>
  <si>
    <t xml:space="preserve">Средняя цена, ₽</t>
  </si>
  <si>
    <t xml:space="preserve">ВСЕГО СУММА, ₽</t>
  </si>
  <si>
    <t xml:space="preserve">Доля по штукам</t>
  </si>
  <si>
    <t xml:space="preserve">Доля по деньгам</t>
  </si>
  <si>
    <t xml:space="preserve">Лист</t>
  </si>
  <si>
    <t xml:space="preserve">CELIMAX</t>
  </si>
  <si>
    <t xml:space="preserve">3. CELIMAX</t>
  </si>
  <si>
    <t xml:space="preserve">ROUND LAB</t>
  </si>
  <si>
    <t xml:space="preserve">5. ROUND LAB</t>
  </si>
  <si>
    <t xml:space="preserve">FARMSTAY</t>
  </si>
  <si>
    <t xml:space="preserve">4. FARMSTAY</t>
  </si>
  <si>
    <t xml:space="preserve">MANYO</t>
  </si>
  <si>
    <t xml:space="preserve">6. MANYO</t>
  </si>
  <si>
    <t xml:space="preserve">JIGOTT</t>
  </si>
  <si>
    <t xml:space="preserve">7. JIGOTT</t>
  </si>
  <si>
    <t xml:space="preserve">PETITFEE</t>
  </si>
  <si>
    <t xml:space="preserve">8. PETITFEE</t>
  </si>
  <si>
    <t xml:space="preserve">ETUDE</t>
  </si>
  <si>
    <t xml:space="preserve">9. ETUDE</t>
  </si>
  <si>
    <t xml:space="preserve">DERMA FACTORY</t>
  </si>
  <si>
    <t xml:space="preserve">ENOUGH</t>
  </si>
  <si>
    <t xml:space="preserve">10. ENOUGH</t>
  </si>
  <si>
    <t xml:space="preserve">SKIN1004</t>
  </si>
  <si>
    <t xml:space="preserve">21. SKIN1004</t>
  </si>
  <si>
    <t xml:space="preserve">VT</t>
  </si>
  <si>
    <t xml:space="preserve">11. VT</t>
  </si>
  <si>
    <t xml:space="preserve">MEDICUBE</t>
  </si>
  <si>
    <t xml:space="preserve">JMSOLUTION</t>
  </si>
  <si>
    <t xml:space="preserve">12. JMSOLUTION</t>
  </si>
  <si>
    <t xml:space="preserve">HEIMISH</t>
  </si>
  <si>
    <t xml:space="preserve">13. HEIMISH</t>
  </si>
  <si>
    <t xml:space="preserve">DEOPROCE</t>
  </si>
  <si>
    <t xml:space="preserve">14. DEOPROCE</t>
  </si>
  <si>
    <t xml:space="preserve">VT COSMETICS</t>
  </si>
  <si>
    <t xml:space="preserve">SOME BY MI</t>
  </si>
  <si>
    <t xml:space="preserve">15. SOME BY MI</t>
  </si>
  <si>
    <t xml:space="preserve">ELIZAVECCA</t>
  </si>
  <si>
    <t xml:space="preserve">16. ELIZAVECCA</t>
  </si>
  <si>
    <t xml:space="preserve">COSRX</t>
  </si>
  <si>
    <t xml:space="preserve">17. COSRX</t>
  </si>
  <si>
    <t xml:space="preserve">THE ORDINARY</t>
  </si>
  <si>
    <t xml:space="preserve">18. THE ORDINARY</t>
  </si>
  <si>
    <t xml:space="preserve">LEBELAGE</t>
  </si>
  <si>
    <t xml:space="preserve">19. LEBELAGE</t>
  </si>
  <si>
    <t xml:space="preserve">LANEIGE</t>
  </si>
  <si>
    <t xml:space="preserve">20. LANEIGE</t>
  </si>
  <si>
    <t xml:space="preserve">EKEL</t>
  </si>
  <si>
    <t xml:space="preserve">22. EKEL</t>
  </si>
  <si>
    <t xml:space="preserve">DR. JART</t>
  </si>
  <si>
    <t xml:space="preserve">23. DR. JART</t>
  </si>
  <si>
    <t xml:space="preserve">MASIL</t>
  </si>
  <si>
    <t xml:space="preserve">24. MASIL</t>
  </si>
  <si>
    <t xml:space="preserve">ИТОГО</t>
  </si>
  <si>
    <t xml:space="preserve">Наименование</t>
  </si>
  <si>
    <t xml:space="preserve">Артикул WB</t>
  </si>
  <si>
    <t xml:space="preserve">Цена склад, ₽</t>
  </si>
  <si>
    <t xml:space="preserve">Цена контейнер, ₽</t>
  </si>
  <si>
    <t xml:space="preserve">Цена машина, ₽</t>
  </si>
  <si>
    <t xml:space="preserve">Celimax Dual Barrier Creamy Toner, тонер 150 мл</t>
  </si>
  <si>
    <t xml:space="preserve">868516027</t>
  </si>
  <si>
    <t xml:space="preserve">CELIMAX THE VITA-A RETINAL SHOT TIGHTENING BOOSTER [15ml]/Подтягивающий бус</t>
  </si>
  <si>
    <t xml:space="preserve">551387355</t>
  </si>
  <si>
    <t xml:space="preserve">CELIMAX THE VITA-A RETINOL SHOT TIGHTENING SERUM [30ml]/Сыворотка с ретинол</t>
  </si>
  <si>
    <t xml:space="preserve">551465879</t>
  </si>
  <si>
    <t xml:space="preserve">CELIMAX PORE+DARK SPOT BRIGHTENING PAD [100ml / 40pads]/Тонер-пэды для выра</t>
  </si>
  <si>
    <t xml:space="preserve">551540924</t>
  </si>
  <si>
    <t xml:space="preserve">CELIMAX JI WOO GAE CICA BHA BLEMISH TONER PAD [170ml / 60pads]/Тонер-пэды о</t>
  </si>
  <si>
    <t xml:space="preserve">551607905</t>
  </si>
  <si>
    <t xml:space="preserve">CELIMAX JI WOO GAE CICA BHA BLEMISH TONER PAD_10EA [30ml]/успокаивающие тон</t>
  </si>
  <si>
    <t xml:space="preserve">551600265</t>
  </si>
  <si>
    <t xml:space="preserve">CELIMAX JI WOO GAE HEARTLEAF BHA PEELING PAD 60PADS</t>
  </si>
  <si>
    <t xml:space="preserve">CELIMAX THE REAL CICA SOOTHING CREAM 50ML</t>
  </si>
  <si>
    <t xml:space="preserve">CELIMAX THE REAL NONI CALMING GLOW PAD 50EA</t>
  </si>
  <si>
    <t xml:space="preserve">CELIMAX THE REAL CICA NIACINAMIDE AC CALMING SERUM 40ML</t>
  </si>
  <si>
    <t xml:space="preserve">CELIMAX THE REAL NONI ENERGY REPAIR CREAM 50ML</t>
  </si>
  <si>
    <t xml:space="preserve">CELIMAX OIL CONTROL MOISTURIZING CREAM 80ML</t>
  </si>
  <si>
    <t xml:space="preserve">CELIMAX ONE STEP BODY BRIGHTENING PAD 60PADS</t>
  </si>
  <si>
    <t xml:space="preserve">CELIMAX THE REAL NONI STARTER KIT</t>
  </si>
  <si>
    <t xml:space="preserve">CELIMAX DERMA NATURE GLUTATHIONE LONGLASTING TONE-UP CREAM 35ML</t>
  </si>
  <si>
    <t xml:space="preserve">CELIMAX DUAL BARRIER TRIAL KIT</t>
  </si>
  <si>
    <t xml:space="preserve">CELIMAX THE REAL NONI REFRESH CLAY MASK 120G</t>
  </si>
  <si>
    <t xml:space="preserve">CELIMAX DUAL BARRIER SKIN WEARABLE CREAM [50ml]/Крем для восстановления защ</t>
  </si>
  <si>
    <t xml:space="preserve">551392965</t>
  </si>
  <si>
    <t xml:space="preserve">CELIMAX JI WOO GAE ONE STEP MILD CLEANSING PAD 60PADS</t>
  </si>
  <si>
    <t xml:space="preserve">CELIMAX DERMA NATURE RELIEF MADECICA PH BALANCING FOAM CLEANSING 150ML</t>
  </si>
  <si>
    <t xml:space="preserve">CELIMAX DERMA NATURE FRESH BLACKHEAD JOJOBA CLEANSING OIL 150ML</t>
  </si>
  <si>
    <t xml:space="preserve">CELIMAX THE REAL NONI ACNE BUBBLE CLEANSER 155ML</t>
  </si>
  <si>
    <t xml:space="preserve">CELIMAX DUAL BARRIER MILD GEL CLEANSER 200ML</t>
  </si>
  <si>
    <t xml:space="preserve">CELIMAX PORE+DARK SPOT BRIGHTENING SERUM_30ml [30ml]/Сыворотка для выравнив</t>
  </si>
  <si>
    <t xml:space="preserve">551482493</t>
  </si>
  <si>
    <t xml:space="preserve">CELIMAX THE REAL NONI ENERGY AMPOULE_30ML (NEW) [30ml]/Восстанавливающая сы</t>
  </si>
  <si>
    <t xml:space="preserve">551472457</t>
  </si>
  <si>
    <t xml:space="preserve">CELIMAX THE REAL NONI MOISTURE BALANCING TONER (NEW) [150ml]/Восстанавливаю</t>
  </si>
  <si>
    <t xml:space="preserve">551518955</t>
  </si>
  <si>
    <t xml:space="preserve">CELIMAX PORE+DARK SPOT BRIGHTENING CREAM [35ml]/Крем для выравнивания тона</t>
  </si>
  <si>
    <t xml:space="preserve">551447345</t>
  </si>
  <si>
    <t xml:space="preserve">FARMSTAY - Collagen &amp; Hyaluronic Acid All-In One Ampoule [250ml] / Сыворотк</t>
  </si>
  <si>
    <t xml:space="preserve">168956391</t>
  </si>
  <si>
    <t xml:space="preserve">FARMSTAY - Collagen Water Full Shampoo &amp; Conditioner [530ml] / Шампунь-конд</t>
  </si>
  <si>
    <t xml:space="preserve">207475898</t>
  </si>
  <si>
    <t xml:space="preserve">FARMSTAY - Black Garlic Nourishing Shampoo [530ml] / Шампунь-кондиционер 2в</t>
  </si>
  <si>
    <t xml:space="preserve">207472742</t>
  </si>
  <si>
    <t xml:space="preserve">FARMSTAY - Argan Oil Complete Volume Up Shampoo &amp; Conditioner [530ml] / Шам</t>
  </si>
  <si>
    <t xml:space="preserve">207476309</t>
  </si>
  <si>
    <t xml:space="preserve">FARMSTAY ESCARGOT NOBLESSE INTENSIVE AMPOULE/ сыворотка с улиткой</t>
  </si>
  <si>
    <t xml:space="preserve">419630142</t>
  </si>
  <si>
    <t xml:space="preserve">FARMSTAY - Gold Snail Premium Cream [50ml] / Омолаживающий крем с муцином у</t>
  </si>
  <si>
    <t xml:space="preserve">207469760</t>
  </si>
  <si>
    <t xml:space="preserve">FARMSTAY - Escargot Noblesse Intensive Cream [50g] / Крем с муцином королев</t>
  </si>
  <si>
    <t xml:space="preserve">169076150</t>
  </si>
  <si>
    <t xml:space="preserve">FARMSTAY - Collagen Pure Cleansing Foam [180ml]/Пенка для умывания</t>
  </si>
  <si>
    <t xml:space="preserve">207476777</t>
  </si>
  <si>
    <t xml:space="preserve">FARMSTAY - Collagen Water Full Moist Cream [100g] / Увлажняющий крем с колл</t>
  </si>
  <si>
    <t xml:space="preserve">207477077</t>
  </si>
  <si>
    <t xml:space="preserve">FARMSTAY - Collagen Water Full Moist Rolling Eye Serum [25ml] / Сыворотка р</t>
  </si>
  <si>
    <t xml:space="preserve">212885914</t>
  </si>
  <si>
    <t xml:space="preserve">ROUND LAB 1025 DOKDO CLEANSER_150ml - Увлажняющая пенка для умывания лица</t>
  </si>
  <si>
    <t xml:space="preserve">437154709</t>
  </si>
  <si>
    <t xml:space="preserve">ROUND LAB MUGWORT CALMING CLEANSER_150ml - Очищающая пенка для умывания лиц</t>
  </si>
  <si>
    <t xml:space="preserve">437242640</t>
  </si>
  <si>
    <t xml:space="preserve">ROUND LAB 1025 DOKDO TONER_200ml / Отшелушивающий тоник с морской водой</t>
  </si>
  <si>
    <t xml:space="preserve">1123574113</t>
  </si>
  <si>
    <t xml:space="preserve">1025 DOKDO BUBBLE FOAM_150ml</t>
  </si>
  <si>
    <t xml:space="preserve">PINE CALMING CICA CLEANSER_150ml</t>
  </si>
  <si>
    <t xml:space="preserve">PINE CALMING CICA BODY WASH_400ml</t>
  </si>
  <si>
    <t xml:space="preserve">ROUND LAB CAMELLIA DEEP COLLAGEN FIRMING CREAM_50ml</t>
  </si>
  <si>
    <t xml:space="preserve">ROUND LAB STICK POUCH KIT</t>
  </si>
  <si>
    <t xml:space="preserve">PINE CALMING CICA PAD_50pcs</t>
  </si>
  <si>
    <t xml:space="preserve">ROUND LAB BIRCH JUICE MOISTURIZING CREAM_80ml -Увлажняющий крем с березовым</t>
  </si>
  <si>
    <t xml:space="preserve">437190353</t>
  </si>
  <si>
    <t xml:space="preserve">PINE CALMING CICA CREAM PLUS_60ml</t>
  </si>
  <si>
    <t xml:space="preserve">SOYBEAN SERUM_50ml</t>
  </si>
  <si>
    <t xml:space="preserve">ROUND LAB PINE CALMING CICA AMPOULE_30ml - Сыворотка для жирной кожи лица у</t>
  </si>
  <si>
    <t xml:space="preserve">437776835</t>
  </si>
  <si>
    <t xml:space="preserve">MANYO - Bifida Biome Complex Ampoule [50ml] / Антивозрастная сыворотка для</t>
  </si>
  <si>
    <t xml:space="preserve">198147185</t>
  </si>
  <si>
    <t xml:space="preserve">BIFIDA BIOME AMPOULE TONER 210ml</t>
  </si>
  <si>
    <t xml:space="preserve">MANYO - Galac Whitening Vita Serum [50ml] / Осветляющая сыворотка с Витамин</t>
  </si>
  <si>
    <t xml:space="preserve">198156472</t>
  </si>
  <si>
    <t xml:space="preserve">MANYO BIFIDA COMPLEX AMPOULE GEL CLEANSER [400ml] / Гель для умывания с биф</t>
  </si>
  <si>
    <t xml:space="preserve">868575374</t>
  </si>
  <si>
    <t xml:space="preserve">MANYO - Bifida Biome Ampoule Lotion [300ml] / Укрепляющий лосьон с бифидоба</t>
  </si>
  <si>
    <t xml:space="preserve">198143251</t>
  </si>
  <si>
    <t xml:space="preserve">MANYO BIFIDA INFUSION SHOT AMPOULE 1DX [50ml] / Сыворотка с микроиглами и п</t>
  </si>
  <si>
    <t xml:space="preserve">868700077</t>
  </si>
  <si>
    <t xml:space="preserve">MANYO - Pure Cleansing Oil [200ml] / Гидрофильное масло для глубокого очище</t>
  </si>
  <si>
    <t xml:space="preserve">198156698</t>
  </si>
  <si>
    <t xml:space="preserve">JIGOTT - Snail Lifting Cream [70ml] / Крем для лица увлажняющий антивозраст</t>
  </si>
  <si>
    <t xml:space="preserve">207482718</t>
  </si>
  <si>
    <t xml:space="preserve">JIGOTT - Birds Nest Firming Cream [70ml] / Антивозрастной крем с экстрактом</t>
  </si>
  <si>
    <t xml:space="preserve">207483780</t>
  </si>
  <si>
    <t xml:space="preserve">JIGOTT - Daily Real Cica Toner [300ml] / Тонер для лица с центеллой азиатск</t>
  </si>
  <si>
    <t xml:space="preserve">212757456</t>
  </si>
  <si>
    <t xml:space="preserve">JIGOTT - Ассорти набор масок [27ml х 15]</t>
  </si>
  <si>
    <t xml:space="preserve">255574453</t>
  </si>
  <si>
    <t xml:space="preserve">JIGOTT - Ultimate Real Collagen Toner [300ml] / тонер с коллагеном антивозр</t>
  </si>
  <si>
    <t xml:space="preserve">212760119</t>
  </si>
  <si>
    <t xml:space="preserve">JIGOTT - Snail Reparing Cream [100ml] / Крем для лица увлажняющий антивозра</t>
  </si>
  <si>
    <t xml:space="preserve">207483179</t>
  </si>
  <si>
    <t xml:space="preserve">JIGOTT - Aura Secret Hyaluronec Acid Toner [300ml] / Тонер с гиалуроновой к</t>
  </si>
  <si>
    <t xml:space="preserve">212883090</t>
  </si>
  <si>
    <t xml:space="preserve">JIGOTT - Moisture Real Aloe Vera Toner [300ml] / Тонер для лица увлажняющий</t>
  </si>
  <si>
    <t xml:space="preserve">212759698</t>
  </si>
  <si>
    <t xml:space="preserve">PETITFEE - Agave Cooling Hydrogel Face Mask [5pcs] / Охлаждающая гидрогелев</t>
  </si>
  <si>
    <t xml:space="preserve">226115324</t>
  </si>
  <si>
    <t xml:space="preserve">PETITFEE - Collagen &amp; CoQ10 Hydrogel Eye Patch [60ea] / Гидрогелевые патчи</t>
  </si>
  <si>
    <t xml:space="preserve">179611231</t>
  </si>
  <si>
    <t xml:space="preserve">PETITFEE - Gold &amp; Snail Hydrogel Eye Patch [60ea] / Гидрогелевые патчи для</t>
  </si>
  <si>
    <t xml:space="preserve">179611207</t>
  </si>
  <si>
    <t xml:space="preserve">PETITFEE - Black Pearl &amp; Gold Hydrogel Eye Patch [60ea] / Гидрогелевые патч</t>
  </si>
  <si>
    <t xml:space="preserve">151175880</t>
  </si>
  <si>
    <t xml:space="preserve">PETITFEE - Gold Hydrogel Mask Pack [5pcs] / Гидрогелевая маска для лица с з</t>
  </si>
  <si>
    <t xml:space="preserve">226114935</t>
  </si>
  <si>
    <t xml:space="preserve">PETITFEE - Agave Cooling Hydrogel Eye Patch [60ea] / Охлаждающие гидрогелев</t>
  </si>
  <si>
    <t xml:space="preserve">151175877</t>
  </si>
  <si>
    <t xml:space="preserve">PETITFEE - Bera Glucan Deep Firming Eye Patch [60ea] / Тканевые патчи для в</t>
  </si>
  <si>
    <t xml:space="preserve">180988755</t>
  </si>
  <si>
    <t xml:space="preserve">PETITFEE - Gold Hydrogel Eye Patch [60ea] / гидрогелевые патчи для глаз с з</t>
  </si>
  <si>
    <t xml:space="preserve">180711104</t>
  </si>
  <si>
    <t xml:space="preserve">PETITFEE - Cacao Energizing Hydrogel Mask Pack [5pcs] / Тонизирующая гидрог</t>
  </si>
  <si>
    <t xml:space="preserve">226115248</t>
  </si>
  <si>
    <t xml:space="preserve">PETITFEE - Artichoke Soothing Hydrogel Face Mask [5pcs] / Смягчающая гидрог</t>
  </si>
  <si>
    <t xml:space="preserve">226114831</t>
  </si>
  <si>
    <t xml:space="preserve">PETITFEE - Black Pearl &amp; Gold Hydrogel Mask Pack [5pcs] / Гидрогелевая маск</t>
  </si>
  <si>
    <t xml:space="preserve">226115478</t>
  </si>
  <si>
    <t xml:space="preserve">PETITFEE - Gold &amp; Snail Hydrogel Mask Pack [5pcs] / Гидрогелевая маска для</t>
  </si>
  <si>
    <t xml:space="preserve">226115141</t>
  </si>
  <si>
    <t xml:space="preserve">PETITFEE - Pink Vita Brightening Eye Patch [60ea] / Тканевые патчи для век</t>
  </si>
  <si>
    <t xml:space="preserve">180987509</t>
  </si>
  <si>
    <t xml:space="preserve">PETITFEE - Artichoke Soothing Hydrogel Eye Patch [60ea] / Смягчающие гидрог</t>
  </si>
  <si>
    <t xml:space="preserve">179611278</t>
  </si>
  <si>
    <t xml:space="preserve">PETITFEE - Cacao Energizing Hydrogel Eye Patch [60ea] / Тонизирующие гидрог</t>
  </si>
  <si>
    <t xml:space="preserve">179611304</t>
  </si>
  <si>
    <t xml:space="preserve">PETITFEE - Aura Quartz Hydrogel Eye Patch [60ea]</t>
  </si>
  <si>
    <t xml:space="preserve">180992464</t>
  </si>
  <si>
    <t xml:space="preserve">ETUDE - Baking Powder Crunch Pore Scrub [200ml] / Очищающий скраб для лица</t>
  </si>
  <si>
    <t xml:space="preserve">151313163</t>
  </si>
  <si>
    <t xml:space="preserve">ETUDE - Baking Powder BB Deep Cleansing Foam [160ml] / Пенка с содой для гл</t>
  </si>
  <si>
    <t xml:space="preserve">307073881</t>
  </si>
  <si>
    <t xml:space="preserve">ETUDE - Baking Powder Crunch Pore Scrub [24*7ml] / Очищающий скраб для лица</t>
  </si>
  <si>
    <t xml:space="preserve">154160085</t>
  </si>
  <si>
    <t xml:space="preserve">ENOUGH - Collagen Moisture Essential Cream [50ml] / Увлажняющий крем для ли</t>
  </si>
  <si>
    <t xml:space="preserve">238415286</t>
  </si>
  <si>
    <t xml:space="preserve">ENOUGH Premium Ultra X10 Cover Up Collagen Foundation</t>
  </si>
  <si>
    <t xml:space="preserve">ENOUGH - Gold Snail Moisture Foundation [Tone 13] / Тональный крем с муцино</t>
  </si>
  <si>
    <t xml:space="preserve">207796789</t>
  </si>
  <si>
    <t xml:space="preserve">ENOUGH - Collagen Moisture BB Cream SPF47 PA+++ [50ml] / Увлажняющий BB кре</t>
  </si>
  <si>
    <t xml:space="preserve">238413828</t>
  </si>
  <si>
    <t xml:space="preserve">ENOUGH Collagen whitening cover tip concealer #03 [9g]/ Консилер для лица (</t>
  </si>
  <si>
    <t xml:space="preserve">212889028</t>
  </si>
  <si>
    <t xml:space="preserve">ENOUGH Collagen whitening cover tip concealer #02 [9g]/Консилер для лица (о</t>
  </si>
  <si>
    <t xml:space="preserve">212889027</t>
  </si>
  <si>
    <t xml:space="preserve">ENOUGH - Gold Snail Moisture Foundation [Tone 21] / Тональный крем с муцино</t>
  </si>
  <si>
    <t xml:space="preserve">207796898</t>
  </si>
  <si>
    <t xml:space="preserve">ENOUGH Collagen whitening cover tip concealer #01 [9g]/Консилер для лица (о</t>
  </si>
  <si>
    <t xml:space="preserve">212889025</t>
  </si>
  <si>
    <t xml:space="preserve">ENOUGH Premium Rich Gold Double Wear Radiance #21</t>
  </si>
  <si>
    <t xml:space="preserve">ENOUGH - Collagen Whitening Moisture Cream 3in1 [50g] / Антивозрастной отбе</t>
  </si>
  <si>
    <t xml:space="preserve">238416010</t>
  </si>
  <si>
    <t xml:space="preserve">ENOUGH - Collagen Moisture Foundation [Tone 13] / Тональный крем для лица с</t>
  </si>
  <si>
    <t xml:space="preserve">150925321</t>
  </si>
  <si>
    <t xml:space="preserve">ENOUGH - Collagen Moisture Foundation [Tone 21] / Тональный крем для лица с</t>
  </si>
  <si>
    <t xml:space="preserve">150925322</t>
  </si>
  <si>
    <t xml:space="preserve">ENOUGH Premium Rich Gold Double Wear Radiance #13</t>
  </si>
  <si>
    <t xml:space="preserve">ENOUGH - Premium 8 Peptide Full Cover Perfect Foundation [Tone 21] / Тональ</t>
  </si>
  <si>
    <t xml:space="preserve">170198337</t>
  </si>
  <si>
    <t xml:space="preserve">ENOUGH - Collagen 3in1 Whitening Moisture Foundation [Tone 21] / Тональный</t>
  </si>
  <si>
    <t xml:space="preserve">151132052</t>
  </si>
  <si>
    <t xml:space="preserve">ENOUGH - Collagen 3in1 Whitening Moisture Foundation [Tone 13] / Тональный</t>
  </si>
  <si>
    <t xml:space="preserve">151132051</t>
  </si>
  <si>
    <t xml:space="preserve">ENOUGH - Premium 8 Peptide Full Cover Perfect Foundation [Tone 13] / Тональ</t>
  </si>
  <si>
    <t xml:space="preserve">170198738</t>
  </si>
  <si>
    <t xml:space="preserve">VT PDRN ESSENCE 100 / Укрепляющая бустер-эссенция с ПДРН</t>
  </si>
  <si>
    <t xml:space="preserve">1119249556</t>
  </si>
  <si>
    <t xml:space="preserve">VT REEDLE SHOT 100 / Бустер-сыворотка с микроиглами</t>
  </si>
  <si>
    <t xml:space="preserve">1123494802</t>
  </si>
  <si>
    <t xml:space="preserve">JMSOLUTION - MASK PACK BLACK [30ml*10ea] - ассорти набор 10шт в упаковке</t>
  </si>
  <si>
    <t xml:space="preserve">214977901</t>
  </si>
  <si>
    <t xml:space="preserve">JMSOLUTION - MASK PACK DISNEY [30ml*10ea] - ассорти набор из 10шт</t>
  </si>
  <si>
    <t xml:space="preserve">214964091</t>
  </si>
  <si>
    <t xml:space="preserve">HEIMISH - Artless Glow Base SPF50+ PA+++(Renew) [40ml] / База под макияж SP</t>
  </si>
  <si>
    <t xml:space="preserve">207466866</t>
  </si>
  <si>
    <t xml:space="preserve">DEOPROCE SHAMPOO+BALSAM - BLACK GARLIC[2000ml]</t>
  </si>
  <si>
    <t xml:space="preserve">214305722</t>
  </si>
  <si>
    <t xml:space="preserve">DEOPROCE SHAMPOO - BLACK GARLIC INTENSME ENERGY [200ml]/ Шампунь с черным ч</t>
  </si>
  <si>
    <t xml:space="preserve">608841921</t>
  </si>
  <si>
    <t xml:space="preserve">DEOPROCE SHAMPOO - BLACK GARLIC INTENSME ENERGY [600ml] мягкая упаковка Шам</t>
  </si>
  <si>
    <t xml:space="preserve">608837066</t>
  </si>
  <si>
    <t xml:space="preserve">DEOPROCE SHAMPOO - BLACK GARLIC INTENSME ENERGY [600ml] мягкая упаковка с к</t>
  </si>
  <si>
    <t xml:space="preserve">608624295</t>
  </si>
  <si>
    <t xml:space="preserve">SOME BY MI - AHA-BHA-PHA 30 Days Miracle Cleansing Bar [106g] / Мыло для пр</t>
  </si>
  <si>
    <t xml:space="preserve">248928046</t>
  </si>
  <si>
    <t xml:space="preserve">SOME BY MI - AHA-BHA-PHA 30 Days Miracle Cream [60g] / Крем для лица</t>
  </si>
  <si>
    <t xml:space="preserve">248929125</t>
  </si>
  <si>
    <t xml:space="preserve">ELIZAVECCA - CER-100 Collagen Ceramide Coating Protein Treatment [100ml] /</t>
  </si>
  <si>
    <t xml:space="preserve">207796350</t>
  </si>
  <si>
    <t xml:space="preserve">ELIZAVECCA - Milky Piggy EGF elastic retinol [100ml] / Антивозрастной крем</t>
  </si>
  <si>
    <t xml:space="preserve">190160008</t>
  </si>
  <si>
    <t xml:space="preserve">ELIZAVECCA - Hell-Pore Galactomyces Pure Ample / Сыворотка для лица с экстр</t>
  </si>
  <si>
    <t xml:space="preserve">206058262</t>
  </si>
  <si>
    <t xml:space="preserve">COSRX - Salicylic Acid Daily Gentle Cleanser [150ml] / Пенка с салициловой</t>
  </si>
  <si>
    <t xml:space="preserve">204258828</t>
  </si>
  <si>
    <t xml:space="preserve">THE ORDINARY - Argireline Solution 10% [30ml] / Сыворотка для лица от прыще</t>
  </si>
  <si>
    <t xml:space="preserve">214312385</t>
  </si>
  <si>
    <t xml:space="preserve">THE ORDINARY - Glycolic Acid 7% Toning Solution [KOR] [240ml] / Тоник с гли</t>
  </si>
  <si>
    <t xml:space="preserve">247275092</t>
  </si>
  <si>
    <t xml:space="preserve">LEBELAGE - Dr. Peptide Derma Eye Cream [40ml] / Крем для глаз антивозрастно</t>
  </si>
  <si>
    <t xml:space="preserve">210575566</t>
  </si>
  <si>
    <t xml:space="preserve">LANEIGE LIP SLEEPING MASK-BERRY [3g]</t>
  </si>
  <si>
    <t xml:space="preserve">868761530</t>
  </si>
  <si>
    <t xml:space="preserve">SKIN1004 - Madagascar Centella Ampoule [30ml] / Сыворотка для лица успокаив</t>
  </si>
  <si>
    <t xml:space="preserve">214311963</t>
  </si>
  <si>
    <t xml:space="preserve">SKIN1004 Madagascar Centella Soothing Cream 75ml</t>
  </si>
  <si>
    <t xml:space="preserve">SKIN1004 Madagascar Centella Tone Brightening Capsule Ampoule 100ml</t>
  </si>
  <si>
    <t xml:space="preserve">SKIN1004 - Madagascar Centella Hyalu-Cica Sleeping Pack [30ml] / Увлажняюща</t>
  </si>
  <si>
    <t xml:space="preserve">214312149</t>
  </si>
  <si>
    <t xml:space="preserve">EKEL - Ampule Сream Сollagen [70ml] / Крем для лица ампульный с коллагеном</t>
  </si>
  <si>
    <t xml:space="preserve">208202076</t>
  </si>
  <si>
    <t xml:space="preserve">DR. JART - Ctrl+A Teatreatment Toner [120ml] / Тонер тоник для лица увлажня</t>
  </si>
  <si>
    <t xml:space="preserve">199427475</t>
  </si>
  <si>
    <t xml:space="preserve">MASIL - 8 Seconds Salon Hair Mask 350ml Set [350ml+8ml*2]</t>
  </si>
  <si>
    <t xml:space="preserve">183030830</t>
  </si>
  <si>
    <t xml:space="preserve">10 поз.</t>
  </si>
  <si>
    <t xml:space="preserve">Позиции, где остаток на складе 3 000 штук и больше.</t>
  </si>
  <si>
    <t xml:space="preserve">[Derma Factory] PDRN 4% Ampoule</t>
  </si>
  <si>
    <t xml:space="preserve">[Derma Factory] Porphyrin 20% Ampoule stick</t>
  </si>
  <si>
    <t xml:space="preserve">[Derma Factory] Retinal 300ppm Cream</t>
  </si>
  <si>
    <t xml:space="preserve">[Derma Factory] Tranexamic Acid 6% Cream</t>
  </si>
  <si>
    <t xml:space="preserve">PDRN PINK EXOSOME SHOT SERUM 7500 30ml</t>
  </si>
  <si>
    <t xml:space="preserve">VT REEDLE S LIP PLUMPER EXPERT</t>
  </si>
  <si>
    <t xml:space="preserve">PDRN PINK EXOSOME SHOT SERUM 2000 30ml</t>
  </si>
  <si>
    <t xml:space="preserve">TXA NIACINAMIDE CAPSULE CREAM 55g</t>
  </si>
  <si>
    <t xml:space="preserve">PDRN PINK PEPTIDE SERUM 30ml</t>
  </si>
  <si>
    <t xml:space="preserve">[Derma Factory] Matrixyl 15% +  Argireline 2% Serum</t>
  </si>
  <si>
    <t xml:space="preserve">[Derma Factory] Niacinamide 20% Serum</t>
  </si>
  <si>
    <t xml:space="preserve">PDRN PINK COLLAGEN CAPSULE CREAM 55g</t>
  </si>
  <si>
    <t xml:space="preserve">[Derma Factory]  Bakuchiol Spicule Cream</t>
  </si>
  <si>
    <t xml:space="preserve">PDRN PINK HYALURONIC MOISTURIZING CREAM 50ml</t>
  </si>
  <si>
    <t xml:space="preserve">ИТОГО, шт</t>
  </si>
  <si>
    <t xml:space="preserve">ИТОГО СУММА, ₽</t>
  </si>
  <si>
    <t xml:space="preserve">Итого CELIMAX</t>
  </si>
  <si>
    <t xml:space="preserve">Итого ROUND LAB</t>
  </si>
  <si>
    <t xml:space="preserve">Итого FARMSTAY</t>
  </si>
  <si>
    <t xml:space="preserve">Итого JIGOTT</t>
  </si>
  <si>
    <t xml:space="preserve">Итого ENOUGH</t>
  </si>
  <si>
    <t xml:space="preserve">Итого ETUDE</t>
  </si>
  <si>
    <t xml:space="preserve">Итого DERMA FACTORY</t>
  </si>
  <si>
    <t xml:space="preserve">Итого PETITFEE</t>
  </si>
  <si>
    <t xml:space="preserve">Итого MANYO</t>
  </si>
  <si>
    <t xml:space="preserve">Итого SKIN1004</t>
  </si>
  <si>
    <t xml:space="preserve">Итого JMSOLUTION</t>
  </si>
  <si>
    <t xml:space="preserve">Итого MEDICUBE</t>
  </si>
  <si>
    <t xml:space="preserve">Итого VT</t>
  </si>
  <si>
    <t xml:space="preserve">Итого HEIMISH</t>
  </si>
  <si>
    <t xml:space="preserve">Итого DEOPROCE</t>
  </si>
  <si>
    <t xml:space="preserve">Итого ELIZAVECCA</t>
  </si>
  <si>
    <t xml:space="preserve">Итого SOME BY MI</t>
  </si>
  <si>
    <t xml:space="preserve">Итого VT COSMETICS</t>
  </si>
  <si>
    <t xml:space="preserve">Итого LEBELAGE</t>
  </si>
  <si>
    <t xml:space="preserve">Итого COSRX</t>
  </si>
  <si>
    <t xml:space="preserve">Итого LANEIGE</t>
  </si>
  <si>
    <t xml:space="preserve">Итого THE ORDINARY</t>
  </si>
  <si>
    <t xml:space="preserve">Итого MASIL</t>
  </si>
  <si>
    <t xml:space="preserve">Итого DR. JART</t>
  </si>
  <si>
    <t xml:space="preserve">Итого EKEL</t>
  </si>
  <si>
    <t xml:space="preserve">ВСЕГО ПО ВСЕМ ПОЗИЦИЯМ</t>
  </si>
  <si>
    <t xml:space="preserve">СКЛАД — остаток в Дедовске на 31.08.2026</t>
  </si>
  <si>
    <t xml:space="preserve">КОНТЕЙНЕР — товар в пути, 77 234 шт</t>
  </si>
  <si>
    <t xml:space="preserve">МАШИНА — товар в пути, 17 700 шт</t>
  </si>
  <si>
    <t xml:space="preserve">Средняя цена — средневзвешенная по всем трём партиям.</t>
  </si>
  <si>
    <t xml:space="preserve">Доля</t>
  </si>
  <si>
    <t xml:space="preserve">Себест. склада, ₽</t>
  </si>
  <si>
    <t xml:space="preserve">Себест. контейнера, ₽</t>
  </si>
  <si>
    <t xml:space="preserve">Себест. машины, ₽</t>
  </si>
  <si>
    <t xml:space="preserve">ВСЕГО денег, ₽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</si>
</sst>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DCE6F1"/>
      </patternFill>
    </fill>
    <fill>
      <patternFill patternType="solid">
        <fgColor rgb="FF1F4E79"/>
        <bgColor rgb="FF003366"/>
      </patternFill>
    </fill>
    <fill>
      <patternFill patternType="solid">
        <fgColor rgb="FF7F6000"/>
        <bgColor rgb="FF666666"/>
      </patternFill>
    </fill>
    <fill>
      <patternFill patternType="solid">
        <fgColor rgb="FF548235"/>
        <bgColor rgb="FF666666"/>
      </patternFill>
    </fill>
    <fill>
      <patternFill patternType="solid">
        <fgColor rgb="FFDCE6F1"/>
        <bgColor rgb="FFBDD7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548235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548235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54823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4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2" t="s">
        <v>2</v>
      </c>
    </row>
    <row r="5" customFormat="false" ht="15" hidden="false" customHeight="true" outlineLevel="0" collapsed="false">
      <c r="A5" s="3" t="s">
        <v>3</v>
      </c>
      <c r="B5" s="4" t="n">
        <v>141</v>
      </c>
    </row>
    <row r="6" customFormat="false" ht="15" hidden="false" customHeight="true" outlineLevel="0" collapsed="false">
      <c r="A6" s="3" t="s">
        <v>4</v>
      </c>
      <c r="B6" s="4" t="n">
        <v>101850</v>
      </c>
    </row>
    <row r="7" customFormat="false" ht="15" hidden="false" customHeight="true" outlineLevel="0" collapsed="false">
      <c r="A7" s="3" t="s">
        <v>5</v>
      </c>
      <c r="B7" s="4" t="n">
        <v>77234</v>
      </c>
    </row>
    <row r="8" customFormat="false" ht="15" hidden="false" customHeight="true" outlineLevel="0" collapsed="false">
      <c r="A8" s="3" t="s">
        <v>6</v>
      </c>
      <c r="B8" s="4" t="n">
        <v>17700</v>
      </c>
    </row>
    <row r="9" customFormat="false" ht="15" hidden="false" customHeight="true" outlineLevel="0" collapsed="false">
      <c r="A9" s="5" t="s">
        <v>7</v>
      </c>
      <c r="B9" s="6" t="n">
        <f aca="false">B6+B7+B8</f>
        <v>196784</v>
      </c>
    </row>
    <row r="11" customFormat="false" ht="15" hidden="false" customHeight="true" outlineLevel="0" collapsed="false">
      <c r="A11" s="2" t="s">
        <v>8</v>
      </c>
    </row>
    <row r="12" customFormat="false" ht="15" hidden="false" customHeight="true" outlineLevel="0" collapsed="false">
      <c r="A12" s="3" t="s">
        <v>9</v>
      </c>
      <c r="B12" s="4" t="n">
        <v>46500566</v>
      </c>
    </row>
    <row r="13" customFormat="false" ht="15" hidden="false" customHeight="true" outlineLevel="0" collapsed="false">
      <c r="A13" s="3" t="s">
        <v>10</v>
      </c>
      <c r="B13" s="4" t="n">
        <v>48154651</v>
      </c>
    </row>
    <row r="14" customFormat="false" ht="15" hidden="false" customHeight="true" outlineLevel="0" collapsed="false">
      <c r="A14" s="3" t="s">
        <v>11</v>
      </c>
      <c r="B14" s="4" t="n">
        <v>11853425.5</v>
      </c>
    </row>
    <row r="15" customFormat="false" ht="15" hidden="false" customHeight="true" outlineLevel="0" collapsed="false">
      <c r="A15" s="5" t="s">
        <v>12</v>
      </c>
      <c r="B15" s="6" t="n">
        <f aca="false">B12+B13+B14</f>
        <v>106508642.5</v>
      </c>
    </row>
    <row r="16" customFormat="false" ht="15" hidden="false" customHeight="true" outlineLevel="0" collapsed="false">
      <c r="A16" s="3" t="s">
        <v>13</v>
      </c>
      <c r="B16" s="7" t="n">
        <f aca="false">B15/B9</f>
        <v>541.246455504513</v>
      </c>
    </row>
    <row r="18" customFormat="false" ht="15" hidden="false" customHeight="true" outlineLevel="0" collapsed="false">
      <c r="A18" s="2" t="s">
        <v>14</v>
      </c>
    </row>
    <row r="19" customFormat="false" ht="15" hidden="false" customHeight="true" outlineLevel="0" collapsed="false">
      <c r="A19" s="8" t="s">
        <v>15</v>
      </c>
    </row>
    <row r="20" customFormat="false" ht="15" hidden="false" customHeight="true" outlineLevel="0" collapsed="false">
      <c r="A20" s="8" t="s">
        <v>16</v>
      </c>
    </row>
    <row r="21" customFormat="false" ht="15" hidden="false" customHeight="true" outlineLevel="0" collapsed="false">
      <c r="A21" s="8" t="s">
        <v>17</v>
      </c>
    </row>
    <row r="22" customFormat="false" ht="15" hidden="false" customHeight="true" outlineLevel="0" collapsed="false">
      <c r="A22" s="8" t="s">
        <v>18</v>
      </c>
    </row>
    <row r="23" customFormat="false" ht="15" hidden="false" customHeight="true" outlineLevel="0" collapsed="false">
      <c r="A23" s="8" t="s">
        <v>19</v>
      </c>
    </row>
    <row r="24" customFormat="false" ht="15" hidden="false" customHeight="true" outlineLevel="0" collapsed="false">
      <c r="A24" s="8" t="s">
        <v>20</v>
      </c>
    </row>
    <row r="27" customFormat="false" ht="15" hidden="false" customHeight="true" outlineLevel="0" collapsed="false">
      <c r="A2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6"/>
    <col collapsed="false" customWidth="true" hidden="false" outlineLevel="0" max="14" min="13" style="1" width="12"/>
    <col collapsed="false" customWidth="true" hidden="false" outlineLevel="0" max="15" min="15" style="1" width="22"/>
  </cols>
  <sheetData>
    <row r="1" customFormat="false" ht="51.75" hidden="false" customHeight="true" outlineLevel="0" collapsed="false">
      <c r="A1" s="10" t="s">
        <v>21</v>
      </c>
      <c r="B1" s="10" t="s">
        <v>22</v>
      </c>
      <c r="C1" s="10" t="s">
        <v>23</v>
      </c>
      <c r="D1" s="10" t="s">
        <v>4</v>
      </c>
      <c r="E1" s="10" t="s">
        <v>24</v>
      </c>
      <c r="F1" s="11" t="s">
        <v>5</v>
      </c>
      <c r="G1" s="11" t="s">
        <v>25</v>
      </c>
      <c r="H1" s="11" t="s">
        <v>6</v>
      </c>
      <c r="I1" s="11" t="s">
        <v>26</v>
      </c>
      <c r="J1" s="12" t="s">
        <v>7</v>
      </c>
      <c r="K1" s="12" t="s">
        <v>27</v>
      </c>
      <c r="L1" s="12" t="s">
        <v>28</v>
      </c>
      <c r="M1" s="12" t="s">
        <v>29</v>
      </c>
      <c r="N1" s="12" t="s">
        <v>30</v>
      </c>
      <c r="O1" s="10" t="s">
        <v>31</v>
      </c>
    </row>
    <row r="2" customFormat="false" ht="15" hidden="false" customHeight="true" outlineLevel="0" collapsed="false">
      <c r="A2" s="13" t="n">
        <v>1</v>
      </c>
      <c r="B2" s="13" t="s">
        <v>32</v>
      </c>
      <c r="C2" s="13" t="n">
        <v>27</v>
      </c>
      <c r="D2" s="14" t="n">
        <v>21820</v>
      </c>
      <c r="E2" s="14" t="n">
        <v>13087532</v>
      </c>
      <c r="F2" s="14" t="n">
        <v>35071</v>
      </c>
      <c r="G2" s="14" t="n">
        <v>24919509</v>
      </c>
      <c r="H2" s="14" t="n">
        <v>15000</v>
      </c>
      <c r="I2" s="14" t="n">
        <v>11048850</v>
      </c>
      <c r="J2" s="15" t="n">
        <f aca="false">SUM(D2,F2,H2)</f>
        <v>71891</v>
      </c>
      <c r="K2" s="7" t="n">
        <f aca="false">IF(J2=0,"",L2/J2)</f>
        <v>682.364843999944</v>
      </c>
      <c r="L2" s="16" t="n">
        <f aca="false">SUM(E2,G2,I2)</f>
        <v>49055891</v>
      </c>
      <c r="M2" s="17" t="n">
        <f aca="false">J2/$J$27</f>
        <v>0.365329498333198</v>
      </c>
      <c r="N2" s="17" t="n">
        <f aca="false">L2/$L$27</f>
        <v>0.460581320715741</v>
      </c>
      <c r="O2" s="13" t="s">
        <v>33</v>
      </c>
    </row>
    <row r="3" customFormat="false" ht="15" hidden="false" customHeight="true" outlineLevel="0" collapsed="false">
      <c r="A3" s="13" t="n">
        <v>2</v>
      </c>
      <c r="B3" s="13" t="s">
        <v>34</v>
      </c>
      <c r="C3" s="13" t="n">
        <v>13</v>
      </c>
      <c r="D3" s="14" t="n">
        <v>9805</v>
      </c>
      <c r="E3" s="14" t="n">
        <v>5287657</v>
      </c>
      <c r="F3" s="14" t="n">
        <v>28400</v>
      </c>
      <c r="G3" s="14" t="n">
        <v>15150135</v>
      </c>
      <c r="H3" s="14"/>
      <c r="I3" s="14"/>
      <c r="J3" s="15" t="n">
        <f aca="false">SUM(D3,F3,H3)</f>
        <v>38205</v>
      </c>
      <c r="K3" s="7" t="n">
        <f aca="false">IF(J3=0,"",L3/J3)</f>
        <v>534.950713257427</v>
      </c>
      <c r="L3" s="16" t="n">
        <f aca="false">SUM(E3,G3,I3)</f>
        <v>20437792</v>
      </c>
      <c r="M3" s="17" t="n">
        <f aca="false">J3/$J$27</f>
        <v>0.194146881860314</v>
      </c>
      <c r="N3" s="17" t="n">
        <f aca="false">L3/$L$27</f>
        <v>0.19188857933237</v>
      </c>
      <c r="O3" s="13" t="s">
        <v>35</v>
      </c>
    </row>
    <row r="4" customFormat="false" ht="15" hidden="false" customHeight="true" outlineLevel="0" collapsed="false">
      <c r="A4" s="13" t="n">
        <v>3</v>
      </c>
      <c r="B4" s="13" t="s">
        <v>36</v>
      </c>
      <c r="C4" s="13" t="n">
        <v>10</v>
      </c>
      <c r="D4" s="14" t="n">
        <v>18817</v>
      </c>
      <c r="E4" s="14" t="n">
        <v>7730271</v>
      </c>
      <c r="F4" s="14"/>
      <c r="G4" s="14"/>
      <c r="H4" s="14"/>
      <c r="I4" s="14"/>
      <c r="J4" s="15" t="n">
        <f aca="false">SUM(D4,F4,H4)</f>
        <v>18817</v>
      </c>
      <c r="K4" s="7" t="n">
        <f aca="false">IF(J4=0,"",L4/J4)</f>
        <v>410.813147685603</v>
      </c>
      <c r="L4" s="16" t="n">
        <f aca="false">SUM(E4,G4,I4)</f>
        <v>7730271</v>
      </c>
      <c r="M4" s="17" t="n">
        <f aca="false">J4/$J$27</f>
        <v>0.0956226115944386</v>
      </c>
      <c r="N4" s="17" t="n">
        <f aca="false">L4/$L$27</f>
        <v>0.0725788147782412</v>
      </c>
      <c r="O4" s="13" t="s">
        <v>37</v>
      </c>
    </row>
    <row r="5" customFormat="false" ht="15" hidden="false" customHeight="true" outlineLevel="0" collapsed="false">
      <c r="A5" s="13" t="n">
        <v>4</v>
      </c>
      <c r="B5" s="13" t="s">
        <v>38</v>
      </c>
      <c r="C5" s="13" t="n">
        <v>7</v>
      </c>
      <c r="D5" s="14" t="n">
        <v>4162</v>
      </c>
      <c r="E5" s="14" t="n">
        <v>3738266</v>
      </c>
      <c r="F5" s="14" t="n">
        <v>1200</v>
      </c>
      <c r="G5" s="14" t="n">
        <v>579045</v>
      </c>
      <c r="H5" s="14"/>
      <c r="I5" s="14"/>
      <c r="J5" s="15" t="n">
        <f aca="false">SUM(D5,F5,H5)</f>
        <v>5362</v>
      </c>
      <c r="K5" s="7" t="n">
        <f aca="false">IF(J5=0,"",L5/J5)</f>
        <v>805.168034315554</v>
      </c>
      <c r="L5" s="16" t="n">
        <f aca="false">SUM(E5,G5,I5)</f>
        <v>4317311</v>
      </c>
      <c r="M5" s="17" t="n">
        <f aca="false">J5/$J$27</f>
        <v>0.0272481502561184</v>
      </c>
      <c r="N5" s="17" t="n">
        <f aca="false">L5/$L$27</f>
        <v>0.040534842233741</v>
      </c>
      <c r="O5" s="13" t="s">
        <v>39</v>
      </c>
    </row>
    <row r="6" customFormat="false" ht="15" hidden="false" customHeight="true" outlineLevel="0" collapsed="false">
      <c r="A6" s="13" t="n">
        <v>5</v>
      </c>
      <c r="B6" s="13" t="s">
        <v>40</v>
      </c>
      <c r="C6" s="13" t="n">
        <v>8</v>
      </c>
      <c r="D6" s="14" t="n">
        <v>14799</v>
      </c>
      <c r="E6" s="14" t="n">
        <v>3616791</v>
      </c>
      <c r="F6" s="14"/>
      <c r="G6" s="14"/>
      <c r="H6" s="14"/>
      <c r="I6" s="14"/>
      <c r="J6" s="15" t="n">
        <f aca="false">SUM(D6,F6,H6)</f>
        <v>14799</v>
      </c>
      <c r="K6" s="7" t="n">
        <f aca="false">IF(J6=0,"",L6/J6)</f>
        <v>244.394283397527</v>
      </c>
      <c r="L6" s="16" t="n">
        <f aca="false">SUM(E6,G6,I6)</f>
        <v>3616791</v>
      </c>
      <c r="M6" s="17" t="n">
        <f aca="false">J6/$J$27</f>
        <v>0.0752042849012115</v>
      </c>
      <c r="N6" s="17" t="n">
        <f aca="false">L6/$L$27</f>
        <v>0.0339577233554438</v>
      </c>
      <c r="O6" s="13" t="s">
        <v>41</v>
      </c>
    </row>
    <row r="7" customFormat="false" ht="15" hidden="false" customHeight="true" outlineLevel="0" collapsed="false">
      <c r="A7" s="13" t="n">
        <v>6</v>
      </c>
      <c r="B7" s="13" t="s">
        <v>42</v>
      </c>
      <c r="C7" s="13" t="n">
        <v>16</v>
      </c>
      <c r="D7" s="14" t="n">
        <v>6262</v>
      </c>
      <c r="E7" s="14" t="n">
        <v>3104137</v>
      </c>
      <c r="F7" s="14"/>
      <c r="G7" s="14"/>
      <c r="H7" s="14"/>
      <c r="I7" s="14"/>
      <c r="J7" s="15" t="n">
        <f aca="false">SUM(D7,F7,H7)</f>
        <v>6262</v>
      </c>
      <c r="K7" s="7" t="n">
        <f aca="false">IF(J7=0,"",L7/J7)</f>
        <v>495.710156499521</v>
      </c>
      <c r="L7" s="16" t="n">
        <f aca="false">SUM(E7,G7,I7)</f>
        <v>3104137</v>
      </c>
      <c r="M7" s="17" t="n">
        <f aca="false">J7/$J$27</f>
        <v>0.0318216928205545</v>
      </c>
      <c r="N7" s="17" t="n">
        <f aca="false">L7/$L$27</f>
        <v>0.0291444613480285</v>
      </c>
      <c r="O7" s="13" t="s">
        <v>43</v>
      </c>
    </row>
    <row r="8" customFormat="false" ht="15" hidden="false" customHeight="true" outlineLevel="0" collapsed="false">
      <c r="A8" s="13" t="n">
        <v>7</v>
      </c>
      <c r="B8" s="13" t="s">
        <v>44</v>
      </c>
      <c r="C8" s="13" t="n">
        <v>3</v>
      </c>
      <c r="D8" s="14" t="n">
        <v>7475</v>
      </c>
      <c r="E8" s="14" t="n">
        <v>2949885</v>
      </c>
      <c r="F8" s="14"/>
      <c r="G8" s="14"/>
      <c r="H8" s="14"/>
      <c r="I8" s="14"/>
      <c r="J8" s="15" t="n">
        <f aca="false">SUM(D8,F8,H8)</f>
        <v>7475</v>
      </c>
      <c r="K8" s="7" t="n">
        <f aca="false">IF(J8=0,"",L8/J8)</f>
        <v>394.633444816054</v>
      </c>
      <c r="L8" s="16" t="n">
        <f aca="false">SUM(E8,G8,I8)</f>
        <v>2949885</v>
      </c>
      <c r="M8" s="17" t="n">
        <f aca="false">J8/$J$27</f>
        <v>0.0379858118546223</v>
      </c>
      <c r="N8" s="17" t="n">
        <f aca="false">L8/$L$27</f>
        <v>0.0276962032808568</v>
      </c>
      <c r="O8" s="13" t="s">
        <v>45</v>
      </c>
    </row>
    <row r="9" customFormat="false" ht="15" hidden="false" customHeight="true" outlineLevel="0" collapsed="false">
      <c r="A9" s="13" t="n">
        <v>8</v>
      </c>
      <c r="B9" s="13" t="s">
        <v>46</v>
      </c>
      <c r="C9" s="13" t="n">
        <v>7</v>
      </c>
      <c r="D9" s="14"/>
      <c r="E9" s="14"/>
      <c r="F9" s="14" t="n">
        <v>7095</v>
      </c>
      <c r="G9" s="14" t="n">
        <v>2910096</v>
      </c>
      <c r="H9" s="14"/>
      <c r="I9" s="14"/>
      <c r="J9" s="15" t="n">
        <f aca="false">SUM(D9,F9,H9)</f>
        <v>7095</v>
      </c>
      <c r="K9" s="7" t="n">
        <f aca="false">IF(J9=0,"",L9/J9)</f>
        <v>410.161522198732</v>
      </c>
      <c r="L9" s="16" t="n">
        <f aca="false">SUM(E9,G9,I9)</f>
        <v>2910096</v>
      </c>
      <c r="M9" s="17" t="n">
        <f aca="false">J9/$J$27</f>
        <v>0.0360547605496382</v>
      </c>
      <c r="N9" s="17" t="n">
        <f aca="false">L9/$L$27</f>
        <v>0.027322627961025</v>
      </c>
      <c r="O9" s="13"/>
    </row>
    <row r="10" customFormat="false" ht="15" hidden="false" customHeight="true" outlineLevel="0" collapsed="false">
      <c r="A10" s="13" t="n">
        <v>9</v>
      </c>
      <c r="B10" s="13" t="s">
        <v>47</v>
      </c>
      <c r="C10" s="13" t="n">
        <v>17</v>
      </c>
      <c r="D10" s="14" t="n">
        <v>11168</v>
      </c>
      <c r="E10" s="14" t="n">
        <v>1975002</v>
      </c>
      <c r="F10" s="14"/>
      <c r="G10" s="14"/>
      <c r="H10" s="14" t="n">
        <v>2700</v>
      </c>
      <c r="I10" s="14" t="n">
        <v>804575</v>
      </c>
      <c r="J10" s="15" t="n">
        <f aca="false">SUM(D10,F10,H10)</f>
        <v>13868</v>
      </c>
      <c r="K10" s="7" t="n">
        <f aca="false">IF(J10=0,"",L10/J10)</f>
        <v>200.430992212287</v>
      </c>
      <c r="L10" s="16" t="n">
        <f aca="false">SUM(E10,G10,I10)</f>
        <v>2779577</v>
      </c>
      <c r="M10" s="17" t="n">
        <f aca="false">J10/$J$27</f>
        <v>0.0704732092040003</v>
      </c>
      <c r="N10" s="17" t="n">
        <f aca="false">L10/$L$27</f>
        <v>0.0260971968828595</v>
      </c>
      <c r="O10" s="13" t="s">
        <v>48</v>
      </c>
    </row>
    <row r="11" customFormat="false" ht="15" hidden="false" customHeight="true" outlineLevel="0" collapsed="false">
      <c r="A11" s="13" t="n">
        <v>10</v>
      </c>
      <c r="B11" s="13" t="s">
        <v>49</v>
      </c>
      <c r="C11" s="13" t="n">
        <v>4</v>
      </c>
      <c r="D11" s="14" t="n">
        <v>52</v>
      </c>
      <c r="E11" s="14" t="n">
        <v>18612</v>
      </c>
      <c r="F11" s="14" t="n">
        <v>3320</v>
      </c>
      <c r="G11" s="14" t="n">
        <v>2555880</v>
      </c>
      <c r="H11" s="14"/>
      <c r="I11" s="14"/>
      <c r="J11" s="15" t="n">
        <f aca="false">SUM(D11,F11,H11)</f>
        <v>3372</v>
      </c>
      <c r="K11" s="7" t="n">
        <f aca="false">IF(J11=0,"",L11/J11)</f>
        <v>763.491103202847</v>
      </c>
      <c r="L11" s="16" t="n">
        <f aca="false">SUM(E11,G11,I11)</f>
        <v>2574492</v>
      </c>
      <c r="M11" s="17" t="n">
        <f aca="false">J11/$J$27</f>
        <v>0.017135539474754</v>
      </c>
      <c r="N11" s="17" t="n">
        <f aca="false">L11/$L$27</f>
        <v>0.0241716723794112</v>
      </c>
      <c r="O11" s="13" t="s">
        <v>50</v>
      </c>
    </row>
    <row r="12" customFormat="false" ht="15" hidden="false" customHeight="true" outlineLevel="0" collapsed="false">
      <c r="A12" s="13" t="n">
        <v>11</v>
      </c>
      <c r="B12" s="13" t="s">
        <v>51</v>
      </c>
      <c r="C12" s="13" t="n">
        <v>2</v>
      </c>
      <c r="D12" s="14" t="n">
        <v>1406</v>
      </c>
      <c r="E12" s="14" t="n">
        <v>1908134</v>
      </c>
      <c r="F12" s="14"/>
      <c r="G12" s="14"/>
      <c r="H12" s="14"/>
      <c r="I12" s="14"/>
      <c r="J12" s="15" t="n">
        <f aca="false">SUM(D12,F12,H12)</f>
        <v>1406</v>
      </c>
      <c r="K12" s="7" t="n">
        <f aca="false">IF(J12=0,"",L12/J12)</f>
        <v>1357.13655761024</v>
      </c>
      <c r="L12" s="16" t="n">
        <f aca="false">SUM(E12,G12,I12)</f>
        <v>1908134</v>
      </c>
      <c r="M12" s="17" t="n">
        <f aca="false">J12/$J$27</f>
        <v>0.00714488982844134</v>
      </c>
      <c r="N12" s="17" t="n">
        <f aca="false">L12/$L$27</f>
        <v>0.0179152974272266</v>
      </c>
      <c r="O12" s="13" t="s">
        <v>52</v>
      </c>
    </row>
    <row r="13" customFormat="false" ht="15" hidden="false" customHeight="true" outlineLevel="0" collapsed="false">
      <c r="A13" s="13" t="n">
        <v>12</v>
      </c>
      <c r="B13" s="13" t="s">
        <v>53</v>
      </c>
      <c r="C13" s="13" t="n">
        <v>6</v>
      </c>
      <c r="D13" s="14"/>
      <c r="E13" s="14"/>
      <c r="F13" s="14" t="n">
        <v>1620</v>
      </c>
      <c r="G13" s="14" t="n">
        <v>1678504</v>
      </c>
      <c r="H13" s="14"/>
      <c r="I13" s="14"/>
      <c r="J13" s="15" t="n">
        <f aca="false">SUM(D13,F13,H13)</f>
        <v>1620</v>
      </c>
      <c r="K13" s="7" t="n">
        <f aca="false">IF(J13=0,"",L13/J13)</f>
        <v>1036.11358024691</v>
      </c>
      <c r="L13" s="16" t="n">
        <f aca="false">SUM(E13,G13,I13)</f>
        <v>1678504</v>
      </c>
      <c r="M13" s="17" t="n">
        <f aca="false">J13/$J$27</f>
        <v>0.00823237661598504</v>
      </c>
      <c r="N13" s="17" t="n">
        <f aca="false">L13/$L$27</f>
        <v>0.0157593221402635</v>
      </c>
      <c r="O13" s="13"/>
    </row>
    <row r="14" customFormat="false" ht="15" hidden="false" customHeight="true" outlineLevel="0" collapsed="false">
      <c r="A14" s="13" t="n">
        <v>13</v>
      </c>
      <c r="B14" s="13" t="s">
        <v>54</v>
      </c>
      <c r="C14" s="13" t="n">
        <v>2</v>
      </c>
      <c r="D14" s="14" t="n">
        <v>1871</v>
      </c>
      <c r="E14" s="14" t="n">
        <v>905185</v>
      </c>
      <c r="F14" s="14"/>
      <c r="G14" s="14"/>
      <c r="H14" s="14"/>
      <c r="I14" s="14"/>
      <c r="J14" s="15" t="n">
        <f aca="false">SUM(D14,F14,H14)</f>
        <v>1871</v>
      </c>
      <c r="K14" s="7" t="n">
        <f aca="false">IF(J14=0,"",L14/J14)</f>
        <v>483.797434526991</v>
      </c>
      <c r="L14" s="16" t="n">
        <f aca="false">SUM(E14,G14,I14)</f>
        <v>905185</v>
      </c>
      <c r="M14" s="17" t="n">
        <f aca="false">J14/$J$27</f>
        <v>0.00950788682006667</v>
      </c>
      <c r="N14" s="17" t="n">
        <f aca="false">L14/$L$27</f>
        <v>0.00849870003975828</v>
      </c>
      <c r="O14" s="13" t="s">
        <v>55</v>
      </c>
    </row>
    <row r="15" customFormat="false" ht="15" hidden="false" customHeight="true" outlineLevel="0" collapsed="false">
      <c r="A15" s="13" t="n">
        <v>14</v>
      </c>
      <c r="B15" s="13" t="s">
        <v>56</v>
      </c>
      <c r="C15" s="13" t="n">
        <v>1</v>
      </c>
      <c r="D15" s="14" t="n">
        <v>941</v>
      </c>
      <c r="E15" s="14" t="n">
        <v>797524</v>
      </c>
      <c r="F15" s="14"/>
      <c r="G15" s="14"/>
      <c r="H15" s="14"/>
      <c r="I15" s="14"/>
      <c r="J15" s="15" t="n">
        <f aca="false">SUM(D15,F15,H15)</f>
        <v>941</v>
      </c>
      <c r="K15" s="7" t="n">
        <f aca="false">IF(J15=0,"",L15/J15)</f>
        <v>847.528161530287</v>
      </c>
      <c r="L15" s="16" t="n">
        <f aca="false">SUM(E15,G15,I15)</f>
        <v>797524</v>
      </c>
      <c r="M15" s="17" t="n">
        <f aca="false">J15/$J$27</f>
        <v>0.004781892836816</v>
      </c>
      <c r="N15" s="17" t="n">
        <f aca="false">L15/$L$27</f>
        <v>0.00748788065479231</v>
      </c>
      <c r="O15" s="13" t="s">
        <v>57</v>
      </c>
    </row>
    <row r="16" customFormat="false" ht="15" hidden="false" customHeight="true" outlineLevel="0" collapsed="false">
      <c r="A16" s="13" t="n">
        <v>15</v>
      </c>
      <c r="B16" s="13" t="s">
        <v>58</v>
      </c>
      <c r="C16" s="13" t="n">
        <v>4</v>
      </c>
      <c r="D16" s="14" t="n">
        <v>783</v>
      </c>
      <c r="E16" s="14" t="n">
        <v>368464</v>
      </c>
      <c r="F16" s="14"/>
      <c r="G16" s="14"/>
      <c r="H16" s="14"/>
      <c r="I16" s="14"/>
      <c r="J16" s="15" t="n">
        <f aca="false">SUM(D16,F16,H16)</f>
        <v>783</v>
      </c>
      <c r="K16" s="7" t="n">
        <f aca="false">IF(J16=0,"",L16/J16)</f>
        <v>470.579821200511</v>
      </c>
      <c r="L16" s="16" t="n">
        <f aca="false">SUM(E16,G16,I16)</f>
        <v>368464</v>
      </c>
      <c r="M16" s="17" t="n">
        <f aca="false">J16/$J$27</f>
        <v>0.00397898203105944</v>
      </c>
      <c r="N16" s="17" t="n">
        <f aca="false">L16/$L$27</f>
        <v>0.00345947514756596</v>
      </c>
      <c r="O16" s="13" t="s">
        <v>59</v>
      </c>
    </row>
    <row r="17" customFormat="false" ht="15" hidden="false" customHeight="true" outlineLevel="0" collapsed="false">
      <c r="A17" s="13" t="n">
        <v>16</v>
      </c>
      <c r="B17" s="13" t="s">
        <v>60</v>
      </c>
      <c r="C17" s="13" t="n">
        <v>1</v>
      </c>
      <c r="D17" s="14"/>
      <c r="E17" s="14"/>
      <c r="F17" s="14" t="n">
        <v>528</v>
      </c>
      <c r="G17" s="14" t="n">
        <v>361482</v>
      </c>
      <c r="H17" s="14"/>
      <c r="I17" s="14"/>
      <c r="J17" s="15" t="n">
        <f aca="false">SUM(D17,F17,H17)</f>
        <v>528</v>
      </c>
      <c r="K17" s="7" t="n">
        <f aca="false">IF(J17=0,"",L17/J17)</f>
        <v>684.625</v>
      </c>
      <c r="L17" s="16" t="n">
        <f aca="false">SUM(E17,G17,I17)</f>
        <v>361482</v>
      </c>
      <c r="M17" s="17" t="n">
        <f aca="false">J17/$J$27</f>
        <v>0.00268314497113586</v>
      </c>
      <c r="N17" s="17" t="n">
        <f aca="false">L17/$L$27</f>
        <v>0.00339392178148323</v>
      </c>
      <c r="O17" s="13"/>
    </row>
    <row r="18" customFormat="false" ht="15" hidden="false" customHeight="true" outlineLevel="0" collapsed="false">
      <c r="A18" s="13" t="n">
        <v>17</v>
      </c>
      <c r="B18" s="13" t="s">
        <v>61</v>
      </c>
      <c r="C18" s="13" t="n">
        <v>2</v>
      </c>
      <c r="D18" s="14" t="n">
        <v>582</v>
      </c>
      <c r="E18" s="14" t="n">
        <v>353658</v>
      </c>
      <c r="F18" s="14"/>
      <c r="G18" s="14"/>
      <c r="H18" s="14"/>
      <c r="I18" s="14"/>
      <c r="J18" s="15" t="n">
        <f aca="false">SUM(D18,F18,H18)</f>
        <v>582</v>
      </c>
      <c r="K18" s="7" t="n">
        <f aca="false">IF(J18=0,"",L18/J18)</f>
        <v>607.659793814433</v>
      </c>
      <c r="L18" s="16" t="n">
        <f aca="false">SUM(E18,G18,I18)</f>
        <v>353658</v>
      </c>
      <c r="M18" s="17" t="n">
        <f aca="false">J18/$J$27</f>
        <v>0.00295755752500203</v>
      </c>
      <c r="N18" s="17" t="n">
        <f aca="false">L18/$L$27</f>
        <v>0.00332046295360709</v>
      </c>
      <c r="O18" s="13" t="s">
        <v>62</v>
      </c>
    </row>
    <row r="19" customFormat="false" ht="15" hidden="false" customHeight="true" outlineLevel="0" collapsed="false">
      <c r="A19" s="13" t="n">
        <v>18</v>
      </c>
      <c r="B19" s="13" t="s">
        <v>63</v>
      </c>
      <c r="C19" s="13" t="n">
        <v>3</v>
      </c>
      <c r="D19" s="14" t="n">
        <v>599</v>
      </c>
      <c r="E19" s="14" t="n">
        <v>235810</v>
      </c>
      <c r="F19" s="14"/>
      <c r="G19" s="14"/>
      <c r="H19" s="14"/>
      <c r="I19" s="14"/>
      <c r="J19" s="15" t="n">
        <f aca="false">SUM(D19,F19,H19)</f>
        <v>599</v>
      </c>
      <c r="K19" s="7" t="n">
        <f aca="false">IF(J19=0,"",L19/J19)</f>
        <v>393.672787979967</v>
      </c>
      <c r="L19" s="16" t="n">
        <f aca="false">SUM(E19,G19,I19)</f>
        <v>235810</v>
      </c>
      <c r="M19" s="17" t="n">
        <f aca="false">J19/$J$27</f>
        <v>0.00304394666233027</v>
      </c>
      <c r="N19" s="17" t="n">
        <f aca="false">L19/$L$27</f>
        <v>0.00221399874763214</v>
      </c>
      <c r="O19" s="13" t="s">
        <v>64</v>
      </c>
    </row>
    <row r="20" customFormat="false" ht="15" hidden="false" customHeight="true" outlineLevel="0" collapsed="false">
      <c r="A20" s="13" t="n">
        <v>19</v>
      </c>
      <c r="B20" s="13" t="s">
        <v>65</v>
      </c>
      <c r="C20" s="13" t="n">
        <v>1</v>
      </c>
      <c r="D20" s="14" t="n">
        <v>361</v>
      </c>
      <c r="E20" s="14" t="n">
        <v>124119</v>
      </c>
      <c r="F20" s="14"/>
      <c r="G20" s="14"/>
      <c r="H20" s="14"/>
      <c r="I20" s="14"/>
      <c r="J20" s="15" t="n">
        <f aca="false">SUM(D20,F20,H20)</f>
        <v>361</v>
      </c>
      <c r="K20" s="7" t="n">
        <f aca="false">IF(J20=0,"",L20/J20)</f>
        <v>343.819944598338</v>
      </c>
      <c r="L20" s="16" t="n">
        <f aca="false">SUM(E20,G20,I20)</f>
        <v>124119</v>
      </c>
      <c r="M20" s="17" t="n">
        <f aca="false">J20/$J$27</f>
        <v>0.00183449873973494</v>
      </c>
      <c r="N20" s="17" t="n">
        <f aca="false">L20/$L$27</f>
        <v>0.00116534205740789</v>
      </c>
      <c r="O20" s="13" t="s">
        <v>66</v>
      </c>
    </row>
    <row r="21" customFormat="false" ht="15" hidden="false" customHeight="true" outlineLevel="0" collapsed="false">
      <c r="A21" s="13" t="n">
        <v>20</v>
      </c>
      <c r="B21" s="13" t="s">
        <v>67</v>
      </c>
      <c r="C21" s="13" t="n">
        <v>2</v>
      </c>
      <c r="D21" s="14" t="n">
        <v>147</v>
      </c>
      <c r="E21" s="14" t="n">
        <v>112588</v>
      </c>
      <c r="F21" s="14"/>
      <c r="G21" s="14"/>
      <c r="H21" s="14"/>
      <c r="I21" s="14"/>
      <c r="J21" s="15" t="n">
        <f aca="false">SUM(D21,F21,H21)</f>
        <v>147</v>
      </c>
      <c r="K21" s="7" t="n">
        <f aca="false">IF(J21=0,"",L21/J21)</f>
        <v>765.904761904762</v>
      </c>
      <c r="L21" s="16" t="n">
        <f aca="false">SUM(E21,G21,I21)</f>
        <v>112588</v>
      </c>
      <c r="M21" s="17" t="n">
        <f aca="false">J21/$J$27</f>
        <v>0.000747011952191235</v>
      </c>
      <c r="N21" s="17" t="n">
        <f aca="false">L21/$L$27</f>
        <v>0.00105707854203981</v>
      </c>
      <c r="O21" s="13" t="s">
        <v>68</v>
      </c>
    </row>
    <row r="22" customFormat="false" ht="15" hidden="false" customHeight="true" outlineLevel="0" collapsed="false">
      <c r="A22" s="13" t="n">
        <v>21</v>
      </c>
      <c r="B22" s="13" t="s">
        <v>69</v>
      </c>
      <c r="C22" s="13" t="n">
        <v>1</v>
      </c>
      <c r="D22" s="14" t="n">
        <v>410</v>
      </c>
      <c r="E22" s="14" t="n">
        <v>48776</v>
      </c>
      <c r="F22" s="14"/>
      <c r="G22" s="14"/>
      <c r="H22" s="14"/>
      <c r="I22" s="14"/>
      <c r="J22" s="15" t="n">
        <f aca="false">SUM(D22,F22,H22)</f>
        <v>410</v>
      </c>
      <c r="K22" s="7" t="n">
        <f aca="false">IF(J22=0,"",L22/J22)</f>
        <v>118.965853658537</v>
      </c>
      <c r="L22" s="16" t="n">
        <f aca="false">SUM(E22,G22,I22)</f>
        <v>48776</v>
      </c>
      <c r="M22" s="17" t="n">
        <f aca="false">J22/$J$27</f>
        <v>0.00208350272379868</v>
      </c>
      <c r="N22" s="17" t="n">
        <f aca="false">L22/$L$27</f>
        <v>0.000457953449448731</v>
      </c>
      <c r="O22" s="13" t="s">
        <v>70</v>
      </c>
    </row>
    <row r="23" customFormat="false" ht="15" hidden="false" customHeight="true" outlineLevel="0" collapsed="false">
      <c r="A23" s="13" t="n">
        <v>22</v>
      </c>
      <c r="B23" s="13" t="s">
        <v>71</v>
      </c>
      <c r="C23" s="13" t="n">
        <v>1</v>
      </c>
      <c r="D23" s="14" t="n">
        <v>235</v>
      </c>
      <c r="E23" s="14" t="n">
        <v>30752</v>
      </c>
      <c r="F23" s="14"/>
      <c r="G23" s="14"/>
      <c r="H23" s="14"/>
      <c r="I23" s="14"/>
      <c r="J23" s="15" t="n">
        <f aca="false">SUM(D23,F23,H23)</f>
        <v>235</v>
      </c>
      <c r="K23" s="7" t="n">
        <f aca="false">IF(J23=0,"",L23/J23)</f>
        <v>130.859574468085</v>
      </c>
      <c r="L23" s="16" t="n">
        <f aca="false">SUM(E23,G23,I23)</f>
        <v>30752</v>
      </c>
      <c r="M23" s="17" t="n">
        <f aca="false">J23/$J$27</f>
        <v>0.00119420278071388</v>
      </c>
      <c r="N23" s="17" t="n">
        <f aca="false">L23/$L$27</f>
        <v>0.000288727744740187</v>
      </c>
      <c r="O23" s="13" t="s">
        <v>72</v>
      </c>
    </row>
    <row r="24" customFormat="false" ht="15" hidden="false" customHeight="true" outlineLevel="0" collapsed="false">
      <c r="A24" s="13" t="n">
        <v>23</v>
      </c>
      <c r="B24" s="13" t="s">
        <v>73</v>
      </c>
      <c r="C24" s="13" t="n">
        <v>1</v>
      </c>
      <c r="D24" s="14" t="n">
        <v>9</v>
      </c>
      <c r="E24" s="14" t="n">
        <v>1279</v>
      </c>
      <c r="F24" s="14"/>
      <c r="G24" s="14"/>
      <c r="H24" s="14"/>
      <c r="I24" s="14"/>
      <c r="J24" s="15" t="n">
        <f aca="false">SUM(D24,F24,H24)</f>
        <v>9</v>
      </c>
      <c r="K24" s="7" t="n">
        <f aca="false">IF(J24=0,"",L24/J24)</f>
        <v>142.111111111111</v>
      </c>
      <c r="L24" s="16" t="n">
        <f aca="false">SUM(E24,G24,I24)</f>
        <v>1279</v>
      </c>
      <c r="M24" s="17" t="n">
        <f aca="false">J24/$J$27</f>
        <v>4.57354256443613E-005</v>
      </c>
      <c r="N24" s="17" t="n">
        <f aca="false">L24/$L$27</f>
        <v>1.20084152420233E-005</v>
      </c>
      <c r="O24" s="13" t="s">
        <v>74</v>
      </c>
    </row>
    <row r="25" customFormat="false" ht="15" hidden="false" customHeight="true" outlineLevel="0" collapsed="false">
      <c r="A25" s="13" t="n">
        <v>24</v>
      </c>
      <c r="B25" s="13" t="s">
        <v>75</v>
      </c>
      <c r="C25" s="13" t="n">
        <v>1</v>
      </c>
      <c r="D25" s="14" t="n">
        <v>37</v>
      </c>
      <c r="E25" s="14" t="n">
        <v>25900</v>
      </c>
      <c r="F25" s="14"/>
      <c r="G25" s="14"/>
      <c r="H25" s="14"/>
      <c r="I25" s="14"/>
      <c r="J25" s="15" t="n">
        <f aca="false">SUM(D25,F25,H25)</f>
        <v>37</v>
      </c>
      <c r="K25" s="7" t="n">
        <f aca="false">IF(J25=0,"",L25/J25)</f>
        <v>700</v>
      </c>
      <c r="L25" s="16" t="n">
        <f aca="false">SUM(E25,G25,I25)</f>
        <v>25900</v>
      </c>
      <c r="M25" s="17" t="n">
        <f aca="false">J25/$J$27</f>
        <v>0.00018802341653793</v>
      </c>
      <c r="N25" s="17" t="n">
        <f aca="false">L25/$L$27</f>
        <v>0.000243172755878345</v>
      </c>
      <c r="O25" s="13" t="s">
        <v>76</v>
      </c>
    </row>
    <row r="26" customFormat="false" ht="15" hidden="false" customHeight="true" outlineLevel="0" collapsed="false">
      <c r="A26" s="13" t="n">
        <v>25</v>
      </c>
      <c r="B26" s="13" t="s">
        <v>77</v>
      </c>
      <c r="C26" s="13" t="n">
        <v>1</v>
      </c>
      <c r="D26" s="14" t="n">
        <v>109</v>
      </c>
      <c r="E26" s="14" t="n">
        <v>80224</v>
      </c>
      <c r="F26" s="14"/>
      <c r="G26" s="14"/>
      <c r="H26" s="14"/>
      <c r="I26" s="14"/>
      <c r="J26" s="15" t="n">
        <f aca="false">SUM(D26,F26,H26)</f>
        <v>109</v>
      </c>
      <c r="K26" s="7" t="n">
        <f aca="false">IF(J26=0,"",L26/J26)</f>
        <v>736</v>
      </c>
      <c r="L26" s="16" t="n">
        <f aca="false">SUM(E26,G26,I26)</f>
        <v>80224</v>
      </c>
      <c r="M26" s="17" t="n">
        <f aca="false">J26/$J$27</f>
        <v>0.000553906821692821</v>
      </c>
      <c r="N26" s="17" t="n">
        <f aca="false">L26/$L$27</f>
        <v>0.000753215875196306</v>
      </c>
      <c r="O26" s="13" t="s">
        <v>78</v>
      </c>
    </row>
    <row r="27" customFormat="false" ht="15" hidden="false" customHeight="true" outlineLevel="0" collapsed="false">
      <c r="A27" s="18"/>
      <c r="B27" s="18" t="s">
        <v>79</v>
      </c>
      <c r="C27" s="6" t="n">
        <f aca="false">SUM(C2:C26)</f>
        <v>141</v>
      </c>
      <c r="D27" s="6" t="n">
        <f aca="false">SUM(D2:D26)</f>
        <v>101850</v>
      </c>
      <c r="E27" s="6" t="n">
        <f aca="false">SUM(E2:E26)</f>
        <v>46500566</v>
      </c>
      <c r="F27" s="6" t="n">
        <f aca="false">SUM(F2:F26)</f>
        <v>77234</v>
      </c>
      <c r="G27" s="6" t="n">
        <f aca="false">SUM(G2:G26)</f>
        <v>48154651</v>
      </c>
      <c r="H27" s="6" t="n">
        <f aca="false">SUM(H2:H26)</f>
        <v>17700</v>
      </c>
      <c r="I27" s="6" t="n">
        <f aca="false">SUM(I2:I26)</f>
        <v>11853425</v>
      </c>
      <c r="J27" s="6" t="n">
        <f aca="false">SUM(J2:J26)</f>
        <v>196784</v>
      </c>
      <c r="K27" s="19" t="n">
        <f aca="false">L27/J27</f>
        <v>541.246452963656</v>
      </c>
      <c r="L27" s="6" t="n">
        <f aca="false">SUM(L2:L26)</f>
        <v>106508642</v>
      </c>
      <c r="M27" s="20" t="n">
        <v>1</v>
      </c>
      <c r="N27" s="20" t="n">
        <v>1</v>
      </c>
      <c r="O27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16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  <c r="F1" s="11" t="s">
        <v>5</v>
      </c>
      <c r="G1" s="11" t="s">
        <v>83</v>
      </c>
      <c r="H1" s="11" t="s">
        <v>25</v>
      </c>
      <c r="I1" s="11" t="s">
        <v>6</v>
      </c>
      <c r="J1" s="11" t="s">
        <v>84</v>
      </c>
      <c r="K1" s="11" t="s">
        <v>26</v>
      </c>
      <c r="L1" s="12" t="s">
        <v>7</v>
      </c>
      <c r="M1" s="12" t="s">
        <v>27</v>
      </c>
      <c r="N1" s="12" t="s">
        <v>28</v>
      </c>
    </row>
    <row r="2" customFormat="false" ht="15" hidden="false" customHeight="true" outlineLevel="0" collapsed="false">
      <c r="A2" s="21" t="s">
        <v>85</v>
      </c>
      <c r="B2" s="22" t="s">
        <v>86</v>
      </c>
      <c r="C2" s="23" t="n">
        <v>4520</v>
      </c>
      <c r="D2" s="24" t="n">
        <v>730.25</v>
      </c>
      <c r="E2" s="23" t="n">
        <f aca="false">IF(OR(C2="",D2=""),"",C2*D2)</f>
        <v>3300730</v>
      </c>
      <c r="F2" s="23" t="n">
        <v>25008</v>
      </c>
      <c r="G2" s="24" t="n">
        <v>736.59</v>
      </c>
      <c r="H2" s="23" t="n">
        <f aca="false">IF(OR(F2="",G2=""),"",F2*G2)</f>
        <v>18420642.72</v>
      </c>
      <c r="I2" s="23" t="n">
        <v>15000</v>
      </c>
      <c r="J2" s="24" t="n">
        <v>736.59</v>
      </c>
      <c r="K2" s="23" t="n">
        <f aca="false">IF(OR(I2="",J2=""),"",I2*J2)</f>
        <v>11048850</v>
      </c>
      <c r="L2" s="25" t="n">
        <f aca="false">SUM(C2,F2,I2)</f>
        <v>44528</v>
      </c>
      <c r="M2" s="26" t="n">
        <f aca="false">IF(L2=0,"",N2/L2)</f>
        <v>735.946431908013</v>
      </c>
      <c r="N2" s="27" t="n">
        <f aca="false">SUM(E2,H2,K2)</f>
        <v>32770222.72</v>
      </c>
    </row>
    <row r="3" customFormat="false" ht="23.25" hidden="false" customHeight="true" outlineLevel="0" collapsed="false">
      <c r="A3" s="21" t="s">
        <v>87</v>
      </c>
      <c r="B3" s="22" t="s">
        <v>88</v>
      </c>
      <c r="C3" s="23" t="n">
        <v>9493</v>
      </c>
      <c r="D3" s="24" t="n">
        <v>563.4</v>
      </c>
      <c r="E3" s="23" t="n">
        <f aca="false">IF(OR(C3="",D3=""),"",C3*D3)</f>
        <v>5348356.2</v>
      </c>
      <c r="F3" s="23"/>
      <c r="G3" s="24"/>
      <c r="H3" s="23" t="str">
        <f aca="false">IF(OR(F3="",G3=""),"",F3*G3)</f>
        <v/>
      </c>
      <c r="I3" s="23"/>
      <c r="J3" s="24"/>
      <c r="K3" s="23" t="str">
        <f aca="false">IF(OR(I3="",J3=""),"",I3*J3)</f>
        <v/>
      </c>
      <c r="L3" s="25" t="n">
        <f aca="false">SUM(C3,F3,I3)</f>
        <v>9493</v>
      </c>
      <c r="M3" s="26" t="n">
        <f aca="false">IF(L3=0,"",N3/L3)</f>
        <v>563.4</v>
      </c>
      <c r="N3" s="27" t="n">
        <f aca="false">SUM(E3,H3,K3)</f>
        <v>5348356.2</v>
      </c>
    </row>
    <row r="4" customFormat="false" ht="23.25" hidden="false" customHeight="true" outlineLevel="0" collapsed="false">
      <c r="A4" s="21" t="s">
        <v>89</v>
      </c>
      <c r="B4" s="22" t="s">
        <v>90</v>
      </c>
      <c r="C4" s="23" t="n">
        <v>3112</v>
      </c>
      <c r="D4" s="24" t="n">
        <v>585.31</v>
      </c>
      <c r="E4" s="23" t="n">
        <f aca="false">IF(OR(C4="",D4=""),"",C4*D4)</f>
        <v>1821484.72</v>
      </c>
      <c r="F4" s="23"/>
      <c r="G4" s="24"/>
      <c r="H4" s="23" t="str">
        <f aca="false">IF(OR(F4="",G4=""),"",F4*G4)</f>
        <v/>
      </c>
      <c r="I4" s="23"/>
      <c r="J4" s="24"/>
      <c r="K4" s="23" t="str">
        <f aca="false">IF(OR(I4="",J4=""),"",I4*J4)</f>
        <v/>
      </c>
      <c r="L4" s="25" t="n">
        <f aca="false">SUM(C4,F4,I4)</f>
        <v>3112</v>
      </c>
      <c r="M4" s="26" t="n">
        <f aca="false">IF(L4=0,"",N4/L4)</f>
        <v>585.31</v>
      </c>
      <c r="N4" s="27" t="n">
        <f aca="false">SUM(E4,H4,K4)</f>
        <v>1821484.72</v>
      </c>
    </row>
    <row r="5" customFormat="false" ht="23.25" hidden="false" customHeight="true" outlineLevel="0" collapsed="false">
      <c r="A5" s="21" t="s">
        <v>91</v>
      </c>
      <c r="B5" s="22" t="s">
        <v>92</v>
      </c>
      <c r="C5" s="23" t="n">
        <v>1375</v>
      </c>
      <c r="D5" s="24" t="n">
        <v>611.8</v>
      </c>
      <c r="E5" s="23" t="n">
        <f aca="false">IF(OR(C5="",D5=""),"",C5*D5)</f>
        <v>841225</v>
      </c>
      <c r="F5" s="23" t="n">
        <v>576</v>
      </c>
      <c r="G5" s="24" t="n">
        <v>525.43</v>
      </c>
      <c r="H5" s="23" t="n">
        <f aca="false">IF(OR(F5="",G5=""),"",F5*G5)</f>
        <v>302647.68</v>
      </c>
      <c r="I5" s="23"/>
      <c r="J5" s="24"/>
      <c r="K5" s="23" t="str">
        <f aca="false">IF(OR(I5="",J5=""),"",I5*J5)</f>
        <v/>
      </c>
      <c r="L5" s="25" t="n">
        <f aca="false">SUM(C5,F5,I5)</f>
        <v>1951</v>
      </c>
      <c r="M5" s="26" t="n">
        <f aca="false">IF(L5=0,"",N5/L5)</f>
        <v>586.300707329575</v>
      </c>
      <c r="N5" s="27" t="n">
        <f aca="false">SUM(E5,H5,K5)</f>
        <v>1143872.68</v>
      </c>
    </row>
    <row r="6" customFormat="false" ht="23.25" hidden="false" customHeight="true" outlineLevel="0" collapsed="false">
      <c r="A6" s="21" t="s">
        <v>93</v>
      </c>
      <c r="B6" s="22" t="s">
        <v>94</v>
      </c>
      <c r="C6" s="23" t="n">
        <v>1500</v>
      </c>
      <c r="D6" s="24" t="n">
        <v>778.67</v>
      </c>
      <c r="E6" s="23" t="n">
        <f aca="false">IF(OR(C6="",D6=""),"",C6*D6)</f>
        <v>1168005</v>
      </c>
      <c r="F6" s="23"/>
      <c r="G6" s="24"/>
      <c r="H6" s="23" t="str">
        <f aca="false">IF(OR(F6="",G6=""),"",F6*G6)</f>
        <v/>
      </c>
      <c r="I6" s="23"/>
      <c r="J6" s="24"/>
      <c r="K6" s="23" t="str">
        <f aca="false">IF(OR(I6="",J6=""),"",I6*J6)</f>
        <v/>
      </c>
      <c r="L6" s="25" t="n">
        <f aca="false">SUM(C6,F6,I6)</f>
        <v>1500</v>
      </c>
      <c r="M6" s="26" t="n">
        <f aca="false">IF(L6=0,"",N6/L6)</f>
        <v>778.67</v>
      </c>
      <c r="N6" s="27" t="n">
        <f aca="false">SUM(E6,H6,K6)</f>
        <v>1168005</v>
      </c>
    </row>
    <row r="7" customFormat="false" ht="23.25" hidden="false" customHeight="true" outlineLevel="0" collapsed="false">
      <c r="A7" s="21" t="s">
        <v>95</v>
      </c>
      <c r="B7" s="22" t="s">
        <v>96</v>
      </c>
      <c r="C7" s="23" t="n">
        <v>1296</v>
      </c>
      <c r="D7" s="24" t="n">
        <v>106.63</v>
      </c>
      <c r="E7" s="23" t="n">
        <f aca="false">IF(OR(C7="",D7=""),"",C7*D7)</f>
        <v>138192.48</v>
      </c>
      <c r="F7" s="23"/>
      <c r="G7" s="24"/>
      <c r="H7" s="23" t="str">
        <f aca="false">IF(OR(F7="",G7=""),"",F7*G7)</f>
        <v/>
      </c>
      <c r="I7" s="23"/>
      <c r="J7" s="24"/>
      <c r="K7" s="23" t="str">
        <f aca="false">IF(OR(I7="",J7=""),"",I7*J7)</f>
        <v/>
      </c>
      <c r="L7" s="25" t="n">
        <f aca="false">SUM(C7,F7,I7)</f>
        <v>1296</v>
      </c>
      <c r="M7" s="26" t="n">
        <f aca="false">IF(L7=0,"",N7/L7)</f>
        <v>106.63</v>
      </c>
      <c r="N7" s="27" t="n">
        <f aca="false">SUM(E7,H7,K7)</f>
        <v>138192.48</v>
      </c>
    </row>
    <row r="8" customFormat="false" ht="23.25" hidden="false" customHeight="true" outlineLevel="0" collapsed="false">
      <c r="A8" s="21" t="s">
        <v>97</v>
      </c>
      <c r="B8" s="22"/>
      <c r="C8" s="23"/>
      <c r="D8" s="24"/>
      <c r="E8" s="23" t="str">
        <f aca="false">IF(OR(C8="",D8=""),"",C8*D8)</f>
        <v/>
      </c>
      <c r="F8" s="23" t="n">
        <v>1200</v>
      </c>
      <c r="G8" s="24" t="n">
        <v>606.26</v>
      </c>
      <c r="H8" s="23" t="n">
        <f aca="false">IF(OR(F8="",G8=""),"",F8*G8)</f>
        <v>727512</v>
      </c>
      <c r="I8" s="23"/>
      <c r="J8" s="24"/>
      <c r="K8" s="23" t="str">
        <f aca="false">IF(OR(I8="",J8=""),"",I8*J8)</f>
        <v/>
      </c>
      <c r="L8" s="25" t="n">
        <f aca="false">SUM(C8,F8,I8)</f>
        <v>1200</v>
      </c>
      <c r="M8" s="26" t="n">
        <f aca="false">IF(L8=0,"",N8/L8)</f>
        <v>606.26</v>
      </c>
      <c r="N8" s="27" t="n">
        <f aca="false">SUM(E8,H8,K8)</f>
        <v>727512</v>
      </c>
    </row>
    <row r="9" customFormat="false" ht="15" hidden="false" customHeight="true" outlineLevel="0" collapsed="false">
      <c r="A9" s="21" t="s">
        <v>98</v>
      </c>
      <c r="B9" s="22"/>
      <c r="C9" s="23"/>
      <c r="D9" s="24"/>
      <c r="E9" s="23" t="str">
        <f aca="false">IF(OR(C9="",D9=""),"",C9*D9)</f>
        <v/>
      </c>
      <c r="F9" s="23" t="n">
        <v>1200</v>
      </c>
      <c r="G9" s="24" t="n">
        <v>666.48</v>
      </c>
      <c r="H9" s="23" t="n">
        <f aca="false">IF(OR(F9="",G9=""),"",F9*G9)</f>
        <v>799776</v>
      </c>
      <c r="I9" s="23"/>
      <c r="J9" s="24"/>
      <c r="K9" s="23" t="str">
        <f aca="false">IF(OR(I9="",J9=""),"",I9*J9)</f>
        <v/>
      </c>
      <c r="L9" s="25" t="n">
        <f aca="false">SUM(C9,F9,I9)</f>
        <v>1200</v>
      </c>
      <c r="M9" s="26" t="n">
        <f aca="false">IF(L9=0,"",N9/L9)</f>
        <v>666.48</v>
      </c>
      <c r="N9" s="27" t="n">
        <f aca="false">SUM(E9,H9,K9)</f>
        <v>799776</v>
      </c>
    </row>
    <row r="10" customFormat="false" ht="15" hidden="false" customHeight="true" outlineLevel="0" collapsed="false">
      <c r="A10" s="21" t="s">
        <v>99</v>
      </c>
      <c r="B10" s="22"/>
      <c r="C10" s="23"/>
      <c r="D10" s="24"/>
      <c r="E10" s="23" t="str">
        <f aca="false">IF(OR(C10="",D10=""),"",C10*D10)</f>
        <v/>
      </c>
      <c r="F10" s="23" t="n">
        <v>984</v>
      </c>
      <c r="G10" s="24" t="n">
        <v>705.25</v>
      </c>
      <c r="H10" s="23" t="n">
        <f aca="false">IF(OR(F10="",G10=""),"",F10*G10)</f>
        <v>693966</v>
      </c>
      <c r="I10" s="23"/>
      <c r="J10" s="24"/>
      <c r="K10" s="23" t="str">
        <f aca="false">IF(OR(I10="",J10=""),"",I10*J10)</f>
        <v/>
      </c>
      <c r="L10" s="25" t="n">
        <f aca="false">SUM(C10,F10,I10)</f>
        <v>984</v>
      </c>
      <c r="M10" s="26" t="n">
        <f aca="false">IF(L10=0,"",N10/L10)</f>
        <v>705.25</v>
      </c>
      <c r="N10" s="27" t="n">
        <f aca="false">SUM(E10,H10,K10)</f>
        <v>693966</v>
      </c>
    </row>
    <row r="11" customFormat="false" ht="23.25" hidden="false" customHeight="true" outlineLevel="0" collapsed="false">
      <c r="A11" s="21" t="s">
        <v>100</v>
      </c>
      <c r="B11" s="22"/>
      <c r="C11" s="23"/>
      <c r="D11" s="24"/>
      <c r="E11" s="23" t="str">
        <f aca="false">IF(OR(C11="",D11=""),"",C11*D11)</f>
        <v/>
      </c>
      <c r="F11" s="23" t="n">
        <v>864</v>
      </c>
      <c r="G11" s="24" t="n">
        <v>819.08</v>
      </c>
      <c r="H11" s="23" t="n">
        <f aca="false">IF(OR(F11="",G11=""),"",F11*G11)</f>
        <v>707685.12</v>
      </c>
      <c r="I11" s="23"/>
      <c r="J11" s="24"/>
      <c r="K11" s="23" t="str">
        <f aca="false">IF(OR(I11="",J11=""),"",I11*J11)</f>
        <v/>
      </c>
      <c r="L11" s="25" t="n">
        <f aca="false">SUM(C11,F11,I11)</f>
        <v>864</v>
      </c>
      <c r="M11" s="26" t="n">
        <f aca="false">IF(L11=0,"",N11/L11)</f>
        <v>819.08</v>
      </c>
      <c r="N11" s="27" t="n">
        <f aca="false">SUM(E11,H11,K11)</f>
        <v>707685.12</v>
      </c>
    </row>
    <row r="12" customFormat="false" ht="15" hidden="false" customHeight="true" outlineLevel="0" collapsed="false">
      <c r="A12" s="21" t="s">
        <v>101</v>
      </c>
      <c r="B12" s="22"/>
      <c r="C12" s="23"/>
      <c r="D12" s="24"/>
      <c r="E12" s="23" t="str">
        <f aca="false">IF(OR(C12="",D12=""),"",C12*D12)</f>
        <v/>
      </c>
      <c r="F12" s="23" t="n">
        <v>720</v>
      </c>
      <c r="G12" s="24" t="n">
        <v>951.88</v>
      </c>
      <c r="H12" s="23" t="n">
        <f aca="false">IF(OR(F12="",G12=""),"",F12*G12)</f>
        <v>685353.6</v>
      </c>
      <c r="I12" s="23"/>
      <c r="J12" s="24"/>
      <c r="K12" s="23" t="str">
        <f aca="false">IF(OR(I12="",J12=""),"",I12*J12)</f>
        <v/>
      </c>
      <c r="L12" s="25" t="n">
        <f aca="false">SUM(C12,F12,I12)</f>
        <v>720</v>
      </c>
      <c r="M12" s="26" t="n">
        <f aca="false">IF(L12=0,"",N12/L12)</f>
        <v>951.88</v>
      </c>
      <c r="N12" s="27" t="n">
        <f aca="false">SUM(E12,H12,K12)</f>
        <v>685353.6</v>
      </c>
    </row>
    <row r="13" customFormat="false" ht="15" hidden="false" customHeight="true" outlineLevel="0" collapsed="false">
      <c r="A13" s="21" t="s">
        <v>102</v>
      </c>
      <c r="B13" s="22"/>
      <c r="C13" s="23"/>
      <c r="D13" s="24"/>
      <c r="E13" s="23" t="str">
        <f aca="false">IF(OR(C13="",D13=""),"",C13*D13)</f>
        <v/>
      </c>
      <c r="F13" s="23" t="n">
        <v>600</v>
      </c>
      <c r="G13" s="24" t="n">
        <v>781.13</v>
      </c>
      <c r="H13" s="23" t="n">
        <f aca="false">IF(OR(F13="",G13=""),"",F13*G13)</f>
        <v>468678</v>
      </c>
      <c r="I13" s="23"/>
      <c r="J13" s="24"/>
      <c r="K13" s="23" t="str">
        <f aca="false">IF(OR(I13="",J13=""),"",I13*J13)</f>
        <v/>
      </c>
      <c r="L13" s="25" t="n">
        <f aca="false">SUM(C13,F13,I13)</f>
        <v>600</v>
      </c>
      <c r="M13" s="26" t="n">
        <f aca="false">IF(L13=0,"",N13/L13)</f>
        <v>781.13</v>
      </c>
      <c r="N13" s="27" t="n">
        <f aca="false">SUM(E13,H13,K13)</f>
        <v>468678</v>
      </c>
    </row>
    <row r="14" customFormat="false" ht="15" hidden="false" customHeight="true" outlineLevel="0" collapsed="false">
      <c r="A14" s="21" t="s">
        <v>103</v>
      </c>
      <c r="B14" s="22"/>
      <c r="C14" s="23"/>
      <c r="D14" s="24"/>
      <c r="E14" s="23" t="str">
        <f aca="false">IF(OR(C14="",D14=""),"",C14*D14)</f>
        <v/>
      </c>
      <c r="F14" s="23" t="n">
        <v>528</v>
      </c>
      <c r="G14" s="24" t="n">
        <v>502.33</v>
      </c>
      <c r="H14" s="23" t="n">
        <f aca="false">IF(OR(F14="",G14=""),"",F14*G14)</f>
        <v>265230.24</v>
      </c>
      <c r="I14" s="23"/>
      <c r="J14" s="24"/>
      <c r="K14" s="23" t="str">
        <f aca="false">IF(OR(I14="",J14=""),"",I14*J14)</f>
        <v/>
      </c>
      <c r="L14" s="25" t="n">
        <f aca="false">SUM(C14,F14,I14)</f>
        <v>528</v>
      </c>
      <c r="M14" s="26" t="n">
        <f aca="false">IF(L14=0,"",N14/L14)</f>
        <v>502.33</v>
      </c>
      <c r="N14" s="27" t="n">
        <f aca="false">SUM(E14,H14,K14)</f>
        <v>265230.24</v>
      </c>
    </row>
    <row r="15" customFormat="false" ht="15" hidden="false" customHeight="true" outlineLevel="0" collapsed="false">
      <c r="A15" s="21" t="s">
        <v>104</v>
      </c>
      <c r="B15" s="22"/>
      <c r="C15" s="23"/>
      <c r="D15" s="24"/>
      <c r="E15" s="23" t="str">
        <f aca="false">IF(OR(C15="",D15=""),"",C15*D15)</f>
        <v/>
      </c>
      <c r="F15" s="23" t="n">
        <v>480</v>
      </c>
      <c r="G15" s="24" t="n">
        <v>626.89</v>
      </c>
      <c r="H15" s="23" t="n">
        <f aca="false">IF(OR(F15="",G15=""),"",F15*G15)</f>
        <v>300907.2</v>
      </c>
      <c r="I15" s="23"/>
      <c r="J15" s="24"/>
      <c r="K15" s="23" t="str">
        <f aca="false">IF(OR(I15="",J15=""),"",I15*J15)</f>
        <v/>
      </c>
      <c r="L15" s="25" t="n">
        <f aca="false">SUM(C15,F15,I15)</f>
        <v>480</v>
      </c>
      <c r="M15" s="26" t="n">
        <f aca="false">IF(L15=0,"",N15/L15)</f>
        <v>626.89</v>
      </c>
      <c r="N15" s="27" t="n">
        <f aca="false">SUM(E15,H15,K15)</f>
        <v>300907.2</v>
      </c>
    </row>
    <row r="16" customFormat="false" ht="23.25" hidden="false" customHeight="true" outlineLevel="0" collapsed="false">
      <c r="A16" s="21" t="s">
        <v>105</v>
      </c>
      <c r="B16" s="22"/>
      <c r="C16" s="23"/>
      <c r="D16" s="24"/>
      <c r="E16" s="23" t="str">
        <f aca="false">IF(OR(C16="",D16=""),"",C16*D16)</f>
        <v/>
      </c>
      <c r="F16" s="23" t="n">
        <v>468</v>
      </c>
      <c r="G16" s="24" t="n">
        <v>527.08</v>
      </c>
      <c r="H16" s="23" t="n">
        <f aca="false">IF(OR(F16="",G16=""),"",F16*G16)</f>
        <v>246673.44</v>
      </c>
      <c r="I16" s="23"/>
      <c r="J16" s="24"/>
      <c r="K16" s="23" t="str">
        <f aca="false">IF(OR(I16="",J16=""),"",I16*J16)</f>
        <v/>
      </c>
      <c r="L16" s="25" t="n">
        <f aca="false">SUM(C16,F16,I16)</f>
        <v>468</v>
      </c>
      <c r="M16" s="26" t="n">
        <f aca="false">IF(L16=0,"",N16/L16)</f>
        <v>527.08</v>
      </c>
      <c r="N16" s="27" t="n">
        <f aca="false">SUM(E16,H16,K16)</f>
        <v>246673.44</v>
      </c>
    </row>
    <row r="17" customFormat="false" ht="15" hidden="false" customHeight="true" outlineLevel="0" collapsed="false">
      <c r="A17" s="21" t="s">
        <v>106</v>
      </c>
      <c r="B17" s="22"/>
      <c r="C17" s="23"/>
      <c r="D17" s="24"/>
      <c r="E17" s="23" t="str">
        <f aca="false">IF(OR(C17="",D17=""),"",C17*D17)</f>
        <v/>
      </c>
      <c r="F17" s="23" t="n">
        <v>448</v>
      </c>
      <c r="G17" s="24" t="n">
        <v>445.42</v>
      </c>
      <c r="H17" s="23" t="n">
        <f aca="false">IF(OR(F17="",G17=""),"",F17*G17)</f>
        <v>199548.16</v>
      </c>
      <c r="I17" s="23"/>
      <c r="J17" s="24"/>
      <c r="K17" s="23" t="str">
        <f aca="false">IF(OR(I17="",J17=""),"",I17*J17)</f>
        <v/>
      </c>
      <c r="L17" s="25" t="n">
        <f aca="false">SUM(C17,F17,I17)</f>
        <v>448</v>
      </c>
      <c r="M17" s="26" t="n">
        <f aca="false">IF(L17=0,"",N17/L17)</f>
        <v>445.42</v>
      </c>
      <c r="N17" s="27" t="n">
        <f aca="false">SUM(E17,H17,K17)</f>
        <v>199548.16</v>
      </c>
    </row>
    <row r="18" customFormat="false" ht="15" hidden="false" customHeight="true" outlineLevel="0" collapsed="false">
      <c r="A18" s="21" t="s">
        <v>107</v>
      </c>
      <c r="B18" s="22"/>
      <c r="C18" s="23"/>
      <c r="D18" s="24"/>
      <c r="E18" s="23" t="str">
        <f aca="false">IF(OR(C18="",D18=""),"",C18*D18)</f>
        <v/>
      </c>
      <c r="F18" s="23" t="n">
        <v>408</v>
      </c>
      <c r="G18" s="24" t="n">
        <v>545.23</v>
      </c>
      <c r="H18" s="23" t="n">
        <f aca="false">IF(OR(F18="",G18=""),"",F18*G18)</f>
        <v>222453.84</v>
      </c>
      <c r="I18" s="23"/>
      <c r="J18" s="24"/>
      <c r="K18" s="23" t="str">
        <f aca="false">IF(OR(I18="",J18=""),"",I18*J18)</f>
        <v/>
      </c>
      <c r="L18" s="25" t="n">
        <f aca="false">SUM(C18,F18,I18)</f>
        <v>408</v>
      </c>
      <c r="M18" s="26" t="n">
        <f aca="false">IF(L18=0,"",N18/L18)</f>
        <v>545.23</v>
      </c>
      <c r="N18" s="27" t="n">
        <f aca="false">SUM(E18,H18,K18)</f>
        <v>222453.84</v>
      </c>
    </row>
    <row r="19" customFormat="false" ht="23.25" hidden="false" customHeight="true" outlineLevel="0" collapsed="false">
      <c r="A19" s="21" t="s">
        <v>108</v>
      </c>
      <c r="B19" s="22" t="s">
        <v>109</v>
      </c>
      <c r="C19" s="23" t="n">
        <v>353</v>
      </c>
      <c r="D19" s="24" t="n">
        <v>950.52</v>
      </c>
      <c r="E19" s="23" t="n">
        <f aca="false">IF(OR(C19="",D19=""),"",C19*D19)</f>
        <v>335533.56</v>
      </c>
      <c r="F19" s="23"/>
      <c r="G19" s="24"/>
      <c r="H19" s="23" t="str">
        <f aca="false">IF(OR(F19="",G19=""),"",F19*G19)</f>
        <v/>
      </c>
      <c r="I19" s="23"/>
      <c r="J19" s="24"/>
      <c r="K19" s="23" t="str">
        <f aca="false">IF(OR(I19="",J19=""),"",I19*J19)</f>
        <v/>
      </c>
      <c r="L19" s="25" t="n">
        <f aca="false">SUM(C19,F19,I19)</f>
        <v>353</v>
      </c>
      <c r="M19" s="26" t="n">
        <f aca="false">IF(L19=0,"",N19/L19)</f>
        <v>950.52</v>
      </c>
      <c r="N19" s="27" t="n">
        <f aca="false">SUM(E19,H19,K19)</f>
        <v>335533.56</v>
      </c>
    </row>
    <row r="20" customFormat="false" ht="23.25" hidden="false" customHeight="true" outlineLevel="0" collapsed="false">
      <c r="A20" s="21" t="s">
        <v>110</v>
      </c>
      <c r="B20" s="22"/>
      <c r="C20" s="23"/>
      <c r="D20" s="24"/>
      <c r="E20" s="23" t="str">
        <f aca="false">IF(OR(C20="",D20=""),"",C20*D20)</f>
        <v/>
      </c>
      <c r="F20" s="23" t="n">
        <v>352</v>
      </c>
      <c r="G20" s="24" t="n">
        <v>565.85</v>
      </c>
      <c r="H20" s="23" t="n">
        <f aca="false">IF(OR(F20="",G20=""),"",F20*G20)</f>
        <v>199179.2</v>
      </c>
      <c r="I20" s="23"/>
      <c r="J20" s="24"/>
      <c r="K20" s="23" t="str">
        <f aca="false">IF(OR(I20="",J20=""),"",I20*J20)</f>
        <v/>
      </c>
      <c r="L20" s="25" t="n">
        <f aca="false">SUM(C20,F20,I20)</f>
        <v>352</v>
      </c>
      <c r="M20" s="26" t="n">
        <f aca="false">IF(L20=0,"",N20/L20)</f>
        <v>565.85</v>
      </c>
      <c r="N20" s="27" t="n">
        <f aca="false">SUM(E20,H20,K20)</f>
        <v>199179.2</v>
      </c>
    </row>
    <row r="21" customFormat="false" ht="23.25" hidden="false" customHeight="true" outlineLevel="0" collapsed="false">
      <c r="A21" s="21" t="s">
        <v>111</v>
      </c>
      <c r="B21" s="22"/>
      <c r="C21" s="23"/>
      <c r="D21" s="24"/>
      <c r="E21" s="23" t="str">
        <f aca="false">IF(OR(C21="",D21=""),"",C21*D21)</f>
        <v/>
      </c>
      <c r="F21" s="23" t="n">
        <v>320</v>
      </c>
      <c r="G21" s="24" t="n">
        <v>423.97</v>
      </c>
      <c r="H21" s="23" t="n">
        <f aca="false">IF(OR(F21="",G21=""),"",F21*G21)</f>
        <v>135670.4</v>
      </c>
      <c r="I21" s="23"/>
      <c r="J21" s="24"/>
      <c r="K21" s="23" t="str">
        <f aca="false">IF(OR(I21="",J21=""),"",I21*J21)</f>
        <v/>
      </c>
      <c r="L21" s="25" t="n">
        <f aca="false">SUM(C21,F21,I21)</f>
        <v>320</v>
      </c>
      <c r="M21" s="26" t="n">
        <f aca="false">IF(L21=0,"",N21/L21)</f>
        <v>423.97</v>
      </c>
      <c r="N21" s="27" t="n">
        <f aca="false">SUM(E21,H21,K21)</f>
        <v>135670.4</v>
      </c>
    </row>
    <row r="22" customFormat="false" ht="23.25" hidden="false" customHeight="true" outlineLevel="0" collapsed="false">
      <c r="A22" s="21" t="s">
        <v>112</v>
      </c>
      <c r="B22" s="22"/>
      <c r="C22" s="23"/>
      <c r="D22" s="24"/>
      <c r="E22" s="23" t="str">
        <f aca="false">IF(OR(C22="",D22=""),"",C22*D22)</f>
        <v/>
      </c>
      <c r="F22" s="23" t="n">
        <v>315</v>
      </c>
      <c r="G22" s="24" t="n">
        <v>585.64</v>
      </c>
      <c r="H22" s="23" t="n">
        <f aca="false">IF(OR(F22="",G22=""),"",F22*G22)</f>
        <v>184476.6</v>
      </c>
      <c r="I22" s="23"/>
      <c r="J22" s="24"/>
      <c r="K22" s="23" t="str">
        <f aca="false">IF(OR(I22="",J22=""),"",I22*J22)</f>
        <v/>
      </c>
      <c r="L22" s="25" t="n">
        <f aca="false">SUM(C22,F22,I22)</f>
        <v>315</v>
      </c>
      <c r="M22" s="26" t="n">
        <f aca="false">IF(L22=0,"",N22/L22)</f>
        <v>585.64</v>
      </c>
      <c r="N22" s="27" t="n">
        <f aca="false">SUM(E22,H22,K22)</f>
        <v>184476.6</v>
      </c>
    </row>
    <row r="23" customFormat="false" ht="15" hidden="false" customHeight="true" outlineLevel="0" collapsed="false">
      <c r="A23" s="21" t="s">
        <v>113</v>
      </c>
      <c r="B23" s="22"/>
      <c r="C23" s="23"/>
      <c r="D23" s="24"/>
      <c r="E23" s="23" t="str">
        <f aca="false">IF(OR(C23="",D23=""),"",C23*D23)</f>
        <v/>
      </c>
      <c r="F23" s="23" t="n">
        <v>312</v>
      </c>
      <c r="G23" s="24" t="n">
        <v>540.28</v>
      </c>
      <c r="H23" s="23" t="n">
        <f aca="false">IF(OR(F23="",G23=""),"",F23*G23)</f>
        <v>168567.36</v>
      </c>
      <c r="I23" s="23"/>
      <c r="J23" s="24"/>
      <c r="K23" s="23" t="str">
        <f aca="false">IF(OR(I23="",J23=""),"",I23*J23)</f>
        <v/>
      </c>
      <c r="L23" s="25" t="n">
        <f aca="false">SUM(C23,F23,I23)</f>
        <v>312</v>
      </c>
      <c r="M23" s="26" t="n">
        <f aca="false">IF(L23=0,"",N23/L23)</f>
        <v>540.28</v>
      </c>
      <c r="N23" s="27" t="n">
        <f aca="false">SUM(E23,H23,K23)</f>
        <v>168567.36</v>
      </c>
    </row>
    <row r="24" customFormat="false" ht="15" hidden="false" customHeight="true" outlineLevel="0" collapsed="false">
      <c r="A24" s="21" t="s">
        <v>114</v>
      </c>
      <c r="B24" s="22"/>
      <c r="C24" s="23"/>
      <c r="D24" s="24"/>
      <c r="E24" s="23" t="str">
        <f aca="false">IF(OR(C24="",D24=""),"",C24*D24)</f>
        <v/>
      </c>
      <c r="F24" s="23" t="n">
        <v>288</v>
      </c>
      <c r="G24" s="24" t="n">
        <v>661.53</v>
      </c>
      <c r="H24" s="23" t="n">
        <f aca="false">IF(OR(F24="",G24=""),"",F24*G24)</f>
        <v>190520.64</v>
      </c>
      <c r="I24" s="23"/>
      <c r="J24" s="24"/>
      <c r="K24" s="23" t="str">
        <f aca="false">IF(OR(I24="",J24=""),"",I24*J24)</f>
        <v/>
      </c>
      <c r="L24" s="25" t="n">
        <f aca="false">SUM(C24,F24,I24)</f>
        <v>288</v>
      </c>
      <c r="M24" s="26" t="n">
        <f aca="false">IF(L24=0,"",N24/L24)</f>
        <v>661.53</v>
      </c>
      <c r="N24" s="27" t="n">
        <f aca="false">SUM(E24,H24,K24)</f>
        <v>190520.64</v>
      </c>
    </row>
    <row r="25" customFormat="false" ht="23.25" hidden="false" customHeight="true" outlineLevel="0" collapsed="false">
      <c r="A25" s="21" t="s">
        <v>115</v>
      </c>
      <c r="B25" s="22" t="s">
        <v>116</v>
      </c>
      <c r="C25" s="23" t="n">
        <v>77</v>
      </c>
      <c r="D25" s="24" t="n">
        <v>756.34</v>
      </c>
      <c r="E25" s="23" t="n">
        <f aca="false">IF(OR(C25="",D25=""),"",C25*D25)</f>
        <v>58238.18</v>
      </c>
      <c r="F25" s="23"/>
      <c r="G25" s="24"/>
      <c r="H25" s="23" t="str">
        <f aca="false">IF(OR(F25="",G25=""),"",F25*G25)</f>
        <v/>
      </c>
      <c r="I25" s="23"/>
      <c r="J25" s="24"/>
      <c r="K25" s="23" t="str">
        <f aca="false">IF(OR(I25="",J25=""),"",I25*J25)</f>
        <v/>
      </c>
      <c r="L25" s="25" t="n">
        <f aca="false">SUM(C25,F25,I25)</f>
        <v>77</v>
      </c>
      <c r="M25" s="26" t="n">
        <f aca="false">IF(L25=0,"",N25/L25)</f>
        <v>756.34</v>
      </c>
      <c r="N25" s="27" t="n">
        <f aca="false">SUM(E25,H25,K25)</f>
        <v>58238.18</v>
      </c>
    </row>
    <row r="26" customFormat="false" ht="23.25" hidden="false" customHeight="true" outlineLevel="0" collapsed="false">
      <c r="A26" s="21" t="s">
        <v>117</v>
      </c>
      <c r="B26" s="22" t="s">
        <v>118</v>
      </c>
      <c r="C26" s="23" t="n">
        <v>57</v>
      </c>
      <c r="D26" s="24" t="n">
        <v>840.21</v>
      </c>
      <c r="E26" s="23" t="n">
        <f aca="false">IF(OR(C26="",D26=""),"",C26*D26)</f>
        <v>47891.97</v>
      </c>
      <c r="F26" s="23"/>
      <c r="G26" s="24"/>
      <c r="H26" s="23" t="str">
        <f aca="false">IF(OR(F26="",G26=""),"",F26*G26)</f>
        <v/>
      </c>
      <c r="I26" s="23"/>
      <c r="J26" s="24"/>
      <c r="K26" s="23" t="str">
        <f aca="false">IF(OR(I26="",J26=""),"",I26*J26)</f>
        <v/>
      </c>
      <c r="L26" s="25" t="n">
        <f aca="false">SUM(C26,F26,I26)</f>
        <v>57</v>
      </c>
      <c r="M26" s="26" t="n">
        <f aca="false">IF(L26=0,"",N26/L26)</f>
        <v>840.21</v>
      </c>
      <c r="N26" s="27" t="n">
        <f aca="false">SUM(E26,H26,K26)</f>
        <v>47891.97</v>
      </c>
    </row>
    <row r="27" customFormat="false" ht="23.25" hidden="false" customHeight="true" outlineLevel="0" collapsed="false">
      <c r="A27" s="21" t="s">
        <v>119</v>
      </c>
      <c r="B27" s="22" t="s">
        <v>120</v>
      </c>
      <c r="C27" s="23" t="n">
        <v>24</v>
      </c>
      <c r="D27" s="24" t="n">
        <v>791.54</v>
      </c>
      <c r="E27" s="23" t="n">
        <f aca="false">IF(OR(C27="",D27=""),"",C27*D27)</f>
        <v>18996.96</v>
      </c>
      <c r="F27" s="23"/>
      <c r="G27" s="24"/>
      <c r="H27" s="23" t="str">
        <f aca="false">IF(OR(F27="",G27=""),"",F27*G27)</f>
        <v/>
      </c>
      <c r="I27" s="23"/>
      <c r="J27" s="24"/>
      <c r="K27" s="23" t="str">
        <f aca="false">IF(OR(I27="",J27=""),"",I27*J27)</f>
        <v/>
      </c>
      <c r="L27" s="25" t="n">
        <f aca="false">SUM(C27,F27,I27)</f>
        <v>24</v>
      </c>
      <c r="M27" s="26" t="n">
        <f aca="false">IF(L27=0,"",N27/L27)</f>
        <v>791.54</v>
      </c>
      <c r="N27" s="27" t="n">
        <f aca="false">SUM(E27,H27,K27)</f>
        <v>18996.96</v>
      </c>
    </row>
    <row r="28" customFormat="false" ht="23.25" hidden="false" customHeight="true" outlineLevel="0" collapsed="false">
      <c r="A28" s="21" t="s">
        <v>121</v>
      </c>
      <c r="B28" s="22" t="s">
        <v>122</v>
      </c>
      <c r="C28" s="23" t="n">
        <v>13</v>
      </c>
      <c r="D28" s="24" t="n">
        <v>685.77</v>
      </c>
      <c r="E28" s="23" t="n">
        <f aca="false">IF(OR(C28="",D28=""),"",C28*D28)</f>
        <v>8915.01</v>
      </c>
      <c r="F28" s="23"/>
      <c r="G28" s="24"/>
      <c r="H28" s="23" t="str">
        <f aca="false">IF(OR(F28="",G28=""),"",F28*G28)</f>
        <v/>
      </c>
      <c r="I28" s="23"/>
      <c r="J28" s="24"/>
      <c r="K28" s="23" t="str">
        <f aca="false">IF(OR(I28="",J28=""),"",I28*J28)</f>
        <v/>
      </c>
      <c r="L28" s="25" t="n">
        <f aca="false">SUM(C28,F28,I28)</f>
        <v>13</v>
      </c>
      <c r="M28" s="26" t="n">
        <f aca="false">IF(L28=0,"",N28/L28)</f>
        <v>685.77</v>
      </c>
      <c r="N28" s="27" t="n">
        <f aca="false">SUM(E28,H28,K28)</f>
        <v>8915.01</v>
      </c>
    </row>
    <row r="29" customFormat="false" ht="15" hidden="false" customHeight="true" outlineLevel="0" collapsed="false">
      <c r="A29" s="28" t="s">
        <v>79</v>
      </c>
      <c r="B29" s="28"/>
      <c r="C29" s="29" t="n">
        <f aca="false">SUM(C2:C28)</f>
        <v>21820</v>
      </c>
      <c r="D29" s="30"/>
      <c r="E29" s="29" t="n">
        <f aca="false">SUM(E2:E28)</f>
        <v>13087569.08</v>
      </c>
      <c r="F29" s="29" t="n">
        <f aca="false">SUM(F2:F28)</f>
        <v>35071</v>
      </c>
      <c r="G29" s="30"/>
      <c r="H29" s="29" t="n">
        <f aca="false">SUM(H2:H28)</f>
        <v>24919488.2</v>
      </c>
      <c r="I29" s="29" t="n">
        <f aca="false">SUM(I2:I28)</f>
        <v>15000</v>
      </c>
      <c r="J29" s="30"/>
      <c r="K29" s="29" t="n">
        <f aca="false">SUM(K2:K28)</f>
        <v>11048850</v>
      </c>
      <c r="L29" s="29" t="n">
        <f aca="false">SUM(L2:L28)</f>
        <v>71891</v>
      </c>
      <c r="M29" s="31" t="n">
        <f aca="false">IF(L29=0,"",N29/L29)</f>
        <v>682.365070453882</v>
      </c>
      <c r="N29" s="29" t="n">
        <f aca="false">SUM(N2:N28)</f>
        <v>49055907.28</v>
      </c>
    </row>
  </sheetData>
  <autoFilter ref="A1:N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123</v>
      </c>
      <c r="B2" s="22" t="s">
        <v>124</v>
      </c>
      <c r="C2" s="23" t="n">
        <v>6179</v>
      </c>
      <c r="D2" s="24" t="n">
        <v>382.54</v>
      </c>
      <c r="E2" s="23" t="n">
        <f aca="false">IF(OR(C2="",D2=""),"",C2*D2)</f>
        <v>2363714.66</v>
      </c>
    </row>
    <row r="3" customFormat="false" ht="23.25" hidden="false" customHeight="true" outlineLevel="0" collapsed="false">
      <c r="A3" s="21" t="s">
        <v>125</v>
      </c>
      <c r="B3" s="22" t="s">
        <v>126</v>
      </c>
      <c r="C3" s="23" t="n">
        <v>3493</v>
      </c>
      <c r="D3" s="24" t="n">
        <v>436.39</v>
      </c>
      <c r="E3" s="23" t="n">
        <f aca="false">IF(OR(C3="",D3=""),"",C3*D3)</f>
        <v>1524310.27</v>
      </c>
    </row>
    <row r="4" customFormat="false" ht="23.25" hidden="false" customHeight="true" outlineLevel="0" collapsed="false">
      <c r="A4" s="21" t="s">
        <v>127</v>
      </c>
      <c r="B4" s="22" t="s">
        <v>128</v>
      </c>
      <c r="C4" s="23" t="n">
        <v>3239</v>
      </c>
      <c r="D4" s="24" t="n">
        <v>436.39</v>
      </c>
      <c r="E4" s="23" t="n">
        <f aca="false">IF(OR(C4="",D4=""),"",C4*D4)</f>
        <v>1413467.21</v>
      </c>
    </row>
    <row r="5" customFormat="false" ht="23.25" hidden="false" customHeight="true" outlineLevel="0" collapsed="false">
      <c r="A5" s="21" t="s">
        <v>129</v>
      </c>
      <c r="B5" s="22" t="s">
        <v>130</v>
      </c>
      <c r="C5" s="23" t="n">
        <v>2435</v>
      </c>
      <c r="D5" s="24" t="n">
        <v>440.84</v>
      </c>
      <c r="E5" s="23" t="n">
        <f aca="false">IF(OR(C5="",D5=""),"",C5*D5)</f>
        <v>1073445.4</v>
      </c>
    </row>
    <row r="6" customFormat="false" ht="23.25" hidden="false" customHeight="true" outlineLevel="0" collapsed="false">
      <c r="A6" s="21" t="s">
        <v>131</v>
      </c>
      <c r="B6" s="22" t="s">
        <v>132</v>
      </c>
      <c r="C6" s="23" t="n">
        <v>901</v>
      </c>
      <c r="D6" s="24" t="n">
        <v>429.51</v>
      </c>
      <c r="E6" s="23" t="n">
        <f aca="false">IF(OR(C6="",D6=""),"",C6*D6)</f>
        <v>386988.51</v>
      </c>
    </row>
    <row r="7" customFormat="false" ht="23.25" hidden="false" customHeight="true" outlineLevel="0" collapsed="false">
      <c r="A7" s="21" t="s">
        <v>133</v>
      </c>
      <c r="B7" s="22" t="s">
        <v>134</v>
      </c>
      <c r="C7" s="23" t="n">
        <v>900</v>
      </c>
      <c r="D7" s="24" t="n">
        <v>474.15</v>
      </c>
      <c r="E7" s="23" t="n">
        <f aca="false">IF(OR(C7="",D7=""),"",C7*D7)</f>
        <v>426735</v>
      </c>
    </row>
    <row r="8" customFormat="false" ht="23.25" hidden="false" customHeight="true" outlineLevel="0" collapsed="false">
      <c r="A8" s="21" t="s">
        <v>135</v>
      </c>
      <c r="B8" s="22" t="s">
        <v>136</v>
      </c>
      <c r="C8" s="23" t="n">
        <v>860</v>
      </c>
      <c r="D8" s="24" t="n">
        <v>345.22</v>
      </c>
      <c r="E8" s="23" t="n">
        <f aca="false">IF(OR(C8="",D8=""),"",C8*D8)</f>
        <v>296889.2</v>
      </c>
    </row>
    <row r="9" customFormat="false" ht="23.25" hidden="false" customHeight="true" outlineLevel="0" collapsed="false">
      <c r="A9" s="21" t="s">
        <v>137</v>
      </c>
      <c r="B9" s="22" t="s">
        <v>138</v>
      </c>
      <c r="C9" s="23" t="n">
        <v>404</v>
      </c>
      <c r="D9" s="24" t="n">
        <v>177.62</v>
      </c>
      <c r="E9" s="23" t="n">
        <f aca="false">IF(OR(C9="",D9=""),"",C9*D9)</f>
        <v>71758.48</v>
      </c>
    </row>
    <row r="10" customFormat="false" ht="23.25" hidden="false" customHeight="true" outlineLevel="0" collapsed="false">
      <c r="A10" s="21" t="s">
        <v>139</v>
      </c>
      <c r="B10" s="22" t="s">
        <v>140</v>
      </c>
      <c r="C10" s="23" t="n">
        <v>250</v>
      </c>
      <c r="D10" s="24" t="n">
        <v>532.86</v>
      </c>
      <c r="E10" s="23" t="n">
        <f aca="false">IF(OR(C10="",D10=""),"",C10*D10)</f>
        <v>133215</v>
      </c>
    </row>
    <row r="11" customFormat="false" ht="23.25" hidden="false" customHeight="true" outlineLevel="0" collapsed="false">
      <c r="A11" s="21" t="s">
        <v>141</v>
      </c>
      <c r="B11" s="22" t="s">
        <v>142</v>
      </c>
      <c r="C11" s="23" t="n">
        <v>156</v>
      </c>
      <c r="D11" s="24" t="n">
        <v>254.9</v>
      </c>
      <c r="E11" s="23" t="n">
        <f aca="false">IF(OR(C11="",D11=""),"",C11*D11)</f>
        <v>39764.4</v>
      </c>
    </row>
    <row r="12" customFormat="false" ht="15" hidden="false" customHeight="true" outlineLevel="0" collapsed="false">
      <c r="A12" s="28" t="s">
        <v>79</v>
      </c>
      <c r="B12" s="28"/>
      <c r="C12" s="29" t="n">
        <f aca="false">SUM(C2:C11)</f>
        <v>18817</v>
      </c>
      <c r="D12" s="30"/>
      <c r="E12" s="29" t="n">
        <f aca="false">SUM(E2:E11)</f>
        <v>7730288.13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6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  <c r="F1" s="11" t="s">
        <v>5</v>
      </c>
      <c r="G1" s="11" t="s">
        <v>83</v>
      </c>
      <c r="H1" s="11" t="s">
        <v>25</v>
      </c>
      <c r="I1" s="12" t="s">
        <v>7</v>
      </c>
      <c r="J1" s="12" t="s">
        <v>27</v>
      </c>
      <c r="K1" s="12" t="s">
        <v>28</v>
      </c>
    </row>
    <row r="2" customFormat="false" ht="23.25" hidden="false" customHeight="true" outlineLevel="0" collapsed="false">
      <c r="A2" s="21" t="s">
        <v>143</v>
      </c>
      <c r="B2" s="22" t="s">
        <v>144</v>
      </c>
      <c r="C2" s="23" t="n">
        <v>7126</v>
      </c>
      <c r="D2" s="24" t="n">
        <v>509.51</v>
      </c>
      <c r="E2" s="23" t="n">
        <f aca="false">IF(OR(C2="",D2=""),"",C2*D2)</f>
        <v>3630768.26</v>
      </c>
      <c r="F2" s="23" t="n">
        <v>25020</v>
      </c>
      <c r="G2" s="24" t="n">
        <v>513.06</v>
      </c>
      <c r="H2" s="23" t="n">
        <f aca="false">IF(OR(F2="",G2=""),"",F2*G2)</f>
        <v>12836761.2</v>
      </c>
      <c r="I2" s="25" t="n">
        <f aca="false">SUM(C2,F2)</f>
        <v>32146</v>
      </c>
      <c r="J2" s="26" t="n">
        <f aca="false">IF(I2=0,"",K2/I2)</f>
        <v>512.273049835127</v>
      </c>
      <c r="K2" s="27" t="n">
        <f aca="false">SUM(E2,H2)</f>
        <v>16467529.46</v>
      </c>
    </row>
    <row r="3" customFormat="false" ht="23.25" hidden="false" customHeight="true" outlineLevel="0" collapsed="false">
      <c r="A3" s="21" t="s">
        <v>145</v>
      </c>
      <c r="B3" s="22" t="s">
        <v>146</v>
      </c>
      <c r="C3" s="23" t="n">
        <v>1422</v>
      </c>
      <c r="D3" s="24" t="n">
        <v>563.55</v>
      </c>
      <c r="E3" s="23" t="n">
        <f aca="false">IF(OR(C3="",D3=""),"",C3*D3)</f>
        <v>801368.1</v>
      </c>
      <c r="F3" s="23"/>
      <c r="G3" s="24"/>
      <c r="H3" s="23" t="str">
        <f aca="false">IF(OR(F3="",G3=""),"",F3*G3)</f>
        <v/>
      </c>
      <c r="I3" s="25" t="n">
        <f aca="false">SUM(C3,F3)</f>
        <v>1422</v>
      </c>
      <c r="J3" s="26" t="n">
        <f aca="false">IF(I3=0,"",K3/I3)</f>
        <v>563.55</v>
      </c>
      <c r="K3" s="27" t="n">
        <f aca="false">SUM(E3,H3)</f>
        <v>801368.1</v>
      </c>
    </row>
    <row r="4" customFormat="false" ht="23.25" hidden="false" customHeight="true" outlineLevel="0" collapsed="false">
      <c r="A4" s="21" t="s">
        <v>147</v>
      </c>
      <c r="B4" s="22" t="s">
        <v>148</v>
      </c>
      <c r="C4" s="23" t="n">
        <v>966</v>
      </c>
      <c r="D4" s="24" t="n">
        <v>533.42</v>
      </c>
      <c r="E4" s="23" t="n">
        <f aca="false">IF(OR(C4="",D4=""),"",C4*D4)</f>
        <v>515283.72</v>
      </c>
      <c r="F4" s="23" t="n">
        <v>360</v>
      </c>
      <c r="G4" s="24" t="n">
        <v>624.82</v>
      </c>
      <c r="H4" s="23" t="n">
        <f aca="false">IF(OR(F4="",G4=""),"",F4*G4)</f>
        <v>224935.2</v>
      </c>
      <c r="I4" s="25" t="n">
        <f aca="false">SUM(C4,F4)</f>
        <v>1326</v>
      </c>
      <c r="J4" s="26" t="n">
        <f aca="false">IF(I4=0,"",K4/I4)</f>
        <v>558.234479638009</v>
      </c>
      <c r="K4" s="27" t="n">
        <f aca="false">SUM(E4,H4)</f>
        <v>740218.92</v>
      </c>
    </row>
    <row r="5" customFormat="false" ht="15" hidden="false" customHeight="true" outlineLevel="0" collapsed="false">
      <c r="A5" s="21" t="s">
        <v>149</v>
      </c>
      <c r="B5" s="22"/>
      <c r="C5" s="23"/>
      <c r="D5" s="24"/>
      <c r="E5" s="23" t="str">
        <f aca="false">IF(OR(C5="",D5=""),"",C5*D5)</f>
        <v/>
      </c>
      <c r="F5" s="23" t="n">
        <v>600</v>
      </c>
      <c r="G5" s="24" t="n">
        <v>589.77</v>
      </c>
      <c r="H5" s="23" t="n">
        <f aca="false">IF(OR(F5="",G5=""),"",F5*G5)</f>
        <v>353862</v>
      </c>
      <c r="I5" s="25" t="n">
        <f aca="false">SUM(C5,F5)</f>
        <v>600</v>
      </c>
      <c r="J5" s="26" t="n">
        <f aca="false">IF(I5=0,"",K5/I5)</f>
        <v>589.77</v>
      </c>
      <c r="K5" s="27" t="n">
        <f aca="false">SUM(E5,H5)</f>
        <v>353862</v>
      </c>
    </row>
    <row r="6" customFormat="false" ht="15" hidden="false" customHeight="true" outlineLevel="0" collapsed="false">
      <c r="A6" s="21" t="s">
        <v>150</v>
      </c>
      <c r="B6" s="22"/>
      <c r="C6" s="23"/>
      <c r="D6" s="24"/>
      <c r="E6" s="23" t="str">
        <f aca="false">IF(OR(C6="",D6=""),"",C6*D6)</f>
        <v/>
      </c>
      <c r="F6" s="23" t="n">
        <v>600</v>
      </c>
      <c r="G6" s="24" t="n">
        <v>526.25</v>
      </c>
      <c r="H6" s="23" t="n">
        <f aca="false">IF(OR(F6="",G6=""),"",F6*G6)</f>
        <v>315750</v>
      </c>
      <c r="I6" s="25" t="n">
        <f aca="false">SUM(C6,F6)</f>
        <v>600</v>
      </c>
      <c r="J6" s="26" t="n">
        <f aca="false">IF(I6=0,"",K6/I6)</f>
        <v>526.25</v>
      </c>
      <c r="K6" s="27" t="n">
        <f aca="false">SUM(E6,H6)</f>
        <v>315750</v>
      </c>
    </row>
    <row r="7" customFormat="false" ht="15" hidden="false" customHeight="true" outlineLevel="0" collapsed="false">
      <c r="A7" s="21" t="s">
        <v>151</v>
      </c>
      <c r="B7" s="22"/>
      <c r="C7" s="23"/>
      <c r="D7" s="24"/>
      <c r="E7" s="23" t="str">
        <f aca="false">IF(OR(C7="",D7=""),"",C7*D7)</f>
        <v/>
      </c>
      <c r="F7" s="23" t="n">
        <v>400</v>
      </c>
      <c r="G7" s="24" t="n">
        <v>626.06</v>
      </c>
      <c r="H7" s="23" t="n">
        <f aca="false">IF(OR(F7="",G7=""),"",F7*G7)</f>
        <v>250424</v>
      </c>
      <c r="I7" s="25" t="n">
        <f aca="false">SUM(C7,F7)</f>
        <v>400</v>
      </c>
      <c r="J7" s="26" t="n">
        <f aca="false">IF(I7=0,"",K7/I7)</f>
        <v>626.06</v>
      </c>
      <c r="K7" s="27" t="n">
        <f aca="false">SUM(E7,H7)</f>
        <v>250424</v>
      </c>
    </row>
    <row r="8" customFormat="false" ht="23.25" hidden="false" customHeight="true" outlineLevel="0" collapsed="false">
      <c r="A8" s="21" t="s">
        <v>152</v>
      </c>
      <c r="B8" s="22"/>
      <c r="C8" s="23"/>
      <c r="D8" s="24"/>
      <c r="E8" s="23" t="str">
        <f aca="false">IF(OR(C8="",D8=""),"",C8*D8)</f>
        <v/>
      </c>
      <c r="F8" s="23" t="n">
        <v>400</v>
      </c>
      <c r="G8" s="24" t="n">
        <v>987.35</v>
      </c>
      <c r="H8" s="23" t="n">
        <f aca="false">IF(OR(F8="",G8=""),"",F8*G8)</f>
        <v>394940</v>
      </c>
      <c r="I8" s="25" t="n">
        <f aca="false">SUM(C8,F8)</f>
        <v>400</v>
      </c>
      <c r="J8" s="26" t="n">
        <f aca="false">IF(I8=0,"",K8/I8)</f>
        <v>987.35</v>
      </c>
      <c r="K8" s="27" t="n">
        <f aca="false">SUM(E8,H8)</f>
        <v>394940</v>
      </c>
    </row>
    <row r="9" customFormat="false" ht="15" hidden="false" customHeight="true" outlineLevel="0" collapsed="false">
      <c r="A9" s="21" t="s">
        <v>153</v>
      </c>
      <c r="B9" s="22"/>
      <c r="C9" s="23"/>
      <c r="D9" s="24"/>
      <c r="E9" s="23" t="str">
        <f aca="false">IF(OR(C9="",D9=""),"",C9*D9)</f>
        <v/>
      </c>
      <c r="F9" s="23" t="n">
        <v>300</v>
      </c>
      <c r="G9" s="24" t="n">
        <v>490.79</v>
      </c>
      <c r="H9" s="23" t="n">
        <f aca="false">IF(OR(F9="",G9=""),"",F9*G9)</f>
        <v>147237</v>
      </c>
      <c r="I9" s="25" t="n">
        <f aca="false">SUM(C9,F9)</f>
        <v>300</v>
      </c>
      <c r="J9" s="26" t="n">
        <f aca="false">IF(I9=0,"",K9/I9)</f>
        <v>490.79</v>
      </c>
      <c r="K9" s="27" t="n">
        <f aca="false">SUM(E9,H9)</f>
        <v>147237</v>
      </c>
    </row>
    <row r="10" customFormat="false" ht="15" hidden="false" customHeight="true" outlineLevel="0" collapsed="false">
      <c r="A10" s="21" t="s">
        <v>154</v>
      </c>
      <c r="B10" s="22"/>
      <c r="C10" s="23"/>
      <c r="D10" s="24"/>
      <c r="E10" s="23" t="str">
        <f aca="false">IF(OR(C10="",D10=""),"",C10*D10)</f>
        <v/>
      </c>
      <c r="F10" s="23" t="n">
        <v>270</v>
      </c>
      <c r="G10" s="24" t="n">
        <v>824.85</v>
      </c>
      <c r="H10" s="23" t="n">
        <f aca="false">IF(OR(F10="",G10=""),"",F10*G10)</f>
        <v>222709.5</v>
      </c>
      <c r="I10" s="25" t="n">
        <f aca="false">SUM(C10,F10)</f>
        <v>270</v>
      </c>
      <c r="J10" s="26" t="n">
        <f aca="false">IF(I10=0,"",K10/I10)</f>
        <v>824.85</v>
      </c>
      <c r="K10" s="27" t="n">
        <f aca="false">SUM(E10,H10)</f>
        <v>222709.5</v>
      </c>
    </row>
    <row r="11" customFormat="false" ht="23.25" hidden="false" customHeight="true" outlineLevel="0" collapsed="false">
      <c r="A11" s="21" t="s">
        <v>155</v>
      </c>
      <c r="B11" s="22" t="s">
        <v>156</v>
      </c>
      <c r="C11" s="23" t="n">
        <v>259</v>
      </c>
      <c r="D11" s="24" t="n">
        <v>1202.26</v>
      </c>
      <c r="E11" s="23" t="n">
        <f aca="false">IF(OR(C11="",D11=""),"",C11*D11)</f>
        <v>311385.34</v>
      </c>
      <c r="F11" s="23"/>
      <c r="G11" s="24"/>
      <c r="H11" s="23" t="str">
        <f aca="false">IF(OR(F11="",G11=""),"",F11*G11)</f>
        <v/>
      </c>
      <c r="I11" s="25" t="n">
        <f aca="false">SUM(C11,F11)</f>
        <v>259</v>
      </c>
      <c r="J11" s="26" t="n">
        <f aca="false">IF(I11=0,"",K11/I11)</f>
        <v>1202.26</v>
      </c>
      <c r="K11" s="27" t="n">
        <f aca="false">SUM(E11,H11)</f>
        <v>311385.34</v>
      </c>
    </row>
    <row r="12" customFormat="false" ht="15" hidden="false" customHeight="true" outlineLevel="0" collapsed="false">
      <c r="A12" s="21" t="s">
        <v>157</v>
      </c>
      <c r="B12" s="22"/>
      <c r="C12" s="23"/>
      <c r="D12" s="24"/>
      <c r="E12" s="23" t="str">
        <f aca="false">IF(OR(C12="",D12=""),"",C12*D12)</f>
        <v/>
      </c>
      <c r="F12" s="23" t="n">
        <v>240</v>
      </c>
      <c r="G12" s="24" t="n">
        <v>923.83</v>
      </c>
      <c r="H12" s="23" t="n">
        <f aca="false">IF(OR(F12="",G12=""),"",F12*G12)</f>
        <v>221719.2</v>
      </c>
      <c r="I12" s="25" t="n">
        <f aca="false">SUM(C12,F12)</f>
        <v>240</v>
      </c>
      <c r="J12" s="26" t="n">
        <f aca="false">IF(I12=0,"",K12/I12)</f>
        <v>923.83</v>
      </c>
      <c r="K12" s="27" t="n">
        <f aca="false">SUM(E12,H12)</f>
        <v>221719.2</v>
      </c>
    </row>
    <row r="13" customFormat="false" ht="15" hidden="false" customHeight="true" outlineLevel="0" collapsed="false">
      <c r="A13" s="21" t="s">
        <v>158</v>
      </c>
      <c r="B13" s="22"/>
      <c r="C13" s="23"/>
      <c r="D13" s="24"/>
      <c r="E13" s="23" t="str">
        <f aca="false">IF(OR(C13="",D13=""),"",C13*D13)</f>
        <v/>
      </c>
      <c r="F13" s="23" t="n">
        <v>210</v>
      </c>
      <c r="G13" s="24" t="n">
        <v>866.09</v>
      </c>
      <c r="H13" s="23" t="n">
        <f aca="false">IF(OR(F13="",G13=""),"",F13*G13)</f>
        <v>181878.9</v>
      </c>
      <c r="I13" s="25" t="n">
        <f aca="false">SUM(C13,F13)</f>
        <v>210</v>
      </c>
      <c r="J13" s="26" t="n">
        <f aca="false">IF(I13=0,"",K13/I13)</f>
        <v>866.09</v>
      </c>
      <c r="K13" s="27" t="n">
        <f aca="false">SUM(E13,H13)</f>
        <v>181878.9</v>
      </c>
    </row>
    <row r="14" customFormat="false" ht="23.25" hidden="false" customHeight="true" outlineLevel="0" collapsed="false">
      <c r="A14" s="21" t="s">
        <v>159</v>
      </c>
      <c r="B14" s="22" t="s">
        <v>160</v>
      </c>
      <c r="C14" s="23" t="n">
        <v>32</v>
      </c>
      <c r="D14" s="24" t="n">
        <v>901.69</v>
      </c>
      <c r="E14" s="23" t="n">
        <f aca="false">IF(OR(C14="",D14=""),"",C14*D14)</f>
        <v>28854.08</v>
      </c>
      <c r="F14" s="23"/>
      <c r="G14" s="24"/>
      <c r="H14" s="23" t="str">
        <f aca="false">IF(OR(F14="",G14=""),"",F14*G14)</f>
        <v/>
      </c>
      <c r="I14" s="25" t="n">
        <f aca="false">SUM(C14,F14)</f>
        <v>32</v>
      </c>
      <c r="J14" s="26" t="n">
        <f aca="false">IF(I14=0,"",K14/I14)</f>
        <v>901.69</v>
      </c>
      <c r="K14" s="27" t="n">
        <f aca="false">SUM(E14,H14)</f>
        <v>28854.08</v>
      </c>
    </row>
    <row r="15" customFormat="false" ht="15" hidden="false" customHeight="true" outlineLevel="0" collapsed="false">
      <c r="A15" s="28" t="s">
        <v>79</v>
      </c>
      <c r="B15" s="28"/>
      <c r="C15" s="29" t="n">
        <f aca="false">SUM(C2:C14)</f>
        <v>9805</v>
      </c>
      <c r="D15" s="30"/>
      <c r="E15" s="29" t="n">
        <f aca="false">SUM(E2:E14)</f>
        <v>5287659.5</v>
      </c>
      <c r="F15" s="29" t="n">
        <f aca="false">SUM(F2:F14)</f>
        <v>28400</v>
      </c>
      <c r="G15" s="30"/>
      <c r="H15" s="29" t="n">
        <f aca="false">SUM(H2:H14)</f>
        <v>15150217</v>
      </c>
      <c r="I15" s="29" t="n">
        <f aca="false">SUM(I2:I14)</f>
        <v>38205</v>
      </c>
      <c r="J15" s="31" t="n">
        <f aca="false">IF(I15=0,"",K15/I15)</f>
        <v>534.952925009815</v>
      </c>
      <c r="K15" s="29" t="n">
        <f aca="false">SUM(K2:K14)</f>
        <v>20437876.5</v>
      </c>
    </row>
  </sheetData>
  <autoFilter ref="A1:K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6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  <c r="F1" s="11" t="s">
        <v>5</v>
      </c>
      <c r="G1" s="11" t="s">
        <v>83</v>
      </c>
      <c r="H1" s="11" t="s">
        <v>25</v>
      </c>
      <c r="I1" s="12" t="s">
        <v>7</v>
      </c>
      <c r="J1" s="12" t="s">
        <v>27</v>
      </c>
      <c r="K1" s="12" t="s">
        <v>28</v>
      </c>
    </row>
    <row r="2" customFormat="false" ht="23.25" hidden="false" customHeight="true" outlineLevel="0" collapsed="false">
      <c r="A2" s="21" t="s">
        <v>161</v>
      </c>
      <c r="B2" s="22" t="s">
        <v>162</v>
      </c>
      <c r="C2" s="23" t="n">
        <v>1355</v>
      </c>
      <c r="D2" s="24" t="n">
        <v>989.76</v>
      </c>
      <c r="E2" s="23" t="n">
        <f aca="false">IF(OR(C2="",D2=""),"",C2*D2)</f>
        <v>1341124.8</v>
      </c>
      <c r="F2" s="23"/>
      <c r="G2" s="24"/>
      <c r="H2" s="23" t="str">
        <f aca="false">IF(OR(F2="",G2=""),"",F2*G2)</f>
        <v/>
      </c>
      <c r="I2" s="25" t="n">
        <f aca="false">SUM(C2,F2)</f>
        <v>1355</v>
      </c>
      <c r="J2" s="26" t="n">
        <f aca="false">IF(I2=0,"",K2/I2)</f>
        <v>989.76</v>
      </c>
      <c r="K2" s="27" t="n">
        <f aca="false">SUM(E2,H2)</f>
        <v>1341124.8</v>
      </c>
    </row>
    <row r="3" customFormat="false" ht="15" hidden="false" customHeight="true" outlineLevel="0" collapsed="false">
      <c r="A3" s="21" t="s">
        <v>163</v>
      </c>
      <c r="B3" s="22"/>
      <c r="C3" s="23"/>
      <c r="D3" s="24"/>
      <c r="E3" s="23" t="str">
        <f aca="false">IF(OR(C3="",D3=""),"",C3*D3)</f>
        <v/>
      </c>
      <c r="F3" s="23" t="n">
        <v>1200</v>
      </c>
      <c r="G3" s="24" t="n">
        <v>482.54</v>
      </c>
      <c r="H3" s="23" t="n">
        <f aca="false">IF(OR(F3="",G3=""),"",F3*G3)</f>
        <v>579048</v>
      </c>
      <c r="I3" s="25" t="n">
        <f aca="false">SUM(C3,F3)</f>
        <v>1200</v>
      </c>
      <c r="J3" s="26" t="n">
        <f aca="false">IF(I3=0,"",K3/I3)</f>
        <v>482.54</v>
      </c>
      <c r="K3" s="27" t="n">
        <f aca="false">SUM(E3,H3)</f>
        <v>579048</v>
      </c>
    </row>
    <row r="4" customFormat="false" ht="23.25" hidden="false" customHeight="true" outlineLevel="0" collapsed="false">
      <c r="A4" s="21" t="s">
        <v>164</v>
      </c>
      <c r="B4" s="22" t="s">
        <v>165</v>
      </c>
      <c r="C4" s="23" t="n">
        <v>759</v>
      </c>
      <c r="D4" s="24" t="n">
        <v>711.51</v>
      </c>
      <c r="E4" s="23" t="n">
        <f aca="false">IF(OR(C4="",D4=""),"",C4*D4)</f>
        <v>540036.09</v>
      </c>
      <c r="F4" s="23"/>
      <c r="G4" s="24"/>
      <c r="H4" s="23" t="str">
        <f aca="false">IF(OR(F4="",G4=""),"",F4*G4)</f>
        <v/>
      </c>
      <c r="I4" s="25" t="n">
        <f aca="false">SUM(C4,F4)</f>
        <v>759</v>
      </c>
      <c r="J4" s="26" t="n">
        <f aca="false">IF(I4=0,"",K4/I4)</f>
        <v>711.51</v>
      </c>
      <c r="K4" s="27" t="n">
        <f aca="false">SUM(E4,H4)</f>
        <v>540036.09</v>
      </c>
    </row>
    <row r="5" customFormat="false" ht="23.25" hidden="false" customHeight="true" outlineLevel="0" collapsed="false">
      <c r="A5" s="21" t="s">
        <v>166</v>
      </c>
      <c r="B5" s="22" t="s">
        <v>167</v>
      </c>
      <c r="C5" s="23" t="n">
        <v>650</v>
      </c>
      <c r="D5" s="24" t="n">
        <v>813.9</v>
      </c>
      <c r="E5" s="23" t="n">
        <f aca="false">IF(OR(C5="",D5=""),"",C5*D5)</f>
        <v>529035</v>
      </c>
      <c r="F5" s="23"/>
      <c r="G5" s="24"/>
      <c r="H5" s="23" t="str">
        <f aca="false">IF(OR(F5="",G5=""),"",F5*G5)</f>
        <v/>
      </c>
      <c r="I5" s="25" t="n">
        <f aca="false">SUM(C5,F5)</f>
        <v>650</v>
      </c>
      <c r="J5" s="26" t="n">
        <f aca="false">IF(I5=0,"",K5/I5)</f>
        <v>813.9</v>
      </c>
      <c r="K5" s="27" t="n">
        <f aca="false">SUM(E5,H5)</f>
        <v>529035</v>
      </c>
    </row>
    <row r="6" customFormat="false" ht="23.25" hidden="false" customHeight="true" outlineLevel="0" collapsed="false">
      <c r="A6" s="21" t="s">
        <v>168</v>
      </c>
      <c r="B6" s="22" t="s">
        <v>169</v>
      </c>
      <c r="C6" s="23" t="n">
        <v>624</v>
      </c>
      <c r="D6" s="24" t="n">
        <v>808.87</v>
      </c>
      <c r="E6" s="23" t="n">
        <f aca="false">IF(OR(C6="",D6=""),"",C6*D6)</f>
        <v>504734.88</v>
      </c>
      <c r="F6" s="23"/>
      <c r="G6" s="24"/>
      <c r="H6" s="23" t="str">
        <f aca="false">IF(OR(F6="",G6=""),"",F6*G6)</f>
        <v/>
      </c>
      <c r="I6" s="25" t="n">
        <f aca="false">SUM(C6,F6)</f>
        <v>624</v>
      </c>
      <c r="J6" s="26" t="n">
        <f aca="false">IF(I6=0,"",K6/I6)</f>
        <v>808.87</v>
      </c>
      <c r="K6" s="27" t="n">
        <f aca="false">SUM(E6,H6)</f>
        <v>504734.88</v>
      </c>
    </row>
    <row r="7" customFormat="false" ht="23.25" hidden="false" customHeight="true" outlineLevel="0" collapsed="false">
      <c r="A7" s="21" t="s">
        <v>170</v>
      </c>
      <c r="B7" s="22" t="s">
        <v>171</v>
      </c>
      <c r="C7" s="23" t="n">
        <v>614</v>
      </c>
      <c r="D7" s="24" t="n">
        <v>1096.42</v>
      </c>
      <c r="E7" s="23" t="n">
        <f aca="false">IF(OR(C7="",D7=""),"",C7*D7)</f>
        <v>673201.88</v>
      </c>
      <c r="F7" s="23"/>
      <c r="G7" s="24"/>
      <c r="H7" s="23" t="str">
        <f aca="false">IF(OR(F7="",G7=""),"",F7*G7)</f>
        <v/>
      </c>
      <c r="I7" s="25" t="n">
        <f aca="false">SUM(C7,F7)</f>
        <v>614</v>
      </c>
      <c r="J7" s="26" t="n">
        <f aca="false">IF(I7=0,"",K7/I7)</f>
        <v>1096.42</v>
      </c>
      <c r="K7" s="27" t="n">
        <f aca="false">SUM(E7,H7)</f>
        <v>673201.88</v>
      </c>
    </row>
    <row r="8" customFormat="false" ht="23.25" hidden="false" customHeight="true" outlineLevel="0" collapsed="false">
      <c r="A8" s="21" t="s">
        <v>172</v>
      </c>
      <c r="B8" s="22" t="s">
        <v>173</v>
      </c>
      <c r="C8" s="23" t="n">
        <v>160</v>
      </c>
      <c r="D8" s="24" t="n">
        <v>938.3</v>
      </c>
      <c r="E8" s="23" t="n">
        <f aca="false">IF(OR(C8="",D8=""),"",C8*D8)</f>
        <v>150128</v>
      </c>
      <c r="F8" s="23"/>
      <c r="G8" s="24"/>
      <c r="H8" s="23" t="str">
        <f aca="false">IF(OR(F8="",G8=""),"",F8*G8)</f>
        <v/>
      </c>
      <c r="I8" s="25" t="n">
        <f aca="false">SUM(C8,F8)</f>
        <v>160</v>
      </c>
      <c r="J8" s="26" t="n">
        <f aca="false">IF(I8=0,"",K8/I8)</f>
        <v>938.3</v>
      </c>
      <c r="K8" s="27" t="n">
        <f aca="false">SUM(E8,H8)</f>
        <v>150128</v>
      </c>
    </row>
    <row r="9" customFormat="false" ht="15" hidden="false" customHeight="true" outlineLevel="0" collapsed="false">
      <c r="A9" s="28" t="s">
        <v>79</v>
      </c>
      <c r="B9" s="28"/>
      <c r="C9" s="29" t="n">
        <f aca="false">SUM(C2:C8)</f>
        <v>4162</v>
      </c>
      <c r="D9" s="30"/>
      <c r="E9" s="29" t="n">
        <f aca="false">SUM(E2:E8)</f>
        <v>3738260.65</v>
      </c>
      <c r="F9" s="29" t="n">
        <f aca="false">SUM(F2:F8)</f>
        <v>1200</v>
      </c>
      <c r="G9" s="30"/>
      <c r="H9" s="29" t="n">
        <f aca="false">SUM(H2:H8)</f>
        <v>579048</v>
      </c>
      <c r="I9" s="29" t="n">
        <f aca="false">SUM(I2:I8)</f>
        <v>5362</v>
      </c>
      <c r="J9" s="31" t="n">
        <f aca="false">IF(I9=0,"",K9/I9)</f>
        <v>805.167596046251</v>
      </c>
      <c r="K9" s="29" t="n">
        <f aca="false">SUM(K2:K8)</f>
        <v>4317308.65</v>
      </c>
    </row>
  </sheetData>
  <autoFilter ref="A1:K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174</v>
      </c>
      <c r="B2" s="22" t="s">
        <v>175</v>
      </c>
      <c r="C2" s="23" t="n">
        <v>7463</v>
      </c>
      <c r="D2" s="24" t="n">
        <v>222.5</v>
      </c>
      <c r="E2" s="23" t="n">
        <f aca="false">IF(OR(C2="",D2=""),"",C2*D2)</f>
        <v>1660517.5</v>
      </c>
    </row>
    <row r="3" customFormat="false" ht="23.25" hidden="false" customHeight="true" outlineLevel="0" collapsed="false">
      <c r="A3" s="21" t="s">
        <v>176</v>
      </c>
      <c r="B3" s="22" t="s">
        <v>177</v>
      </c>
      <c r="C3" s="23" t="n">
        <v>1614</v>
      </c>
      <c r="D3" s="24" t="n">
        <v>222.5</v>
      </c>
      <c r="E3" s="23" t="n">
        <f aca="false">IF(OR(C3="",D3=""),"",C3*D3)</f>
        <v>359115</v>
      </c>
    </row>
    <row r="4" customFormat="false" ht="23.25" hidden="false" customHeight="true" outlineLevel="0" collapsed="false">
      <c r="A4" s="21" t="s">
        <v>178</v>
      </c>
      <c r="B4" s="22" t="s">
        <v>179</v>
      </c>
      <c r="C4" s="23" t="n">
        <v>1414</v>
      </c>
      <c r="D4" s="24" t="n">
        <v>291.9</v>
      </c>
      <c r="E4" s="23" t="n">
        <f aca="false">IF(OR(C4="",D4=""),"",C4*D4)</f>
        <v>412746.6</v>
      </c>
    </row>
    <row r="5" customFormat="false" ht="15" hidden="false" customHeight="true" outlineLevel="0" collapsed="false">
      <c r="A5" s="21" t="s">
        <v>180</v>
      </c>
      <c r="B5" s="22" t="s">
        <v>181</v>
      </c>
      <c r="C5" s="23" t="n">
        <v>1350</v>
      </c>
      <c r="D5" s="24" t="n">
        <v>334.05</v>
      </c>
      <c r="E5" s="23" t="n">
        <f aca="false">IF(OR(C5="",D5=""),"",C5*D5)</f>
        <v>450967.5</v>
      </c>
    </row>
    <row r="6" customFormat="false" ht="23.25" hidden="false" customHeight="true" outlineLevel="0" collapsed="false">
      <c r="A6" s="21" t="s">
        <v>182</v>
      </c>
      <c r="B6" s="22" t="s">
        <v>183</v>
      </c>
      <c r="C6" s="23" t="n">
        <v>1296</v>
      </c>
      <c r="D6" s="24" t="n">
        <v>291.9</v>
      </c>
      <c r="E6" s="23" t="n">
        <f aca="false">IF(OR(C6="",D6=""),"",C6*D6)</f>
        <v>378302.4</v>
      </c>
    </row>
    <row r="7" customFormat="false" ht="23.25" hidden="false" customHeight="true" outlineLevel="0" collapsed="false">
      <c r="A7" s="21" t="s">
        <v>184</v>
      </c>
      <c r="B7" s="22" t="s">
        <v>185</v>
      </c>
      <c r="C7" s="23" t="n">
        <v>934</v>
      </c>
      <c r="D7" s="24" t="n">
        <v>204.45</v>
      </c>
      <c r="E7" s="23" t="n">
        <f aca="false">IF(OR(C7="",D7=""),"",C7*D7)</f>
        <v>190956.3</v>
      </c>
    </row>
    <row r="8" customFormat="false" ht="23.25" hidden="false" customHeight="true" outlineLevel="0" collapsed="false">
      <c r="A8" s="21" t="s">
        <v>186</v>
      </c>
      <c r="B8" s="22" t="s">
        <v>187</v>
      </c>
      <c r="C8" s="23" t="n">
        <v>372</v>
      </c>
      <c r="D8" s="24" t="n">
        <v>162.13</v>
      </c>
      <c r="E8" s="23" t="n">
        <f aca="false">IF(OR(C8="",D8=""),"",C8*D8)</f>
        <v>60312.36</v>
      </c>
    </row>
    <row r="9" customFormat="false" ht="23.25" hidden="false" customHeight="true" outlineLevel="0" collapsed="false">
      <c r="A9" s="21" t="s">
        <v>188</v>
      </c>
      <c r="B9" s="22" t="s">
        <v>189</v>
      </c>
      <c r="C9" s="23" t="n">
        <v>356</v>
      </c>
      <c r="D9" s="24" t="n">
        <v>291.9</v>
      </c>
      <c r="E9" s="23" t="n">
        <f aca="false">IF(OR(C9="",D9=""),"",C9*D9)</f>
        <v>103916.4</v>
      </c>
    </row>
    <row r="10" customFormat="false" ht="15" hidden="false" customHeight="true" outlineLevel="0" collapsed="false">
      <c r="A10" s="28" t="s">
        <v>79</v>
      </c>
      <c r="B10" s="28"/>
      <c r="C10" s="29" t="n">
        <f aca="false">SUM(C2:C9)</f>
        <v>14799</v>
      </c>
      <c r="D10" s="30"/>
      <c r="E10" s="29" t="n">
        <f aca="false">SUM(E2:E9)</f>
        <v>3616834.06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190</v>
      </c>
      <c r="B2" s="22" t="s">
        <v>191</v>
      </c>
      <c r="C2" s="23" t="n">
        <v>741</v>
      </c>
      <c r="D2" s="24" t="n">
        <v>535.05</v>
      </c>
      <c r="E2" s="23" t="n">
        <f aca="false">IF(OR(C2="",D2=""),"",C2*D2)</f>
        <v>396472.05</v>
      </c>
    </row>
    <row r="3" customFormat="false" ht="23.25" hidden="false" customHeight="true" outlineLevel="0" collapsed="false">
      <c r="A3" s="21" t="s">
        <v>192</v>
      </c>
      <c r="B3" s="22" t="s">
        <v>193</v>
      </c>
      <c r="C3" s="23" t="n">
        <v>641</v>
      </c>
      <c r="D3" s="24" t="n">
        <v>423.56</v>
      </c>
      <c r="E3" s="23" t="n">
        <f aca="false">IF(OR(C3="",D3=""),"",C3*D3)</f>
        <v>271501.96</v>
      </c>
    </row>
    <row r="4" customFormat="false" ht="23.25" hidden="false" customHeight="true" outlineLevel="0" collapsed="false">
      <c r="A4" s="21" t="s">
        <v>194</v>
      </c>
      <c r="B4" s="22" t="s">
        <v>195</v>
      </c>
      <c r="C4" s="23" t="n">
        <v>608</v>
      </c>
      <c r="D4" s="24" t="n">
        <v>457.01</v>
      </c>
      <c r="E4" s="23" t="n">
        <f aca="false">IF(OR(C4="",D4=""),"",C4*D4)</f>
        <v>277862.08</v>
      </c>
    </row>
    <row r="5" customFormat="false" ht="23.25" hidden="false" customHeight="true" outlineLevel="0" collapsed="false">
      <c r="A5" s="21" t="s">
        <v>196</v>
      </c>
      <c r="B5" s="22" t="s">
        <v>197</v>
      </c>
      <c r="C5" s="23" t="n">
        <v>549</v>
      </c>
      <c r="D5" s="24" t="n">
        <v>426.44</v>
      </c>
      <c r="E5" s="23" t="n">
        <f aca="false">IF(OR(C5="",D5=""),"",C5*D5)</f>
        <v>234115.56</v>
      </c>
    </row>
    <row r="6" customFormat="false" ht="23.25" hidden="false" customHeight="true" outlineLevel="0" collapsed="false">
      <c r="A6" s="21" t="s">
        <v>198</v>
      </c>
      <c r="B6" s="22" t="s">
        <v>199</v>
      </c>
      <c r="C6" s="23" t="n">
        <v>529</v>
      </c>
      <c r="D6" s="24" t="n">
        <v>557.88</v>
      </c>
      <c r="E6" s="23" t="n">
        <f aca="false">IF(OR(C6="",D6=""),"",C6*D6)</f>
        <v>295118.52</v>
      </c>
    </row>
    <row r="7" customFormat="false" ht="23.25" hidden="false" customHeight="true" outlineLevel="0" collapsed="false">
      <c r="A7" s="21" t="s">
        <v>200</v>
      </c>
      <c r="B7" s="22" t="s">
        <v>201</v>
      </c>
      <c r="C7" s="23" t="n">
        <v>501</v>
      </c>
      <c r="D7" s="24" t="n">
        <v>457.01</v>
      </c>
      <c r="E7" s="23" t="n">
        <f aca="false">IF(OR(C7="",D7=""),"",C7*D7)</f>
        <v>228962.01</v>
      </c>
    </row>
    <row r="8" customFormat="false" ht="23.25" hidden="false" customHeight="true" outlineLevel="0" collapsed="false">
      <c r="A8" s="21" t="s">
        <v>202</v>
      </c>
      <c r="B8" s="22" t="s">
        <v>203</v>
      </c>
      <c r="C8" s="23" t="n">
        <v>406</v>
      </c>
      <c r="D8" s="24" t="n">
        <v>535.36</v>
      </c>
      <c r="E8" s="23" t="n">
        <f aca="false">IF(OR(C8="",D8=""),"",C8*D8)</f>
        <v>217356.16</v>
      </c>
    </row>
    <row r="9" customFormat="false" ht="23.25" hidden="false" customHeight="true" outlineLevel="0" collapsed="false">
      <c r="A9" s="21" t="s">
        <v>204</v>
      </c>
      <c r="B9" s="22" t="s">
        <v>205</v>
      </c>
      <c r="C9" s="23" t="n">
        <v>405</v>
      </c>
      <c r="D9" s="24" t="n">
        <v>457.01</v>
      </c>
      <c r="E9" s="23" t="n">
        <f aca="false">IF(OR(C9="",D9=""),"",C9*D9)</f>
        <v>185089.05</v>
      </c>
    </row>
    <row r="10" customFormat="false" ht="23.25" hidden="false" customHeight="true" outlineLevel="0" collapsed="false">
      <c r="A10" s="21" t="s">
        <v>206</v>
      </c>
      <c r="B10" s="22" t="s">
        <v>207</v>
      </c>
      <c r="C10" s="23" t="n">
        <v>399</v>
      </c>
      <c r="D10" s="24" t="n">
        <v>546.55</v>
      </c>
      <c r="E10" s="23" t="n">
        <f aca="false">IF(OR(C10="",D10=""),"",C10*D10)</f>
        <v>218073.45</v>
      </c>
    </row>
    <row r="11" customFormat="false" ht="23.25" hidden="false" customHeight="true" outlineLevel="0" collapsed="false">
      <c r="A11" s="21" t="s">
        <v>208</v>
      </c>
      <c r="B11" s="22" t="s">
        <v>209</v>
      </c>
      <c r="C11" s="23" t="n">
        <v>327</v>
      </c>
      <c r="D11" s="24" t="n">
        <v>548.39</v>
      </c>
      <c r="E11" s="23" t="n">
        <f aca="false">IF(OR(C11="",D11=""),"",C11*D11)</f>
        <v>179323.53</v>
      </c>
    </row>
    <row r="12" customFormat="false" ht="23.25" hidden="false" customHeight="true" outlineLevel="0" collapsed="false">
      <c r="A12" s="21" t="s">
        <v>210</v>
      </c>
      <c r="B12" s="22" t="s">
        <v>211</v>
      </c>
      <c r="C12" s="23" t="n">
        <v>292</v>
      </c>
      <c r="D12" s="24" t="n">
        <v>525.86</v>
      </c>
      <c r="E12" s="23" t="n">
        <f aca="false">IF(OR(C12="",D12=""),"",C12*D12)</f>
        <v>153551.12</v>
      </c>
    </row>
    <row r="13" customFormat="false" ht="23.25" hidden="false" customHeight="true" outlineLevel="0" collapsed="false">
      <c r="A13" s="21" t="s">
        <v>212</v>
      </c>
      <c r="B13" s="22" t="s">
        <v>213</v>
      </c>
      <c r="C13" s="23" t="n">
        <v>273</v>
      </c>
      <c r="D13" s="24" t="n">
        <v>525.99</v>
      </c>
      <c r="E13" s="23" t="n">
        <f aca="false">IF(OR(C13="",D13=""),"",C13*D13)</f>
        <v>143595.27</v>
      </c>
    </row>
    <row r="14" customFormat="false" ht="23.25" hidden="false" customHeight="true" outlineLevel="0" collapsed="false">
      <c r="A14" s="21" t="s">
        <v>214</v>
      </c>
      <c r="B14" s="22" t="s">
        <v>215</v>
      </c>
      <c r="C14" s="23" t="n">
        <v>202</v>
      </c>
      <c r="D14" s="24" t="n">
        <v>535.36</v>
      </c>
      <c r="E14" s="23" t="n">
        <f aca="false">IF(OR(C14="",D14=""),"",C14*D14)</f>
        <v>108142.72</v>
      </c>
    </row>
    <row r="15" customFormat="false" ht="23.25" hidden="false" customHeight="true" outlineLevel="0" collapsed="false">
      <c r="A15" s="21" t="s">
        <v>216</v>
      </c>
      <c r="B15" s="22" t="s">
        <v>217</v>
      </c>
      <c r="C15" s="23" t="n">
        <v>156</v>
      </c>
      <c r="D15" s="24" t="n">
        <v>457.01</v>
      </c>
      <c r="E15" s="23" t="n">
        <f aca="false">IF(OR(C15="",D15=""),"",C15*D15)</f>
        <v>71293.56</v>
      </c>
    </row>
    <row r="16" customFormat="false" ht="23.25" hidden="false" customHeight="true" outlineLevel="0" collapsed="false">
      <c r="A16" s="21" t="s">
        <v>218</v>
      </c>
      <c r="B16" s="22" t="s">
        <v>219</v>
      </c>
      <c r="C16" s="23" t="n">
        <v>144</v>
      </c>
      <c r="D16" s="24" t="n">
        <v>457.01</v>
      </c>
      <c r="E16" s="23" t="n">
        <f aca="false">IF(OR(C16="",D16=""),"",C16*D16)</f>
        <v>65809.44</v>
      </c>
    </row>
    <row r="17" customFormat="false" ht="15" hidden="false" customHeight="true" outlineLevel="0" collapsed="false">
      <c r="A17" s="21" t="s">
        <v>220</v>
      </c>
      <c r="B17" s="22" t="s">
        <v>221</v>
      </c>
      <c r="C17" s="23" t="n">
        <v>89</v>
      </c>
      <c r="D17" s="24" t="n">
        <v>650.42</v>
      </c>
      <c r="E17" s="23" t="n">
        <f aca="false">IF(OR(C17="",D17=""),"",C17*D17)</f>
        <v>57887.38</v>
      </c>
    </row>
    <row r="18" customFormat="false" ht="15" hidden="false" customHeight="true" outlineLevel="0" collapsed="false">
      <c r="A18" s="28" t="s">
        <v>79</v>
      </c>
      <c r="B18" s="28"/>
      <c r="C18" s="29" t="n">
        <f aca="false">SUM(C2:C17)</f>
        <v>6262</v>
      </c>
      <c r="D18" s="30"/>
      <c r="E18" s="29" t="n">
        <f aca="false">SUM(E2:E17)</f>
        <v>3104153.86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222</v>
      </c>
      <c r="B2" s="22" t="s">
        <v>223</v>
      </c>
      <c r="C2" s="23" t="n">
        <v>7279</v>
      </c>
      <c r="D2" s="24" t="n">
        <v>397.13</v>
      </c>
      <c r="E2" s="23" t="n">
        <f aca="false">IF(OR(C2="",D2=""),"",C2*D2)</f>
        <v>2890709.27</v>
      </c>
    </row>
    <row r="3" customFormat="false" ht="23.25" hidden="false" customHeight="true" outlineLevel="0" collapsed="false">
      <c r="A3" s="21" t="s">
        <v>224</v>
      </c>
      <c r="B3" s="22" t="s">
        <v>225</v>
      </c>
      <c r="C3" s="23" t="n">
        <v>178</v>
      </c>
      <c r="D3" s="24" t="n">
        <v>292.89</v>
      </c>
      <c r="E3" s="23" t="n">
        <f aca="false">IF(OR(C3="",D3=""),"",C3*D3)</f>
        <v>52134.42</v>
      </c>
    </row>
    <row r="4" customFormat="false" ht="23.25" hidden="false" customHeight="true" outlineLevel="0" collapsed="false">
      <c r="A4" s="21" t="s">
        <v>226</v>
      </c>
      <c r="B4" s="22" t="s">
        <v>227</v>
      </c>
      <c r="C4" s="23" t="n">
        <v>18</v>
      </c>
      <c r="D4" s="24" t="n">
        <v>389.99</v>
      </c>
      <c r="E4" s="23" t="n">
        <f aca="false">IF(OR(C4="",D4=""),"",C4*D4)</f>
        <v>7019.82</v>
      </c>
    </row>
    <row r="5" customFormat="false" ht="15" hidden="false" customHeight="true" outlineLevel="0" collapsed="false">
      <c r="A5" s="28" t="s">
        <v>79</v>
      </c>
      <c r="B5" s="28"/>
      <c r="C5" s="29" t="n">
        <f aca="false">SUM(C2:C4)</f>
        <v>7475</v>
      </c>
      <c r="D5" s="30"/>
      <c r="E5" s="29" t="n">
        <f aca="false">SUM(E2:E4)</f>
        <v>2949863.51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6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  <c r="F1" s="11" t="s">
        <v>6</v>
      </c>
      <c r="G1" s="11" t="s">
        <v>84</v>
      </c>
      <c r="H1" s="11" t="s">
        <v>26</v>
      </c>
      <c r="I1" s="12" t="s">
        <v>7</v>
      </c>
      <c r="J1" s="12" t="s">
        <v>27</v>
      </c>
      <c r="K1" s="12" t="s">
        <v>28</v>
      </c>
    </row>
    <row r="2" customFormat="false" ht="23.25" hidden="false" customHeight="true" outlineLevel="0" collapsed="false">
      <c r="A2" s="21" t="s">
        <v>228</v>
      </c>
      <c r="B2" s="22" t="s">
        <v>229</v>
      </c>
      <c r="C2" s="23" t="n">
        <v>7340</v>
      </c>
      <c r="D2" s="24" t="n">
        <v>177.43</v>
      </c>
      <c r="E2" s="23" t="n">
        <f aca="false">IF(OR(C2="",D2=""),"",C2*D2)</f>
        <v>1302336.2</v>
      </c>
      <c r="F2" s="23"/>
      <c r="G2" s="24"/>
      <c r="H2" s="23" t="str">
        <f aca="false">IF(OR(F2="",G2=""),"",F2*G2)</f>
        <v/>
      </c>
      <c r="I2" s="25" t="n">
        <f aca="false">SUM(C2,F2)</f>
        <v>7340</v>
      </c>
      <c r="J2" s="26" t="n">
        <f aca="false">IF(I2=0,"",K2/I2)</f>
        <v>177.43</v>
      </c>
      <c r="K2" s="27" t="n">
        <f aca="false">SUM(E2,H2)</f>
        <v>1302336.2</v>
      </c>
    </row>
    <row r="3" customFormat="false" ht="15" hidden="false" customHeight="true" outlineLevel="0" collapsed="false">
      <c r="A3" s="21" t="s">
        <v>230</v>
      </c>
      <c r="B3" s="22"/>
      <c r="C3" s="23"/>
      <c r="D3" s="24"/>
      <c r="E3" s="23" t="str">
        <f aca="false">IF(OR(C3="",D3=""),"",C3*D3)</f>
        <v/>
      </c>
      <c r="F3" s="23" t="n">
        <v>1000</v>
      </c>
      <c r="G3" s="24" t="n">
        <v>320.04</v>
      </c>
      <c r="H3" s="23" t="n">
        <f aca="false">IF(OR(F3="",G3=""),"",F3*G3)</f>
        <v>320040</v>
      </c>
      <c r="I3" s="25" t="n">
        <f aca="false">SUM(C3,F3)</f>
        <v>1000</v>
      </c>
      <c r="J3" s="26" t="n">
        <f aca="false">IF(I3=0,"",K3/I3)</f>
        <v>320.04</v>
      </c>
      <c r="K3" s="27" t="n">
        <f aca="false">SUM(E3,H3)</f>
        <v>320040</v>
      </c>
    </row>
    <row r="4" customFormat="false" ht="23.25" hidden="false" customHeight="true" outlineLevel="0" collapsed="false">
      <c r="A4" s="21" t="s">
        <v>231</v>
      </c>
      <c r="B4" s="22" t="s">
        <v>232</v>
      </c>
      <c r="C4" s="23" t="n">
        <v>95</v>
      </c>
      <c r="D4" s="24" t="n">
        <v>245.65</v>
      </c>
      <c r="E4" s="23" t="n">
        <f aca="false">IF(OR(C4="",D4=""),"",C4*D4)</f>
        <v>23336.75</v>
      </c>
      <c r="F4" s="23" t="n">
        <v>700</v>
      </c>
      <c r="G4" s="24" t="n">
        <v>263.13</v>
      </c>
      <c r="H4" s="23" t="n">
        <f aca="false">IF(OR(F4="",G4=""),"",F4*G4)</f>
        <v>184191</v>
      </c>
      <c r="I4" s="25" t="n">
        <f aca="false">SUM(C4,F4)</f>
        <v>795</v>
      </c>
      <c r="J4" s="26" t="n">
        <f aca="false">IF(I4=0,"",K4/I4)</f>
        <v>261.041194968553</v>
      </c>
      <c r="K4" s="27" t="n">
        <f aca="false">SUM(E4,H4)</f>
        <v>207527.75</v>
      </c>
    </row>
    <row r="5" customFormat="false" ht="23.25" hidden="false" customHeight="true" outlineLevel="0" collapsed="false">
      <c r="A5" s="21" t="s">
        <v>233</v>
      </c>
      <c r="B5" s="22" t="s">
        <v>234</v>
      </c>
      <c r="C5" s="23" t="n">
        <v>715</v>
      </c>
      <c r="D5" s="24"/>
      <c r="E5" s="23" t="str">
        <f aca="false">IF(OR(C5="",D5=""),"",C5*D5)</f>
        <v/>
      </c>
      <c r="F5" s="23"/>
      <c r="G5" s="24"/>
      <c r="H5" s="23" t="str">
        <f aca="false">IF(OR(F5="",G5=""),"",F5*G5)</f>
        <v/>
      </c>
      <c r="I5" s="25" t="n">
        <f aca="false">SUM(C5,F5)</f>
        <v>715</v>
      </c>
      <c r="J5" s="26" t="n">
        <f aca="false">IF(I5=0,"",K5/I5)</f>
        <v>0</v>
      </c>
      <c r="K5" s="27" t="n">
        <f aca="false">SUM(E5,H5)</f>
        <v>0</v>
      </c>
    </row>
    <row r="6" customFormat="false" ht="23.25" hidden="false" customHeight="true" outlineLevel="0" collapsed="false">
      <c r="A6" s="21" t="s">
        <v>235</v>
      </c>
      <c r="B6" s="22" t="s">
        <v>236</v>
      </c>
      <c r="C6" s="23" t="n">
        <v>707</v>
      </c>
      <c r="D6" s="24" t="n">
        <v>201.56</v>
      </c>
      <c r="E6" s="23" t="n">
        <f aca="false">IF(OR(C6="",D6=""),"",C6*D6)</f>
        <v>142502.92</v>
      </c>
      <c r="F6" s="23"/>
      <c r="G6" s="24"/>
      <c r="H6" s="23" t="str">
        <f aca="false">IF(OR(F6="",G6=""),"",F6*G6)</f>
        <v/>
      </c>
      <c r="I6" s="25" t="n">
        <f aca="false">SUM(C6,F6)</f>
        <v>707</v>
      </c>
      <c r="J6" s="26" t="n">
        <f aca="false">IF(I6=0,"",K6/I6)</f>
        <v>201.56</v>
      </c>
      <c r="K6" s="27" t="n">
        <f aca="false">SUM(E6,H6)</f>
        <v>142502.92</v>
      </c>
    </row>
    <row r="7" customFormat="false" ht="23.25" hidden="false" customHeight="true" outlineLevel="0" collapsed="false">
      <c r="A7" s="21" t="s">
        <v>237</v>
      </c>
      <c r="B7" s="22" t="s">
        <v>238</v>
      </c>
      <c r="C7" s="23" t="n">
        <v>651</v>
      </c>
      <c r="D7" s="24" t="n">
        <v>201.56</v>
      </c>
      <c r="E7" s="23" t="n">
        <f aca="false">IF(OR(C7="",D7=""),"",C7*D7)</f>
        <v>131215.56</v>
      </c>
      <c r="F7" s="23"/>
      <c r="G7" s="24"/>
      <c r="H7" s="23" t="str">
        <f aca="false">IF(OR(F7="",G7=""),"",F7*G7)</f>
        <v/>
      </c>
      <c r="I7" s="25" t="n">
        <f aca="false">SUM(C7,F7)</f>
        <v>651</v>
      </c>
      <c r="J7" s="26" t="n">
        <f aca="false">IF(I7=0,"",K7/I7)</f>
        <v>201.56</v>
      </c>
      <c r="K7" s="27" t="n">
        <f aca="false">SUM(E7,H7)</f>
        <v>131215.56</v>
      </c>
    </row>
    <row r="8" customFormat="false" ht="23.25" hidden="false" customHeight="true" outlineLevel="0" collapsed="false">
      <c r="A8" s="21" t="s">
        <v>239</v>
      </c>
      <c r="B8" s="22" t="s">
        <v>240</v>
      </c>
      <c r="C8" s="23" t="n">
        <v>82</v>
      </c>
      <c r="D8" s="24" t="n">
        <v>270.81</v>
      </c>
      <c r="E8" s="23" t="n">
        <f aca="false">IF(OR(C8="",D8=""),"",C8*D8)</f>
        <v>22206.42</v>
      </c>
      <c r="F8" s="23" t="n">
        <v>400</v>
      </c>
      <c r="G8" s="24" t="n">
        <v>255.21</v>
      </c>
      <c r="H8" s="23" t="n">
        <f aca="false">IF(OR(F8="",G8=""),"",F8*G8)</f>
        <v>102084</v>
      </c>
      <c r="I8" s="25" t="n">
        <f aca="false">SUM(C8,F8)</f>
        <v>482</v>
      </c>
      <c r="J8" s="26" t="n">
        <f aca="false">IF(I8=0,"",K8/I8)</f>
        <v>257.863941908714</v>
      </c>
      <c r="K8" s="27" t="n">
        <f aca="false">SUM(E8,H8)</f>
        <v>124290.42</v>
      </c>
    </row>
    <row r="9" customFormat="false" ht="23.25" hidden="false" customHeight="true" outlineLevel="0" collapsed="false">
      <c r="A9" s="21" t="s">
        <v>241</v>
      </c>
      <c r="B9" s="22" t="s">
        <v>242</v>
      </c>
      <c r="C9" s="23" t="n">
        <v>476</v>
      </c>
      <c r="D9" s="24" t="n">
        <v>201.56</v>
      </c>
      <c r="E9" s="23" t="n">
        <f aca="false">IF(OR(C9="",D9=""),"",C9*D9)</f>
        <v>95942.56</v>
      </c>
      <c r="F9" s="23"/>
      <c r="G9" s="24"/>
      <c r="H9" s="23" t="str">
        <f aca="false">IF(OR(F9="",G9=""),"",F9*G9)</f>
        <v/>
      </c>
      <c r="I9" s="25" t="n">
        <f aca="false">SUM(C9,F9)</f>
        <v>476</v>
      </c>
      <c r="J9" s="26" t="n">
        <f aca="false">IF(I9=0,"",K9/I9)</f>
        <v>201.56</v>
      </c>
      <c r="K9" s="27" t="n">
        <f aca="false">SUM(E9,H9)</f>
        <v>95942.56</v>
      </c>
    </row>
    <row r="10" customFormat="false" ht="15" hidden="false" customHeight="true" outlineLevel="0" collapsed="false">
      <c r="A10" s="21" t="s">
        <v>243</v>
      </c>
      <c r="B10" s="22"/>
      <c r="C10" s="23"/>
      <c r="D10" s="24"/>
      <c r="E10" s="23" t="str">
        <f aca="false">IF(OR(C10="",D10=""),"",C10*D10)</f>
        <v/>
      </c>
      <c r="F10" s="23" t="n">
        <v>400</v>
      </c>
      <c r="G10" s="24" t="n">
        <v>330.43</v>
      </c>
      <c r="H10" s="23" t="n">
        <f aca="false">IF(OR(F10="",G10=""),"",F10*G10)</f>
        <v>132172</v>
      </c>
      <c r="I10" s="25" t="n">
        <f aca="false">SUM(C10,F10)</f>
        <v>400</v>
      </c>
      <c r="J10" s="26" t="n">
        <f aca="false">IF(I10=0,"",K10/I10)</f>
        <v>330.43</v>
      </c>
      <c r="K10" s="27" t="n">
        <f aca="false">SUM(E10,H10)</f>
        <v>132172</v>
      </c>
    </row>
    <row r="11" customFormat="false" ht="23.25" hidden="false" customHeight="true" outlineLevel="0" collapsed="false">
      <c r="A11" s="21" t="s">
        <v>244</v>
      </c>
      <c r="B11" s="22" t="s">
        <v>245</v>
      </c>
      <c r="C11" s="23" t="n">
        <v>344</v>
      </c>
      <c r="D11" s="24" t="n">
        <v>202.27</v>
      </c>
      <c r="E11" s="23" t="n">
        <f aca="false">IF(OR(C11="",D11=""),"",C11*D11)</f>
        <v>69580.88</v>
      </c>
      <c r="F11" s="23"/>
      <c r="G11" s="24"/>
      <c r="H11" s="23" t="str">
        <f aca="false">IF(OR(F11="",G11=""),"",F11*G11)</f>
        <v/>
      </c>
      <c r="I11" s="25" t="n">
        <f aca="false">SUM(C11,F11)</f>
        <v>344</v>
      </c>
      <c r="J11" s="26" t="n">
        <f aca="false">IF(I11=0,"",K11/I11)</f>
        <v>202.27</v>
      </c>
      <c r="K11" s="27" t="n">
        <f aca="false">SUM(E11,H11)</f>
        <v>69580.88</v>
      </c>
    </row>
    <row r="12" customFormat="false" ht="23.25" hidden="false" customHeight="true" outlineLevel="0" collapsed="false">
      <c r="A12" s="21" t="s">
        <v>246</v>
      </c>
      <c r="B12" s="22" t="s">
        <v>247</v>
      </c>
      <c r="C12" s="23" t="n">
        <v>233</v>
      </c>
      <c r="D12" s="24" t="n">
        <v>216.45</v>
      </c>
      <c r="E12" s="23" t="n">
        <f aca="false">IF(OR(C12="",D12=""),"",C12*D12)</f>
        <v>50432.85</v>
      </c>
      <c r="F12" s="23"/>
      <c r="G12" s="24"/>
      <c r="H12" s="23" t="str">
        <f aca="false">IF(OR(F12="",G12=""),"",F12*G12)</f>
        <v/>
      </c>
      <c r="I12" s="25" t="n">
        <f aca="false">SUM(C12,F12)</f>
        <v>233</v>
      </c>
      <c r="J12" s="26" t="n">
        <f aca="false">IF(I12=0,"",K12/I12)</f>
        <v>216.45</v>
      </c>
      <c r="K12" s="27" t="n">
        <f aca="false">SUM(E12,H12)</f>
        <v>50432.85</v>
      </c>
    </row>
    <row r="13" customFormat="false" ht="23.25" hidden="false" customHeight="true" outlineLevel="0" collapsed="false">
      <c r="A13" s="21" t="s">
        <v>248</v>
      </c>
      <c r="B13" s="22" t="s">
        <v>249</v>
      </c>
      <c r="C13" s="23" t="n">
        <v>212</v>
      </c>
      <c r="D13" s="24" t="n">
        <v>242.88</v>
      </c>
      <c r="E13" s="23" t="n">
        <f aca="false">IF(OR(C13="",D13=""),"",C13*D13)</f>
        <v>51490.56</v>
      </c>
      <c r="F13" s="23"/>
      <c r="G13" s="24"/>
      <c r="H13" s="23" t="str">
        <f aca="false">IF(OR(F13="",G13=""),"",F13*G13)</f>
        <v/>
      </c>
      <c r="I13" s="25" t="n">
        <f aca="false">SUM(C13,F13)</f>
        <v>212</v>
      </c>
      <c r="J13" s="26" t="n">
        <f aca="false">IF(I13=0,"",K13/I13)</f>
        <v>242.88</v>
      </c>
      <c r="K13" s="27" t="n">
        <f aca="false">SUM(E13,H13)</f>
        <v>51490.56</v>
      </c>
    </row>
    <row r="14" customFormat="false" ht="15" hidden="false" customHeight="true" outlineLevel="0" collapsed="false">
      <c r="A14" s="21" t="s">
        <v>250</v>
      </c>
      <c r="B14" s="22"/>
      <c r="C14" s="23"/>
      <c r="D14" s="24"/>
      <c r="E14" s="23" t="str">
        <f aca="false">IF(OR(C14="",D14=""),"",C14*D14)</f>
        <v/>
      </c>
      <c r="F14" s="23" t="n">
        <v>200</v>
      </c>
      <c r="G14" s="24" t="n">
        <v>330.43</v>
      </c>
      <c r="H14" s="23" t="n">
        <f aca="false">IF(OR(F14="",G14=""),"",F14*G14)</f>
        <v>66086</v>
      </c>
      <c r="I14" s="25" t="n">
        <f aca="false">SUM(C14,F14)</f>
        <v>200</v>
      </c>
      <c r="J14" s="26" t="n">
        <f aca="false">IF(I14=0,"",K14/I14)</f>
        <v>330.43</v>
      </c>
      <c r="K14" s="27" t="n">
        <f aca="false">SUM(E14,H14)</f>
        <v>66086</v>
      </c>
    </row>
    <row r="15" customFormat="false" ht="23.25" hidden="false" customHeight="true" outlineLevel="0" collapsed="false">
      <c r="A15" s="21" t="s">
        <v>251</v>
      </c>
      <c r="B15" s="22" t="s">
        <v>252</v>
      </c>
      <c r="C15" s="23" t="n">
        <v>149</v>
      </c>
      <c r="D15" s="24" t="n">
        <v>304.77</v>
      </c>
      <c r="E15" s="23" t="n">
        <f aca="false">IF(OR(C15="",D15=""),"",C15*D15)</f>
        <v>45410.73</v>
      </c>
      <c r="F15" s="23"/>
      <c r="G15" s="24"/>
      <c r="H15" s="23" t="str">
        <f aca="false">IF(OR(F15="",G15=""),"",F15*G15)</f>
        <v/>
      </c>
      <c r="I15" s="25" t="n">
        <f aca="false">SUM(C15,F15)</f>
        <v>149</v>
      </c>
      <c r="J15" s="26" t="n">
        <f aca="false">IF(I15=0,"",K15/I15)</f>
        <v>304.77</v>
      </c>
      <c r="K15" s="27" t="n">
        <f aca="false">SUM(E15,H15)</f>
        <v>45410.73</v>
      </c>
    </row>
    <row r="16" customFormat="false" ht="23.25" hidden="false" customHeight="true" outlineLevel="0" collapsed="false">
      <c r="A16" s="21" t="s">
        <v>253</v>
      </c>
      <c r="B16" s="22" t="s">
        <v>254</v>
      </c>
      <c r="C16" s="23" t="n">
        <v>78</v>
      </c>
      <c r="D16" s="24" t="n">
        <v>223.35</v>
      </c>
      <c r="E16" s="23" t="n">
        <f aca="false">IF(OR(C16="",D16=""),"",C16*D16)</f>
        <v>17421.3</v>
      </c>
      <c r="F16" s="23"/>
      <c r="G16" s="24"/>
      <c r="H16" s="23" t="str">
        <f aca="false">IF(OR(F16="",G16=""),"",F16*G16)</f>
        <v/>
      </c>
      <c r="I16" s="25" t="n">
        <f aca="false">SUM(C16,F16)</f>
        <v>78</v>
      </c>
      <c r="J16" s="26" t="n">
        <f aca="false">IF(I16=0,"",K16/I16)</f>
        <v>223.35</v>
      </c>
      <c r="K16" s="27" t="n">
        <f aca="false">SUM(E16,H16)</f>
        <v>17421.3</v>
      </c>
    </row>
    <row r="17" customFormat="false" ht="23.25" hidden="false" customHeight="true" outlineLevel="0" collapsed="false">
      <c r="A17" s="21" t="s">
        <v>255</v>
      </c>
      <c r="B17" s="22" t="s">
        <v>256</v>
      </c>
      <c r="C17" s="23" t="n">
        <v>59</v>
      </c>
      <c r="D17" s="24" t="n">
        <v>238.13</v>
      </c>
      <c r="E17" s="23" t="n">
        <f aca="false">IF(OR(C17="",D17=""),"",C17*D17)</f>
        <v>14049.67</v>
      </c>
      <c r="F17" s="23"/>
      <c r="G17" s="24"/>
      <c r="H17" s="23" t="str">
        <f aca="false">IF(OR(F17="",G17=""),"",F17*G17)</f>
        <v/>
      </c>
      <c r="I17" s="25" t="n">
        <f aca="false">SUM(C17,F17)</f>
        <v>59</v>
      </c>
      <c r="J17" s="26" t="n">
        <f aca="false">IF(I17=0,"",K17/I17)</f>
        <v>238.13</v>
      </c>
      <c r="K17" s="27" t="n">
        <f aca="false">SUM(E17,H17)</f>
        <v>14049.67</v>
      </c>
    </row>
    <row r="18" customFormat="false" ht="23.25" hidden="false" customHeight="true" outlineLevel="0" collapsed="false">
      <c r="A18" s="21" t="s">
        <v>257</v>
      </c>
      <c r="B18" s="22" t="s">
        <v>258</v>
      </c>
      <c r="C18" s="23" t="n">
        <v>27</v>
      </c>
      <c r="D18" s="24" t="n">
        <v>335.9</v>
      </c>
      <c r="E18" s="23" t="n">
        <f aca="false">IF(OR(C18="",D18=""),"",C18*D18)</f>
        <v>9069.3</v>
      </c>
      <c r="F18" s="23"/>
      <c r="G18" s="24"/>
      <c r="H18" s="23" t="str">
        <f aca="false">IF(OR(F18="",G18=""),"",F18*G18)</f>
        <v/>
      </c>
      <c r="I18" s="25" t="n">
        <f aca="false">SUM(C18,F18)</f>
        <v>27</v>
      </c>
      <c r="J18" s="26" t="n">
        <f aca="false">IF(I18=0,"",K18/I18)</f>
        <v>335.9</v>
      </c>
      <c r="K18" s="27" t="n">
        <f aca="false">SUM(E18,H18)</f>
        <v>9069.3</v>
      </c>
    </row>
    <row r="19" customFormat="false" ht="15" hidden="false" customHeight="true" outlineLevel="0" collapsed="false">
      <c r="A19" s="28" t="s">
        <v>79</v>
      </c>
      <c r="B19" s="28"/>
      <c r="C19" s="29" t="n">
        <f aca="false">SUM(C2:C18)</f>
        <v>11168</v>
      </c>
      <c r="D19" s="30"/>
      <c r="E19" s="29" t="n">
        <f aca="false">SUM(E2:E18)</f>
        <v>1974995.7</v>
      </c>
      <c r="F19" s="29" t="n">
        <f aca="false">SUM(F2:F18)</f>
        <v>2700</v>
      </c>
      <c r="G19" s="30"/>
      <c r="H19" s="29" t="n">
        <f aca="false">SUM(H2:H18)</f>
        <v>804573</v>
      </c>
      <c r="I19" s="29" t="n">
        <f aca="false">SUM(I2:I18)</f>
        <v>13868</v>
      </c>
      <c r="J19" s="31" t="n">
        <f aca="false">IF(I19=0,"",K19/I19)</f>
        <v>200.430393712143</v>
      </c>
      <c r="K19" s="29" t="n">
        <f aca="false">SUM(K2:K18)</f>
        <v>2779568.7</v>
      </c>
    </row>
  </sheetData>
  <autoFilter ref="A1:K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259</v>
      </c>
      <c r="B2" s="22" t="s">
        <v>260</v>
      </c>
      <c r="C2" s="23" t="n">
        <v>1009</v>
      </c>
      <c r="D2" s="24" t="n">
        <v>1469.55</v>
      </c>
      <c r="E2" s="23" t="n">
        <f aca="false">IF(OR(C2="",D2=""),"",C2*D2)</f>
        <v>1482775.95</v>
      </c>
    </row>
    <row r="3" customFormat="false" ht="15" hidden="false" customHeight="true" outlineLevel="0" collapsed="false">
      <c r="A3" s="21" t="s">
        <v>261</v>
      </c>
      <c r="B3" s="22" t="s">
        <v>262</v>
      </c>
      <c r="C3" s="23" t="n">
        <v>397</v>
      </c>
      <c r="D3" s="24" t="n">
        <v>1071.44</v>
      </c>
      <c r="E3" s="23" t="n">
        <f aca="false">IF(OR(C3="",D3=""),"",C3*D3)</f>
        <v>425361.68</v>
      </c>
    </row>
    <row r="4" customFormat="false" ht="15" hidden="false" customHeight="true" outlineLevel="0" collapsed="false">
      <c r="A4" s="28" t="s">
        <v>79</v>
      </c>
      <c r="B4" s="28"/>
      <c r="C4" s="29" t="n">
        <f aca="false">SUM(C2:C3)</f>
        <v>1406</v>
      </c>
      <c r="D4" s="30"/>
      <c r="E4" s="29" t="n">
        <f aca="false">SUM(E2:E3)</f>
        <v>1908137.63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263</v>
      </c>
      <c r="B2" s="22" t="s">
        <v>264</v>
      </c>
      <c r="C2" s="23" t="n">
        <v>1039</v>
      </c>
      <c r="D2" s="24" t="n">
        <v>463.2</v>
      </c>
      <c r="E2" s="23" t="n">
        <f aca="false">IF(OR(C2="",D2=""),"",C2*D2)</f>
        <v>481264.8</v>
      </c>
    </row>
    <row r="3" customFormat="false" ht="23.25" hidden="false" customHeight="true" outlineLevel="0" collapsed="false">
      <c r="A3" s="21" t="s">
        <v>265</v>
      </c>
      <c r="B3" s="22" t="s">
        <v>266</v>
      </c>
      <c r="C3" s="23" t="n">
        <v>832</v>
      </c>
      <c r="D3" s="24" t="n">
        <v>509.52</v>
      </c>
      <c r="E3" s="23" t="n">
        <f aca="false">IF(OR(C3="",D3=""),"",C3*D3)</f>
        <v>423920.64</v>
      </c>
    </row>
    <row r="4" customFormat="false" ht="15" hidden="false" customHeight="true" outlineLevel="0" collapsed="false">
      <c r="A4" s="28" t="s">
        <v>79</v>
      </c>
      <c r="B4" s="28"/>
      <c r="C4" s="29" t="n">
        <f aca="false">SUM(C2:C3)</f>
        <v>1871</v>
      </c>
      <c r="D4" s="30"/>
      <c r="E4" s="29" t="n">
        <f aca="false">SUM(E2:E3)</f>
        <v>905185.44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267</v>
      </c>
      <c r="B2" s="22" t="s">
        <v>268</v>
      </c>
      <c r="C2" s="23" t="n">
        <v>941</v>
      </c>
      <c r="D2" s="24" t="n">
        <v>847.53</v>
      </c>
      <c r="E2" s="23" t="n">
        <f aca="false">IF(OR(C2="",D2=""),"",C2*D2)</f>
        <v>797525.73</v>
      </c>
    </row>
    <row r="3" customFormat="false" ht="15" hidden="false" customHeight="true" outlineLevel="0" collapsed="false">
      <c r="A3" s="28" t="s">
        <v>79</v>
      </c>
      <c r="B3" s="28"/>
      <c r="C3" s="29" t="n">
        <f aca="false">SUM(C2:C2)</f>
        <v>941</v>
      </c>
      <c r="D3" s="30"/>
      <c r="E3" s="29" t="n">
        <f aca="false">SUM(E2:E2)</f>
        <v>797525.73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15" hidden="false" customHeight="true" outlineLevel="0" collapsed="false">
      <c r="A2" s="21" t="s">
        <v>269</v>
      </c>
      <c r="B2" s="22" t="s">
        <v>270</v>
      </c>
      <c r="C2" s="23" t="n">
        <v>410</v>
      </c>
      <c r="D2" s="24" t="n">
        <v>726.85</v>
      </c>
      <c r="E2" s="23" t="n">
        <f aca="false">IF(OR(C2="",D2=""),"",C2*D2)</f>
        <v>298008.5</v>
      </c>
    </row>
    <row r="3" customFormat="false" ht="23.25" hidden="false" customHeight="true" outlineLevel="0" collapsed="false">
      <c r="A3" s="21" t="s">
        <v>271</v>
      </c>
      <c r="B3" s="22" t="s">
        <v>272</v>
      </c>
      <c r="C3" s="23" t="n">
        <v>298</v>
      </c>
      <c r="D3" s="24" t="n">
        <v>166.24</v>
      </c>
      <c r="E3" s="23" t="n">
        <f aca="false">IF(OR(C3="",D3=""),"",C3*D3)</f>
        <v>49539.52</v>
      </c>
    </row>
    <row r="4" customFormat="false" ht="23.25" hidden="false" customHeight="true" outlineLevel="0" collapsed="false">
      <c r="A4" s="21" t="s">
        <v>273</v>
      </c>
      <c r="B4" s="22" t="s">
        <v>274</v>
      </c>
      <c r="C4" s="23" t="n">
        <v>60</v>
      </c>
      <c r="D4" s="24" t="n">
        <v>269.87</v>
      </c>
      <c r="E4" s="23" t="n">
        <f aca="false">IF(OR(C4="",D4=""),"",C4*D4)</f>
        <v>16192.2</v>
      </c>
    </row>
    <row r="5" customFormat="false" ht="23.25" hidden="false" customHeight="true" outlineLevel="0" collapsed="false">
      <c r="A5" s="21" t="s">
        <v>275</v>
      </c>
      <c r="B5" s="22" t="s">
        <v>276</v>
      </c>
      <c r="C5" s="23" t="n">
        <v>15</v>
      </c>
      <c r="D5" s="24" t="n">
        <v>314.85</v>
      </c>
      <c r="E5" s="23" t="n">
        <f aca="false">IF(OR(C5="",D5=""),"",C5*D5)</f>
        <v>4722.75</v>
      </c>
    </row>
    <row r="6" customFormat="false" ht="15" hidden="false" customHeight="true" outlineLevel="0" collapsed="false">
      <c r="A6" s="28" t="s">
        <v>79</v>
      </c>
      <c r="B6" s="28"/>
      <c r="C6" s="29" t="n">
        <f aca="false">SUM(C2:C5)</f>
        <v>783</v>
      </c>
      <c r="D6" s="30"/>
      <c r="E6" s="29" t="n">
        <f aca="false">SUM(E2:E5)</f>
        <v>368462.97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277</v>
      </c>
      <c r="B2" s="22" t="s">
        <v>278</v>
      </c>
      <c r="C2" s="23" t="n">
        <v>527</v>
      </c>
      <c r="D2" s="24" t="n">
        <v>549.71</v>
      </c>
      <c r="E2" s="23" t="n">
        <f aca="false">IF(OR(C2="",D2=""),"",C2*D2)</f>
        <v>289697.17</v>
      </c>
    </row>
    <row r="3" customFormat="false" ht="23.25" hidden="false" customHeight="true" outlineLevel="0" collapsed="false">
      <c r="A3" s="21" t="s">
        <v>279</v>
      </c>
      <c r="B3" s="22" t="s">
        <v>280</v>
      </c>
      <c r="C3" s="23" t="n">
        <v>55</v>
      </c>
      <c r="D3" s="24" t="n">
        <v>1162.92</v>
      </c>
      <c r="E3" s="23" t="n">
        <f aca="false">IF(OR(C3="",D3=""),"",C3*D3)</f>
        <v>63960.6</v>
      </c>
    </row>
    <row r="4" customFormat="false" ht="15" hidden="false" customHeight="true" outlineLevel="0" collapsed="false">
      <c r="A4" s="28" t="s">
        <v>79</v>
      </c>
      <c r="B4" s="28"/>
      <c r="C4" s="29" t="n">
        <f aca="false">SUM(C2:C3)</f>
        <v>582</v>
      </c>
      <c r="D4" s="30"/>
      <c r="E4" s="29" t="n">
        <f aca="false">SUM(E2:E3)</f>
        <v>353657.77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281</v>
      </c>
      <c r="B2" s="22" t="s">
        <v>282</v>
      </c>
      <c r="C2" s="23" t="n">
        <v>349</v>
      </c>
      <c r="D2" s="24" t="n">
        <v>266.45</v>
      </c>
      <c r="E2" s="23" t="n">
        <f aca="false">IF(OR(C2="",D2=""),"",C2*D2)</f>
        <v>92991.05</v>
      </c>
    </row>
    <row r="3" customFormat="false" ht="23.25" hidden="false" customHeight="true" outlineLevel="0" collapsed="false">
      <c r="A3" s="21" t="s">
        <v>283</v>
      </c>
      <c r="B3" s="22" t="s">
        <v>284</v>
      </c>
      <c r="C3" s="23" t="n">
        <v>200</v>
      </c>
      <c r="D3" s="24" t="n">
        <v>602.18</v>
      </c>
      <c r="E3" s="23" t="n">
        <f aca="false">IF(OR(C3="",D3=""),"",C3*D3)</f>
        <v>120436</v>
      </c>
    </row>
    <row r="4" customFormat="false" ht="23.25" hidden="false" customHeight="true" outlineLevel="0" collapsed="false">
      <c r="A4" s="21" t="s">
        <v>285</v>
      </c>
      <c r="B4" s="22" t="s">
        <v>286</v>
      </c>
      <c r="C4" s="23" t="n">
        <v>50</v>
      </c>
      <c r="D4" s="24" t="n">
        <v>447.64</v>
      </c>
      <c r="E4" s="23" t="n">
        <f aca="false">IF(OR(C4="",D4=""),"",C4*D4)</f>
        <v>22382</v>
      </c>
    </row>
    <row r="5" customFormat="false" ht="15" hidden="false" customHeight="true" outlineLevel="0" collapsed="false">
      <c r="A5" s="28" t="s">
        <v>79</v>
      </c>
      <c r="B5" s="28"/>
      <c r="C5" s="29" t="n">
        <f aca="false">SUM(C2:C4)</f>
        <v>599</v>
      </c>
      <c r="D5" s="30"/>
      <c r="E5" s="29" t="n">
        <f aca="false">SUM(E2:E4)</f>
        <v>235809.05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287</v>
      </c>
      <c r="B2" s="22" t="s">
        <v>288</v>
      </c>
      <c r="C2" s="23" t="n">
        <v>361</v>
      </c>
      <c r="D2" s="24" t="n">
        <v>343.82</v>
      </c>
      <c r="E2" s="23" t="n">
        <f aca="false">IF(OR(C2="",D2=""),"",C2*D2)</f>
        <v>124119.02</v>
      </c>
    </row>
    <row r="3" customFormat="false" ht="15" hidden="false" customHeight="true" outlineLevel="0" collapsed="false">
      <c r="A3" s="28" t="s">
        <v>79</v>
      </c>
      <c r="B3" s="28"/>
      <c r="C3" s="29" t="n">
        <f aca="false">SUM(C2:C2)</f>
        <v>361</v>
      </c>
      <c r="D3" s="30"/>
      <c r="E3" s="29" t="n">
        <f aca="false">SUM(E2:E2)</f>
        <v>124119.02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289</v>
      </c>
      <c r="B2" s="22" t="s">
        <v>290</v>
      </c>
      <c r="C2" s="23" t="n">
        <v>116</v>
      </c>
      <c r="D2" s="24" t="n">
        <v>722.04</v>
      </c>
      <c r="E2" s="23" t="n">
        <f aca="false">IF(OR(C2="",D2=""),"",C2*D2)</f>
        <v>83756.64</v>
      </c>
    </row>
    <row r="3" customFormat="false" ht="23.25" hidden="false" customHeight="true" outlineLevel="0" collapsed="false">
      <c r="A3" s="21" t="s">
        <v>291</v>
      </c>
      <c r="B3" s="22" t="s">
        <v>292</v>
      </c>
      <c r="C3" s="23" t="n">
        <v>31</v>
      </c>
      <c r="D3" s="24" t="n">
        <v>930.04</v>
      </c>
      <c r="E3" s="23" t="n">
        <f aca="false">IF(OR(C3="",D3=""),"",C3*D3)</f>
        <v>28831.24</v>
      </c>
    </row>
    <row r="4" customFormat="false" ht="15" hidden="false" customHeight="true" outlineLevel="0" collapsed="false">
      <c r="A4" s="28" t="s">
        <v>79</v>
      </c>
      <c r="B4" s="28"/>
      <c r="C4" s="29" t="n">
        <f aca="false">SUM(C2:C3)</f>
        <v>147</v>
      </c>
      <c r="D4" s="30"/>
      <c r="E4" s="29" t="n">
        <f aca="false">SUM(E2:E3)</f>
        <v>112587.88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293</v>
      </c>
      <c r="B2" s="22" t="s">
        <v>294</v>
      </c>
      <c r="C2" s="23" t="n">
        <v>410</v>
      </c>
      <c r="D2" s="24" t="n">
        <v>118.97</v>
      </c>
      <c r="E2" s="23" t="n">
        <f aca="false">IF(OR(C2="",D2=""),"",C2*D2)</f>
        <v>48777.7</v>
      </c>
    </row>
    <row r="3" customFormat="false" ht="15" hidden="false" customHeight="true" outlineLevel="0" collapsed="false">
      <c r="A3" s="28" t="s">
        <v>79</v>
      </c>
      <c r="B3" s="28"/>
      <c r="C3" s="29" t="n">
        <f aca="false">SUM(C2:C2)</f>
        <v>410</v>
      </c>
      <c r="D3" s="30"/>
      <c r="E3" s="29" t="n">
        <f aca="false">SUM(E2:E2)</f>
        <v>48777.7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15" hidden="false" customHeight="true" outlineLevel="0" collapsed="false">
      <c r="A2" s="21" t="s">
        <v>295</v>
      </c>
      <c r="B2" s="22" t="s">
        <v>296</v>
      </c>
      <c r="C2" s="23" t="n">
        <v>235</v>
      </c>
      <c r="D2" s="24" t="n">
        <v>130.86</v>
      </c>
      <c r="E2" s="23" t="n">
        <f aca="false">IF(OR(C2="",D2=""),"",C2*D2)</f>
        <v>30752.1</v>
      </c>
    </row>
    <row r="3" customFormat="false" ht="15" hidden="false" customHeight="true" outlineLevel="0" collapsed="false">
      <c r="A3" s="28" t="s">
        <v>79</v>
      </c>
      <c r="B3" s="28"/>
      <c r="C3" s="29" t="n">
        <f aca="false">SUM(C2:C2)</f>
        <v>235</v>
      </c>
      <c r="D3" s="30"/>
      <c r="E3" s="29" t="n">
        <f aca="false">SUM(E2:E2)</f>
        <v>30752.1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6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  <c r="F1" s="11" t="s">
        <v>5</v>
      </c>
      <c r="G1" s="11" t="s">
        <v>83</v>
      </c>
      <c r="H1" s="11" t="s">
        <v>25</v>
      </c>
      <c r="I1" s="12" t="s">
        <v>7</v>
      </c>
      <c r="J1" s="12" t="s">
        <v>27</v>
      </c>
      <c r="K1" s="12" t="s">
        <v>28</v>
      </c>
    </row>
    <row r="2" customFormat="false" ht="23.25" hidden="false" customHeight="true" outlineLevel="0" collapsed="false">
      <c r="A2" s="21" t="s">
        <v>297</v>
      </c>
      <c r="B2" s="22" t="s">
        <v>298</v>
      </c>
      <c r="C2" s="23" t="n">
        <v>30</v>
      </c>
      <c r="D2" s="24" t="n">
        <v>404.68</v>
      </c>
      <c r="E2" s="23" t="n">
        <f aca="false">IF(OR(C2="",D2=""),"",C2*D2)</f>
        <v>12140.4</v>
      </c>
      <c r="F2" s="23" t="n">
        <v>1500</v>
      </c>
      <c r="G2" s="24" t="n">
        <v>668.13</v>
      </c>
      <c r="H2" s="23" t="n">
        <f aca="false">IF(OR(F2="",G2=""),"",F2*G2)</f>
        <v>1002195</v>
      </c>
      <c r="I2" s="25" t="n">
        <f aca="false">SUM(C2,F2)</f>
        <v>1530</v>
      </c>
      <c r="J2" s="26" t="n">
        <f aca="false">IF(I2=0,"",K2/I2)</f>
        <v>662.96431372549</v>
      </c>
      <c r="K2" s="27" t="n">
        <f aca="false">SUM(E2,H2)</f>
        <v>1014335.4</v>
      </c>
    </row>
    <row r="3" customFormat="false" ht="15" hidden="false" customHeight="true" outlineLevel="0" collapsed="false">
      <c r="A3" s="21" t="s">
        <v>299</v>
      </c>
      <c r="B3" s="22"/>
      <c r="C3" s="23"/>
      <c r="D3" s="24"/>
      <c r="E3" s="23" t="str">
        <f aca="false">IF(OR(C3="",D3=""),"",C3*D3)</f>
        <v/>
      </c>
      <c r="F3" s="23" t="n">
        <v>920</v>
      </c>
      <c r="G3" s="24" t="n">
        <v>849.6</v>
      </c>
      <c r="H3" s="23" t="n">
        <f aca="false">IF(OR(F3="",G3=""),"",F3*G3)</f>
        <v>781632</v>
      </c>
      <c r="I3" s="25" t="n">
        <f aca="false">SUM(C3,F3)</f>
        <v>920</v>
      </c>
      <c r="J3" s="26" t="n">
        <f aca="false">IF(I3=0,"",K3/I3)</f>
        <v>849.6</v>
      </c>
      <c r="K3" s="27" t="n">
        <f aca="false">SUM(E3,H3)</f>
        <v>781632</v>
      </c>
    </row>
    <row r="4" customFormat="false" ht="23.25" hidden="false" customHeight="true" outlineLevel="0" collapsed="false">
      <c r="A4" s="21" t="s">
        <v>300</v>
      </c>
      <c r="B4" s="22"/>
      <c r="C4" s="23"/>
      <c r="D4" s="24"/>
      <c r="E4" s="23" t="str">
        <f aca="false">IF(OR(C4="",D4=""),"",C4*D4)</f>
        <v/>
      </c>
      <c r="F4" s="23" t="n">
        <v>900</v>
      </c>
      <c r="G4" s="24" t="n">
        <v>857.84</v>
      </c>
      <c r="H4" s="23" t="n">
        <f aca="false">IF(OR(F4="",G4=""),"",F4*G4)</f>
        <v>772056</v>
      </c>
      <c r="I4" s="25" t="n">
        <f aca="false">SUM(C4,F4)</f>
        <v>900</v>
      </c>
      <c r="J4" s="26" t="n">
        <f aca="false">IF(I4=0,"",K4/I4)</f>
        <v>857.84</v>
      </c>
      <c r="K4" s="27" t="n">
        <f aca="false">SUM(E4,H4)</f>
        <v>772056</v>
      </c>
    </row>
    <row r="5" customFormat="false" ht="23.25" hidden="false" customHeight="true" outlineLevel="0" collapsed="false">
      <c r="A5" s="21" t="s">
        <v>301</v>
      </c>
      <c r="B5" s="22" t="s">
        <v>302</v>
      </c>
      <c r="C5" s="23" t="n">
        <v>22</v>
      </c>
      <c r="D5" s="24" t="n">
        <v>294.15</v>
      </c>
      <c r="E5" s="23" t="n">
        <f aca="false">IF(OR(C5="",D5=""),"",C5*D5)</f>
        <v>6471.3</v>
      </c>
      <c r="F5" s="23"/>
      <c r="G5" s="24"/>
      <c r="H5" s="23" t="str">
        <f aca="false">IF(OR(F5="",G5=""),"",F5*G5)</f>
        <v/>
      </c>
      <c r="I5" s="25" t="n">
        <f aca="false">SUM(C5,F5)</f>
        <v>22</v>
      </c>
      <c r="J5" s="26" t="n">
        <f aca="false">IF(I5=0,"",K5/I5)</f>
        <v>294.15</v>
      </c>
      <c r="K5" s="27" t="n">
        <f aca="false">SUM(E5,H5)</f>
        <v>6471.3</v>
      </c>
    </row>
    <row r="6" customFormat="false" ht="15" hidden="false" customHeight="true" outlineLevel="0" collapsed="false">
      <c r="A6" s="28" t="s">
        <v>79</v>
      </c>
      <c r="B6" s="28"/>
      <c r="C6" s="29" t="n">
        <f aca="false">SUM(C2:C5)</f>
        <v>52</v>
      </c>
      <c r="D6" s="30"/>
      <c r="E6" s="29" t="n">
        <f aca="false">SUM(E2:E5)</f>
        <v>18611.7</v>
      </c>
      <c r="F6" s="29" t="n">
        <f aca="false">SUM(F2:F5)</f>
        <v>3320</v>
      </c>
      <c r="G6" s="30"/>
      <c r="H6" s="29" t="n">
        <f aca="false">SUM(H2:H5)</f>
        <v>2555883</v>
      </c>
      <c r="I6" s="29" t="n">
        <f aca="false">SUM(I2:I5)</f>
        <v>3372</v>
      </c>
      <c r="J6" s="31" t="n">
        <f aca="false">IF(I6=0,"",K6/I6)</f>
        <v>763.491903914591</v>
      </c>
      <c r="K6" s="29" t="n">
        <f aca="false">SUM(K2:K5)</f>
        <v>2574494.7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303</v>
      </c>
      <c r="B2" s="22" t="s">
        <v>304</v>
      </c>
      <c r="C2" s="23" t="n">
        <v>9</v>
      </c>
      <c r="D2" s="24" t="n">
        <v>142.13</v>
      </c>
      <c r="E2" s="23" t="n">
        <f aca="false">IF(OR(C2="",D2=""),"",C2*D2)</f>
        <v>1279.17</v>
      </c>
    </row>
    <row r="3" customFormat="false" ht="15" hidden="false" customHeight="true" outlineLevel="0" collapsed="false">
      <c r="A3" s="28" t="s">
        <v>79</v>
      </c>
      <c r="B3" s="28"/>
      <c r="C3" s="29" t="n">
        <f aca="false">SUM(C2:C2)</f>
        <v>9</v>
      </c>
      <c r="D3" s="30"/>
      <c r="E3" s="29" t="n">
        <f aca="false">SUM(E2:E2)</f>
        <v>1279.17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23.25" hidden="false" customHeight="true" outlineLevel="0" collapsed="false">
      <c r="A2" s="21" t="s">
        <v>305</v>
      </c>
      <c r="B2" s="22" t="s">
        <v>306</v>
      </c>
      <c r="C2" s="23" t="n">
        <v>37</v>
      </c>
      <c r="D2" s="24" t="n">
        <v>700</v>
      </c>
      <c r="E2" s="23" t="n">
        <f aca="false">IF(OR(C2="",D2=""),"",C2*D2)</f>
        <v>25900</v>
      </c>
    </row>
    <row r="3" customFormat="false" ht="15" hidden="false" customHeight="true" outlineLevel="0" collapsed="false">
      <c r="A3" s="28" t="s">
        <v>79</v>
      </c>
      <c r="B3" s="28"/>
      <c r="C3" s="29" t="n">
        <f aca="false">SUM(C2:C2)</f>
        <v>37</v>
      </c>
      <c r="D3" s="30"/>
      <c r="E3" s="29" t="n">
        <f aca="false">SUM(E2:E2)</f>
        <v>25900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49.5" hidden="false" customHeight="true" outlineLevel="0" collapsed="false">
      <c r="A1" s="10" t="s">
        <v>80</v>
      </c>
      <c r="B1" s="10" t="s">
        <v>81</v>
      </c>
      <c r="C1" s="10" t="s">
        <v>4</v>
      </c>
      <c r="D1" s="10" t="s">
        <v>82</v>
      </c>
      <c r="E1" s="10" t="s">
        <v>24</v>
      </c>
    </row>
    <row r="2" customFormat="false" ht="15" hidden="false" customHeight="true" outlineLevel="0" collapsed="false">
      <c r="A2" s="21" t="s">
        <v>307</v>
      </c>
      <c r="B2" s="22" t="s">
        <v>308</v>
      </c>
      <c r="C2" s="23" t="n">
        <v>109</v>
      </c>
      <c r="D2" s="24" t="n">
        <v>736</v>
      </c>
      <c r="E2" s="23" t="n">
        <f aca="false">IF(OR(C2="",D2=""),"",C2*D2)</f>
        <v>80224</v>
      </c>
    </row>
    <row r="3" customFormat="false" ht="15" hidden="false" customHeight="true" outlineLevel="0" collapsed="false">
      <c r="A3" s="28" t="s">
        <v>79</v>
      </c>
      <c r="B3" s="28"/>
      <c r="C3" s="29" t="n">
        <f aca="false">SUM(C2:C2)</f>
        <v>109</v>
      </c>
      <c r="D3" s="30"/>
      <c r="E3" s="29" t="n">
        <f aca="false">SUM(E2:E2)</f>
        <v>80224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6"/>
  </cols>
  <sheetData>
    <row r="1" customFormat="false" ht="51.75" hidden="false" customHeight="true" outlineLevel="0" collapsed="false">
      <c r="A1" s="10" t="s">
        <v>21</v>
      </c>
      <c r="B1" s="10" t="s">
        <v>22</v>
      </c>
      <c r="C1" s="10" t="s">
        <v>80</v>
      </c>
      <c r="D1" s="10" t="s">
        <v>81</v>
      </c>
      <c r="E1" s="10" t="s">
        <v>4</v>
      </c>
      <c r="F1" s="10" t="s">
        <v>82</v>
      </c>
      <c r="G1" s="10" t="s">
        <v>24</v>
      </c>
      <c r="H1" s="11" t="s">
        <v>5</v>
      </c>
      <c r="I1" s="11" t="s">
        <v>83</v>
      </c>
      <c r="J1" s="11" t="s">
        <v>25</v>
      </c>
      <c r="K1" s="11" t="s">
        <v>6</v>
      </c>
      <c r="L1" s="11" t="s">
        <v>84</v>
      </c>
      <c r="M1" s="11" t="s">
        <v>26</v>
      </c>
      <c r="N1" s="12" t="s">
        <v>7</v>
      </c>
      <c r="O1" s="12" t="s">
        <v>27</v>
      </c>
      <c r="P1" s="12" t="s">
        <v>28</v>
      </c>
    </row>
    <row r="2" customFormat="false" ht="15" hidden="false" customHeight="false" outlineLevel="0" collapsed="false">
      <c r="A2" s="32" t="n">
        <v>1</v>
      </c>
      <c r="B2" s="22" t="s">
        <v>32</v>
      </c>
      <c r="C2" s="21" t="s">
        <v>85</v>
      </c>
      <c r="D2" s="22" t="s">
        <v>86</v>
      </c>
      <c r="E2" s="23" t="n">
        <v>4520</v>
      </c>
      <c r="F2" s="24" t="n">
        <v>730.25</v>
      </c>
      <c r="G2" s="23" t="n">
        <f aca="false">IF(OR(E2="",F2=""),"",E2*F2)</f>
        <v>3300730</v>
      </c>
      <c r="H2" s="23" t="n">
        <v>25008</v>
      </c>
      <c r="I2" s="24" t="n">
        <v>736.59</v>
      </c>
      <c r="J2" s="23" t="n">
        <f aca="false">IF(OR(H2="",I2=""),"",H2*I2)</f>
        <v>18420642.72</v>
      </c>
      <c r="K2" s="23" t="n">
        <v>15000</v>
      </c>
      <c r="L2" s="24" t="n">
        <v>736.59</v>
      </c>
      <c r="M2" s="23" t="n">
        <f aca="false">IF(OR(K2="",L2=""),"",K2*L2)</f>
        <v>11048850</v>
      </c>
      <c r="N2" s="25" t="n">
        <f aca="false">SUM(E2,H2,K2)</f>
        <v>44528</v>
      </c>
      <c r="O2" s="26" t="n">
        <f aca="false">IF(N2=0,"",P2/N2)</f>
        <v>735.946431908013</v>
      </c>
      <c r="P2" s="27" t="n">
        <f aca="false">SUM(G2,J2,M2)</f>
        <v>32770222.72</v>
      </c>
    </row>
    <row r="3" customFormat="false" ht="23.85" hidden="false" customHeight="false" outlineLevel="0" collapsed="false">
      <c r="A3" s="32" t="n">
        <v>2</v>
      </c>
      <c r="B3" s="22" t="s">
        <v>34</v>
      </c>
      <c r="C3" s="21" t="s">
        <v>143</v>
      </c>
      <c r="D3" s="22" t="s">
        <v>144</v>
      </c>
      <c r="E3" s="23" t="n">
        <v>7126</v>
      </c>
      <c r="F3" s="24" t="n">
        <v>509.51</v>
      </c>
      <c r="G3" s="23" t="n">
        <f aca="false">IF(OR(E3="",F3=""),"",E3*F3)</f>
        <v>3630768.26</v>
      </c>
      <c r="H3" s="23" t="n">
        <v>25020</v>
      </c>
      <c r="I3" s="24" t="n">
        <v>513.06</v>
      </c>
      <c r="J3" s="23" t="n">
        <f aca="false">IF(OR(H3="",I3=""),"",H3*I3)</f>
        <v>12836761.2</v>
      </c>
      <c r="K3" s="23"/>
      <c r="L3" s="24"/>
      <c r="M3" s="23" t="str">
        <f aca="false">IF(OR(K3="",L3=""),"",K3*L3)</f>
        <v/>
      </c>
      <c r="N3" s="25" t="n">
        <f aca="false">SUM(E3,H3,K3)</f>
        <v>32146</v>
      </c>
      <c r="O3" s="26" t="n">
        <f aca="false">IF(N3=0,"",P3/N3)</f>
        <v>512.273049835127</v>
      </c>
      <c r="P3" s="27" t="n">
        <f aca="false">SUM(G3,J3,M3)</f>
        <v>16467529.46</v>
      </c>
    </row>
    <row r="4" customFormat="false" ht="23.85" hidden="false" customHeight="false" outlineLevel="0" collapsed="false">
      <c r="A4" s="32" t="n">
        <v>3</v>
      </c>
      <c r="B4" s="22" t="s">
        <v>32</v>
      </c>
      <c r="C4" s="21" t="s">
        <v>87</v>
      </c>
      <c r="D4" s="22" t="s">
        <v>88</v>
      </c>
      <c r="E4" s="23" t="n">
        <v>9493</v>
      </c>
      <c r="F4" s="24" t="n">
        <v>563.4</v>
      </c>
      <c r="G4" s="23" t="n">
        <f aca="false">IF(OR(E4="",F4=""),"",E4*F4)</f>
        <v>5348356.2</v>
      </c>
      <c r="H4" s="23"/>
      <c r="I4" s="24"/>
      <c r="J4" s="23" t="str">
        <f aca="false">IF(OR(H4="",I4=""),"",H4*I4)</f>
        <v/>
      </c>
      <c r="K4" s="23"/>
      <c r="L4" s="24"/>
      <c r="M4" s="23" t="str">
        <f aca="false">IF(OR(K4="",L4=""),"",K4*L4)</f>
        <v/>
      </c>
      <c r="N4" s="25" t="n">
        <f aca="false">SUM(E4,H4,K4)</f>
        <v>9493</v>
      </c>
      <c r="O4" s="26" t="n">
        <f aca="false">IF(N4=0,"",P4/N4)</f>
        <v>563.4</v>
      </c>
      <c r="P4" s="27" t="n">
        <f aca="false">SUM(G4,J4,M4)</f>
        <v>5348356.2</v>
      </c>
    </row>
    <row r="5" customFormat="false" ht="23.85" hidden="false" customHeight="false" outlineLevel="0" collapsed="false">
      <c r="A5" s="32" t="n">
        <v>4</v>
      </c>
      <c r="B5" s="22" t="s">
        <v>40</v>
      </c>
      <c r="C5" s="21" t="s">
        <v>174</v>
      </c>
      <c r="D5" s="22" t="s">
        <v>175</v>
      </c>
      <c r="E5" s="23" t="n">
        <v>7463</v>
      </c>
      <c r="F5" s="24" t="n">
        <v>222.5</v>
      </c>
      <c r="G5" s="23" t="n">
        <f aca="false">IF(OR(E5="",F5=""),"",E5*F5)</f>
        <v>1660517.5</v>
      </c>
      <c r="H5" s="23"/>
      <c r="I5" s="24"/>
      <c r="J5" s="23" t="str">
        <f aca="false">IF(OR(H5="",I5=""),"",H5*I5)</f>
        <v/>
      </c>
      <c r="K5" s="23"/>
      <c r="L5" s="24"/>
      <c r="M5" s="23" t="str">
        <f aca="false">IF(OR(K5="",L5=""),"",K5*L5)</f>
        <v/>
      </c>
      <c r="N5" s="25" t="n">
        <f aca="false">SUM(E5,H5,K5)</f>
        <v>7463</v>
      </c>
      <c r="O5" s="26" t="n">
        <f aca="false">IF(N5=0,"",P5/N5)</f>
        <v>222.5</v>
      </c>
      <c r="P5" s="27" t="n">
        <f aca="false">SUM(G5,J5,M5)</f>
        <v>1660517.5</v>
      </c>
    </row>
    <row r="6" customFormat="false" ht="23.85" hidden="false" customHeight="false" outlineLevel="0" collapsed="false">
      <c r="A6" s="32" t="n">
        <v>5</v>
      </c>
      <c r="B6" s="22" t="s">
        <v>47</v>
      </c>
      <c r="C6" s="21" t="s">
        <v>228</v>
      </c>
      <c r="D6" s="22" t="s">
        <v>229</v>
      </c>
      <c r="E6" s="23" t="n">
        <v>7340</v>
      </c>
      <c r="F6" s="24" t="n">
        <v>177.43</v>
      </c>
      <c r="G6" s="23" t="n">
        <f aca="false">IF(OR(E6="",F6=""),"",E6*F6)</f>
        <v>1302336.2</v>
      </c>
      <c r="H6" s="23"/>
      <c r="I6" s="24"/>
      <c r="J6" s="23" t="str">
        <f aca="false">IF(OR(H6="",I6=""),"",H6*I6)</f>
        <v/>
      </c>
      <c r="K6" s="23"/>
      <c r="L6" s="24"/>
      <c r="M6" s="23" t="str">
        <f aca="false">IF(OR(K6="",L6=""),"",K6*L6)</f>
        <v/>
      </c>
      <c r="N6" s="25" t="n">
        <f aca="false">SUM(E6,H6,K6)</f>
        <v>7340</v>
      </c>
      <c r="O6" s="26" t="n">
        <f aca="false">IF(N6=0,"",P6/N6)</f>
        <v>177.43</v>
      </c>
      <c r="P6" s="27" t="n">
        <f aca="false">SUM(G6,J6,M6)</f>
        <v>1302336.2</v>
      </c>
    </row>
    <row r="7" customFormat="false" ht="23.85" hidden="false" customHeight="false" outlineLevel="0" collapsed="false">
      <c r="A7" s="32" t="n">
        <v>6</v>
      </c>
      <c r="B7" s="22" t="s">
        <v>44</v>
      </c>
      <c r="C7" s="21" t="s">
        <v>222</v>
      </c>
      <c r="D7" s="22" t="s">
        <v>223</v>
      </c>
      <c r="E7" s="23" t="n">
        <v>7279</v>
      </c>
      <c r="F7" s="24" t="n">
        <v>397.13</v>
      </c>
      <c r="G7" s="23" t="n">
        <f aca="false">IF(OR(E7="",F7=""),"",E7*F7)</f>
        <v>2890709.27</v>
      </c>
      <c r="H7" s="23"/>
      <c r="I7" s="24"/>
      <c r="J7" s="23" t="str">
        <f aca="false">IF(OR(H7="",I7=""),"",H7*I7)</f>
        <v/>
      </c>
      <c r="K7" s="23"/>
      <c r="L7" s="24"/>
      <c r="M7" s="23" t="str">
        <f aca="false">IF(OR(K7="",L7=""),"",K7*L7)</f>
        <v/>
      </c>
      <c r="N7" s="25" t="n">
        <f aca="false">SUM(E7,H7,K7)</f>
        <v>7279</v>
      </c>
      <c r="O7" s="26" t="n">
        <f aca="false">IF(N7=0,"",P7/N7)</f>
        <v>397.13</v>
      </c>
      <c r="P7" s="27" t="n">
        <f aca="false">SUM(G7,J7,M7)</f>
        <v>2890709.27</v>
      </c>
    </row>
    <row r="8" customFormat="false" ht="23.85" hidden="false" customHeight="false" outlineLevel="0" collapsed="false">
      <c r="A8" s="32" t="n">
        <v>7</v>
      </c>
      <c r="B8" s="22" t="s">
        <v>36</v>
      </c>
      <c r="C8" s="21" t="s">
        <v>123</v>
      </c>
      <c r="D8" s="22" t="s">
        <v>124</v>
      </c>
      <c r="E8" s="23" t="n">
        <v>6179</v>
      </c>
      <c r="F8" s="24" t="n">
        <v>382.54</v>
      </c>
      <c r="G8" s="23" t="n">
        <f aca="false">IF(OR(E8="",F8=""),"",E8*F8)</f>
        <v>2363714.66</v>
      </c>
      <c r="H8" s="23"/>
      <c r="I8" s="24"/>
      <c r="J8" s="23" t="str">
        <f aca="false">IF(OR(H8="",I8=""),"",H8*I8)</f>
        <v/>
      </c>
      <c r="K8" s="23"/>
      <c r="L8" s="24"/>
      <c r="M8" s="23" t="str">
        <f aca="false">IF(OR(K8="",L8=""),"",K8*L8)</f>
        <v/>
      </c>
      <c r="N8" s="25" t="n">
        <f aca="false">SUM(E8,H8,K8)</f>
        <v>6179</v>
      </c>
      <c r="O8" s="26" t="n">
        <f aca="false">IF(N8=0,"",P8/N8)</f>
        <v>382.54</v>
      </c>
      <c r="P8" s="27" t="n">
        <f aca="false">SUM(G8,J8,M8)</f>
        <v>2363714.66</v>
      </c>
    </row>
    <row r="9" customFormat="false" ht="23.85" hidden="false" customHeight="false" outlineLevel="0" collapsed="false">
      <c r="A9" s="32" t="n">
        <v>8</v>
      </c>
      <c r="B9" s="22" t="s">
        <v>36</v>
      </c>
      <c r="C9" s="21" t="s">
        <v>125</v>
      </c>
      <c r="D9" s="22" t="s">
        <v>126</v>
      </c>
      <c r="E9" s="23" t="n">
        <v>3493</v>
      </c>
      <c r="F9" s="24" t="n">
        <v>436.39</v>
      </c>
      <c r="G9" s="23" t="n">
        <f aca="false">IF(OR(E9="",F9=""),"",E9*F9)</f>
        <v>1524310.27</v>
      </c>
      <c r="H9" s="23"/>
      <c r="I9" s="24"/>
      <c r="J9" s="23" t="str">
        <f aca="false">IF(OR(H9="",I9=""),"",H9*I9)</f>
        <v/>
      </c>
      <c r="K9" s="23"/>
      <c r="L9" s="24"/>
      <c r="M9" s="23" t="str">
        <f aca="false">IF(OR(K9="",L9=""),"",K9*L9)</f>
        <v/>
      </c>
      <c r="N9" s="25" t="n">
        <f aca="false">SUM(E9,H9,K9)</f>
        <v>3493</v>
      </c>
      <c r="O9" s="26" t="n">
        <f aca="false">IF(N9=0,"",P9/N9)</f>
        <v>436.39</v>
      </c>
      <c r="P9" s="27" t="n">
        <f aca="false">SUM(G9,J9,M9)</f>
        <v>1524310.27</v>
      </c>
    </row>
    <row r="10" customFormat="false" ht="23.85" hidden="false" customHeight="false" outlineLevel="0" collapsed="false">
      <c r="A10" s="32" t="n">
        <v>9</v>
      </c>
      <c r="B10" s="22" t="s">
        <v>36</v>
      </c>
      <c r="C10" s="21" t="s">
        <v>127</v>
      </c>
      <c r="D10" s="22" t="s">
        <v>128</v>
      </c>
      <c r="E10" s="23" t="n">
        <v>3239</v>
      </c>
      <c r="F10" s="24" t="n">
        <v>436.39</v>
      </c>
      <c r="G10" s="23" t="n">
        <f aca="false">IF(OR(E10="",F10=""),"",E10*F10)</f>
        <v>1413467.21</v>
      </c>
      <c r="H10" s="23"/>
      <c r="I10" s="24"/>
      <c r="J10" s="23" t="str">
        <f aca="false">IF(OR(H10="",I10=""),"",H10*I10)</f>
        <v/>
      </c>
      <c r="K10" s="23"/>
      <c r="L10" s="24"/>
      <c r="M10" s="23" t="str">
        <f aca="false">IF(OR(K10="",L10=""),"",K10*L10)</f>
        <v/>
      </c>
      <c r="N10" s="25" t="n">
        <f aca="false">SUM(E10,H10,K10)</f>
        <v>3239</v>
      </c>
      <c r="O10" s="26" t="n">
        <f aca="false">IF(N10=0,"",P10/N10)</f>
        <v>436.39</v>
      </c>
      <c r="P10" s="27" t="n">
        <f aca="false">SUM(G10,J10,M10)</f>
        <v>1413467.21</v>
      </c>
    </row>
    <row r="11" customFormat="false" ht="23.85" hidden="false" customHeight="false" outlineLevel="0" collapsed="false">
      <c r="A11" s="32" t="n">
        <v>10</v>
      </c>
      <c r="B11" s="22" t="s">
        <v>32</v>
      </c>
      <c r="C11" s="21" t="s">
        <v>89</v>
      </c>
      <c r="D11" s="22" t="s">
        <v>90</v>
      </c>
      <c r="E11" s="23" t="n">
        <v>3112</v>
      </c>
      <c r="F11" s="24" t="n">
        <v>585.31</v>
      </c>
      <c r="G11" s="23" t="n">
        <f aca="false">IF(OR(E11="",F11=""),"",E11*F11)</f>
        <v>1821484.72</v>
      </c>
      <c r="H11" s="23"/>
      <c r="I11" s="24"/>
      <c r="J11" s="23" t="str">
        <f aca="false">IF(OR(H11="",I11=""),"",H11*I11)</f>
        <v/>
      </c>
      <c r="K11" s="23"/>
      <c r="L11" s="24"/>
      <c r="M11" s="23" t="str">
        <f aca="false">IF(OR(K11="",L11=""),"",K11*L11)</f>
        <v/>
      </c>
      <c r="N11" s="25" t="n">
        <f aca="false">SUM(E11,H11,K11)</f>
        <v>3112</v>
      </c>
      <c r="O11" s="26" t="n">
        <f aca="false">IF(N11=0,"",P11/N11)</f>
        <v>585.31</v>
      </c>
      <c r="P11" s="27" t="n">
        <f aca="false">SUM(G11,J11,M11)</f>
        <v>1821484.72</v>
      </c>
    </row>
    <row r="12" customFormat="false" ht="15" hidden="false" customHeight="false" outlineLevel="0" collapsed="false">
      <c r="A12" s="33" t="s">
        <v>309</v>
      </c>
      <c r="B12" s="28"/>
      <c r="C12" s="28" t="s">
        <v>79</v>
      </c>
      <c r="D12" s="28"/>
      <c r="E12" s="29" t="n">
        <f aca="false">SUM(E2:E11)</f>
        <v>59244</v>
      </c>
      <c r="F12" s="30"/>
      <c r="G12" s="29" t="n">
        <f aca="false">SUM(G2:G11)</f>
        <v>25256394.29</v>
      </c>
      <c r="H12" s="29" t="n">
        <f aca="false">SUM(H2:H11)</f>
        <v>50028</v>
      </c>
      <c r="I12" s="30"/>
      <c r="J12" s="29" t="n">
        <f aca="false">SUM(J2:J11)</f>
        <v>31257403.92</v>
      </c>
      <c r="K12" s="29" t="n">
        <f aca="false">SUM(K2:K11)</f>
        <v>15000</v>
      </c>
      <c r="L12" s="30"/>
      <c r="M12" s="29" t="n">
        <f aca="false">SUM(M2:M11)</f>
        <v>11048850</v>
      </c>
      <c r="N12" s="29" t="n">
        <f aca="false">SUM(N2:N11)</f>
        <v>124272</v>
      </c>
      <c r="O12" s="31" t="n">
        <f aca="false">IF(N12=0,"",P12/N12)</f>
        <v>543.667505230462</v>
      </c>
      <c r="P12" s="29" t="n">
        <f aca="false">SUM(P2:P11)</f>
        <v>67562648.21</v>
      </c>
    </row>
    <row r="14" customFormat="false" ht="15" hidden="false" customHeight="false" outlineLevel="0" collapsed="false">
      <c r="C14" s="34" t="s">
        <v>310</v>
      </c>
    </row>
  </sheetData>
  <autoFilter ref="A1:P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50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16"/>
  </cols>
  <sheetData>
    <row r="1" customFormat="false" ht="51.75" hidden="false" customHeight="true" outlineLevel="0" collapsed="false">
      <c r="A1" s="10" t="s">
        <v>22</v>
      </c>
      <c r="B1" s="10" t="s">
        <v>80</v>
      </c>
      <c r="C1" s="10" t="s">
        <v>81</v>
      </c>
      <c r="D1" s="10" t="s">
        <v>4</v>
      </c>
      <c r="E1" s="10" t="s">
        <v>82</v>
      </c>
      <c r="F1" s="10" t="s">
        <v>24</v>
      </c>
      <c r="G1" s="11" t="s">
        <v>5</v>
      </c>
      <c r="H1" s="11" t="s">
        <v>83</v>
      </c>
      <c r="I1" s="11" t="s">
        <v>25</v>
      </c>
      <c r="J1" s="11" t="s">
        <v>6</v>
      </c>
      <c r="K1" s="11" t="s">
        <v>84</v>
      </c>
      <c r="L1" s="11" t="s">
        <v>26</v>
      </c>
      <c r="M1" s="12" t="s">
        <v>7</v>
      </c>
      <c r="N1" s="12" t="s">
        <v>27</v>
      </c>
      <c r="O1" s="12" t="s">
        <v>28</v>
      </c>
    </row>
    <row r="2" customFormat="false" ht="15" hidden="false" customHeight="true" outlineLevel="0" collapsed="false">
      <c r="A2" s="22" t="s">
        <v>32</v>
      </c>
      <c r="B2" s="21" t="s">
        <v>85</v>
      </c>
      <c r="C2" s="22" t="s">
        <v>86</v>
      </c>
      <c r="D2" s="23" t="n">
        <v>4520</v>
      </c>
      <c r="E2" s="24" t="n">
        <v>730.25</v>
      </c>
      <c r="F2" s="23" t="n">
        <f aca="false">IF(OR(D2="",E2=""),"",D2*E2)</f>
        <v>3300730</v>
      </c>
      <c r="G2" s="23" t="n">
        <v>25008</v>
      </c>
      <c r="H2" s="24" t="n">
        <v>736.59</v>
      </c>
      <c r="I2" s="23" t="n">
        <f aca="false">IF(OR(G2="",H2=""),"",G2*H2)</f>
        <v>18420642.72</v>
      </c>
      <c r="J2" s="23" t="n">
        <v>15000</v>
      </c>
      <c r="K2" s="24" t="n">
        <v>736.59</v>
      </c>
      <c r="L2" s="23" t="n">
        <f aca="false">IF(OR(J2="",K2=""),"",J2*K2)</f>
        <v>11048850</v>
      </c>
      <c r="M2" s="25" t="n">
        <f aca="false">SUM(D2,G2,J2)</f>
        <v>44528</v>
      </c>
      <c r="N2" s="26" t="n">
        <f aca="false">IF(M2=0,"",O2/M2)</f>
        <v>735.946431908013</v>
      </c>
      <c r="O2" s="27" t="n">
        <f aca="false">SUM(F2,I2,L2)</f>
        <v>32770222.72</v>
      </c>
    </row>
    <row r="3" customFormat="false" ht="23.25" hidden="false" customHeight="true" outlineLevel="0" collapsed="false">
      <c r="A3" s="22" t="s">
        <v>34</v>
      </c>
      <c r="B3" s="21" t="s">
        <v>143</v>
      </c>
      <c r="C3" s="22" t="s">
        <v>144</v>
      </c>
      <c r="D3" s="23" t="n">
        <v>7126</v>
      </c>
      <c r="E3" s="24" t="n">
        <v>509.51</v>
      </c>
      <c r="F3" s="23" t="n">
        <f aca="false">IF(OR(D3="",E3=""),"",D3*E3)</f>
        <v>3630768.26</v>
      </c>
      <c r="G3" s="23" t="n">
        <v>25020</v>
      </c>
      <c r="H3" s="24" t="n">
        <v>513.06</v>
      </c>
      <c r="I3" s="23" t="n">
        <f aca="false">IF(OR(G3="",H3=""),"",G3*H3)</f>
        <v>12836761.2</v>
      </c>
      <c r="J3" s="23"/>
      <c r="K3" s="24"/>
      <c r="L3" s="23" t="str">
        <f aca="false">IF(OR(J3="",K3=""),"",J3*K3)</f>
        <v/>
      </c>
      <c r="M3" s="25" t="n">
        <f aca="false">SUM(D3,G3,J3)</f>
        <v>32146</v>
      </c>
      <c r="N3" s="26" t="n">
        <f aca="false">IF(M3=0,"",O3/M3)</f>
        <v>512.273049835127</v>
      </c>
      <c r="O3" s="27" t="n">
        <f aca="false">SUM(F3,I3,L3)</f>
        <v>16467529.46</v>
      </c>
    </row>
    <row r="4" customFormat="false" ht="23.25" hidden="false" customHeight="true" outlineLevel="0" collapsed="false">
      <c r="A4" s="22" t="s">
        <v>32</v>
      </c>
      <c r="B4" s="21" t="s">
        <v>87</v>
      </c>
      <c r="C4" s="22" t="s">
        <v>88</v>
      </c>
      <c r="D4" s="23" t="n">
        <v>9493</v>
      </c>
      <c r="E4" s="24" t="n">
        <v>563.4</v>
      </c>
      <c r="F4" s="23" t="n">
        <f aca="false">IF(OR(D4="",E4=""),"",D4*E4)</f>
        <v>5348356.2</v>
      </c>
      <c r="G4" s="23"/>
      <c r="H4" s="24"/>
      <c r="I4" s="23" t="str">
        <f aca="false">IF(OR(G4="",H4=""),"",G4*H4)</f>
        <v/>
      </c>
      <c r="J4" s="23"/>
      <c r="K4" s="24"/>
      <c r="L4" s="23" t="str">
        <f aca="false">IF(OR(J4="",K4=""),"",J4*K4)</f>
        <v/>
      </c>
      <c r="M4" s="25" t="n">
        <f aca="false">SUM(D4,G4,J4)</f>
        <v>9493</v>
      </c>
      <c r="N4" s="26" t="n">
        <f aca="false">IF(M4=0,"",O4/M4)</f>
        <v>563.4</v>
      </c>
      <c r="O4" s="27" t="n">
        <f aca="false">SUM(F4,I4,L4)</f>
        <v>5348356.2</v>
      </c>
    </row>
    <row r="5" customFormat="false" ht="23.25" hidden="false" customHeight="true" outlineLevel="0" collapsed="false">
      <c r="A5" s="22" t="s">
        <v>44</v>
      </c>
      <c r="B5" s="21" t="s">
        <v>222</v>
      </c>
      <c r="C5" s="22" t="s">
        <v>223</v>
      </c>
      <c r="D5" s="23" t="n">
        <v>7279</v>
      </c>
      <c r="E5" s="24" t="n">
        <v>397.13</v>
      </c>
      <c r="F5" s="23" t="n">
        <f aca="false">IF(OR(D5="",E5=""),"",D5*E5)</f>
        <v>2890709.27</v>
      </c>
      <c r="G5" s="23"/>
      <c r="H5" s="24"/>
      <c r="I5" s="23" t="str">
        <f aca="false">IF(OR(G5="",H5=""),"",G5*H5)</f>
        <v/>
      </c>
      <c r="J5" s="23"/>
      <c r="K5" s="24"/>
      <c r="L5" s="23" t="str">
        <f aca="false">IF(OR(J5="",K5=""),"",J5*K5)</f>
        <v/>
      </c>
      <c r="M5" s="25" t="n">
        <f aca="false">SUM(D5,G5,J5)</f>
        <v>7279</v>
      </c>
      <c r="N5" s="26" t="n">
        <f aca="false">IF(M5=0,"",O5/M5)</f>
        <v>397.13</v>
      </c>
      <c r="O5" s="27" t="n">
        <f aca="false">SUM(F5,I5,L5)</f>
        <v>2890709.27</v>
      </c>
    </row>
    <row r="6" customFormat="false" ht="23.25" hidden="false" customHeight="true" outlineLevel="0" collapsed="false">
      <c r="A6" s="22" t="s">
        <v>36</v>
      </c>
      <c r="B6" s="21" t="s">
        <v>123</v>
      </c>
      <c r="C6" s="22" t="s">
        <v>124</v>
      </c>
      <c r="D6" s="23" t="n">
        <v>6179</v>
      </c>
      <c r="E6" s="24" t="n">
        <v>382.54</v>
      </c>
      <c r="F6" s="23" t="n">
        <f aca="false">IF(OR(D6="",E6=""),"",D6*E6)</f>
        <v>2363714.66</v>
      </c>
      <c r="G6" s="23"/>
      <c r="H6" s="24"/>
      <c r="I6" s="23" t="str">
        <f aca="false">IF(OR(G6="",H6=""),"",G6*H6)</f>
        <v/>
      </c>
      <c r="J6" s="23"/>
      <c r="K6" s="24"/>
      <c r="L6" s="23" t="str">
        <f aca="false">IF(OR(J6="",K6=""),"",J6*K6)</f>
        <v/>
      </c>
      <c r="M6" s="25" t="n">
        <f aca="false">SUM(D6,G6,J6)</f>
        <v>6179</v>
      </c>
      <c r="N6" s="26" t="n">
        <f aca="false">IF(M6=0,"",O6/M6)</f>
        <v>382.54</v>
      </c>
      <c r="O6" s="27" t="n">
        <f aca="false">SUM(F6,I6,L6)</f>
        <v>2363714.66</v>
      </c>
    </row>
    <row r="7" customFormat="false" ht="23.25" hidden="false" customHeight="true" outlineLevel="0" collapsed="false">
      <c r="A7" s="22" t="s">
        <v>32</v>
      </c>
      <c r="B7" s="21" t="s">
        <v>89</v>
      </c>
      <c r="C7" s="22" t="s">
        <v>90</v>
      </c>
      <c r="D7" s="23" t="n">
        <v>3112</v>
      </c>
      <c r="E7" s="24" t="n">
        <v>585.31</v>
      </c>
      <c r="F7" s="23" t="n">
        <f aca="false">IF(OR(D7="",E7=""),"",D7*E7)</f>
        <v>1821484.72</v>
      </c>
      <c r="G7" s="23"/>
      <c r="H7" s="24"/>
      <c r="I7" s="23" t="str">
        <f aca="false">IF(OR(G7="",H7=""),"",G7*H7)</f>
        <v/>
      </c>
      <c r="J7" s="23"/>
      <c r="K7" s="24"/>
      <c r="L7" s="23" t="str">
        <f aca="false">IF(OR(J7="",K7=""),"",J7*K7)</f>
        <v/>
      </c>
      <c r="M7" s="25" t="n">
        <f aca="false">SUM(D7,G7,J7)</f>
        <v>3112</v>
      </c>
      <c r="N7" s="26" t="n">
        <f aca="false">IF(M7=0,"",O7/M7)</f>
        <v>585.31</v>
      </c>
      <c r="O7" s="27" t="n">
        <f aca="false">SUM(F7,I7,L7)</f>
        <v>1821484.72</v>
      </c>
    </row>
    <row r="8" customFormat="false" ht="23.25" hidden="false" customHeight="true" outlineLevel="0" collapsed="false">
      <c r="A8" s="22" t="s">
        <v>40</v>
      </c>
      <c r="B8" s="21" t="s">
        <v>174</v>
      </c>
      <c r="C8" s="22" t="s">
        <v>175</v>
      </c>
      <c r="D8" s="23" t="n">
        <v>7463</v>
      </c>
      <c r="E8" s="24" t="n">
        <v>222.5</v>
      </c>
      <c r="F8" s="23" t="n">
        <f aca="false">IF(OR(D8="",E8=""),"",D8*E8)</f>
        <v>1660517.5</v>
      </c>
      <c r="G8" s="23"/>
      <c r="H8" s="24"/>
      <c r="I8" s="23" t="str">
        <f aca="false">IF(OR(G8="",H8=""),"",G8*H8)</f>
        <v/>
      </c>
      <c r="J8" s="23"/>
      <c r="K8" s="24"/>
      <c r="L8" s="23" t="str">
        <f aca="false">IF(OR(J8="",K8=""),"",J8*K8)</f>
        <v/>
      </c>
      <c r="M8" s="25" t="n">
        <f aca="false">SUM(D8,G8,J8)</f>
        <v>7463</v>
      </c>
      <c r="N8" s="26" t="n">
        <f aca="false">IF(M8=0,"",O8/M8)</f>
        <v>222.5</v>
      </c>
      <c r="O8" s="27" t="n">
        <f aca="false">SUM(F8,I8,L8)</f>
        <v>1660517.5</v>
      </c>
    </row>
    <row r="9" customFormat="false" ht="23.25" hidden="false" customHeight="true" outlineLevel="0" collapsed="false">
      <c r="A9" s="22" t="s">
        <v>36</v>
      </c>
      <c r="B9" s="21" t="s">
        <v>125</v>
      </c>
      <c r="C9" s="22" t="s">
        <v>126</v>
      </c>
      <c r="D9" s="23" t="n">
        <v>3493</v>
      </c>
      <c r="E9" s="24" t="n">
        <v>436.39</v>
      </c>
      <c r="F9" s="23" t="n">
        <f aca="false">IF(OR(D9="",E9=""),"",D9*E9)</f>
        <v>1524310.27</v>
      </c>
      <c r="G9" s="23"/>
      <c r="H9" s="24"/>
      <c r="I9" s="23" t="str">
        <f aca="false">IF(OR(G9="",H9=""),"",G9*H9)</f>
        <v/>
      </c>
      <c r="J9" s="23"/>
      <c r="K9" s="24"/>
      <c r="L9" s="23" t="str">
        <f aca="false">IF(OR(J9="",K9=""),"",J9*K9)</f>
        <v/>
      </c>
      <c r="M9" s="25" t="n">
        <f aca="false">SUM(D9,G9,J9)</f>
        <v>3493</v>
      </c>
      <c r="N9" s="26" t="n">
        <f aca="false">IF(M9=0,"",O9/M9)</f>
        <v>436.39</v>
      </c>
      <c r="O9" s="27" t="n">
        <f aca="false">SUM(F9,I9,L9)</f>
        <v>1524310.27</v>
      </c>
    </row>
    <row r="10" customFormat="false" ht="23.25" hidden="false" customHeight="true" outlineLevel="0" collapsed="false">
      <c r="A10" s="22" t="s">
        <v>51</v>
      </c>
      <c r="B10" s="21" t="s">
        <v>259</v>
      </c>
      <c r="C10" s="22" t="s">
        <v>260</v>
      </c>
      <c r="D10" s="23" t="n">
        <v>1009</v>
      </c>
      <c r="E10" s="24" t="n">
        <v>1469.55</v>
      </c>
      <c r="F10" s="23" t="n">
        <f aca="false">IF(OR(D10="",E10=""),"",D10*E10)</f>
        <v>1482775.95</v>
      </c>
      <c r="G10" s="23"/>
      <c r="H10" s="24"/>
      <c r="I10" s="23" t="str">
        <f aca="false">IF(OR(G10="",H10=""),"",G10*H10)</f>
        <v/>
      </c>
      <c r="J10" s="23"/>
      <c r="K10" s="24"/>
      <c r="L10" s="23" t="str">
        <f aca="false">IF(OR(J10="",K10=""),"",J10*K10)</f>
        <v/>
      </c>
      <c r="M10" s="25" t="n">
        <f aca="false">SUM(D10,G10,J10)</f>
        <v>1009</v>
      </c>
      <c r="N10" s="26" t="n">
        <f aca="false">IF(M10=0,"",O10/M10)</f>
        <v>1469.55</v>
      </c>
      <c r="O10" s="27" t="n">
        <f aca="false">SUM(F10,I10,L10)</f>
        <v>1482775.95</v>
      </c>
    </row>
    <row r="11" customFormat="false" ht="23.25" hidden="false" customHeight="true" outlineLevel="0" collapsed="false">
      <c r="A11" s="22" t="s">
        <v>36</v>
      </c>
      <c r="B11" s="21" t="s">
        <v>127</v>
      </c>
      <c r="C11" s="22" t="s">
        <v>128</v>
      </c>
      <c r="D11" s="23" t="n">
        <v>3239</v>
      </c>
      <c r="E11" s="24" t="n">
        <v>436.39</v>
      </c>
      <c r="F11" s="23" t="n">
        <f aca="false">IF(OR(D11="",E11=""),"",D11*E11)</f>
        <v>1413467.21</v>
      </c>
      <c r="G11" s="23"/>
      <c r="H11" s="24"/>
      <c r="I11" s="23" t="str">
        <f aca="false">IF(OR(G11="",H11=""),"",G11*H11)</f>
        <v/>
      </c>
      <c r="J11" s="23"/>
      <c r="K11" s="24"/>
      <c r="L11" s="23" t="str">
        <f aca="false">IF(OR(J11="",K11=""),"",J11*K11)</f>
        <v/>
      </c>
      <c r="M11" s="25" t="n">
        <f aca="false">SUM(D11,G11,J11)</f>
        <v>3239</v>
      </c>
      <c r="N11" s="26" t="n">
        <f aca="false">IF(M11=0,"",O11/M11)</f>
        <v>436.39</v>
      </c>
      <c r="O11" s="27" t="n">
        <f aca="false">SUM(F11,I11,L11)</f>
        <v>1413467.21</v>
      </c>
    </row>
    <row r="12" customFormat="false" ht="23.25" hidden="false" customHeight="true" outlineLevel="0" collapsed="false">
      <c r="A12" s="22" t="s">
        <v>38</v>
      </c>
      <c r="B12" s="21" t="s">
        <v>161</v>
      </c>
      <c r="C12" s="22" t="s">
        <v>162</v>
      </c>
      <c r="D12" s="23" t="n">
        <v>1355</v>
      </c>
      <c r="E12" s="24" t="n">
        <v>989.76</v>
      </c>
      <c r="F12" s="23" t="n">
        <f aca="false">IF(OR(D12="",E12=""),"",D12*E12)</f>
        <v>1341124.8</v>
      </c>
      <c r="G12" s="23"/>
      <c r="H12" s="24"/>
      <c r="I12" s="23" t="str">
        <f aca="false">IF(OR(G12="",H12=""),"",G12*H12)</f>
        <v/>
      </c>
      <c r="J12" s="23"/>
      <c r="K12" s="24"/>
      <c r="L12" s="23" t="str">
        <f aca="false">IF(OR(J12="",K12=""),"",J12*K12)</f>
        <v/>
      </c>
      <c r="M12" s="25" t="n">
        <f aca="false">SUM(D12,G12,J12)</f>
        <v>1355</v>
      </c>
      <c r="N12" s="26" t="n">
        <f aca="false">IF(M12=0,"",O12/M12)</f>
        <v>989.76</v>
      </c>
      <c r="O12" s="27" t="n">
        <f aca="false">SUM(F12,I12,L12)</f>
        <v>1341124.8</v>
      </c>
    </row>
    <row r="13" customFormat="false" ht="23.25" hidden="false" customHeight="true" outlineLevel="0" collapsed="false">
      <c r="A13" s="22" t="s">
        <v>47</v>
      </c>
      <c r="B13" s="21" t="s">
        <v>228</v>
      </c>
      <c r="C13" s="22" t="s">
        <v>229</v>
      </c>
      <c r="D13" s="23" t="n">
        <v>7340</v>
      </c>
      <c r="E13" s="24" t="n">
        <v>177.43</v>
      </c>
      <c r="F13" s="23" t="n">
        <f aca="false">IF(OR(D13="",E13=""),"",D13*E13)</f>
        <v>1302336.2</v>
      </c>
      <c r="G13" s="23"/>
      <c r="H13" s="24"/>
      <c r="I13" s="23" t="str">
        <f aca="false">IF(OR(G13="",H13=""),"",G13*H13)</f>
        <v/>
      </c>
      <c r="J13" s="23"/>
      <c r="K13" s="24"/>
      <c r="L13" s="23" t="str">
        <f aca="false">IF(OR(J13="",K13=""),"",J13*K13)</f>
        <v/>
      </c>
      <c r="M13" s="25" t="n">
        <f aca="false">SUM(D13,G13,J13)</f>
        <v>7340</v>
      </c>
      <c r="N13" s="26" t="n">
        <f aca="false">IF(M13=0,"",O13/M13)</f>
        <v>177.43</v>
      </c>
      <c r="O13" s="27" t="n">
        <f aca="false">SUM(F13,I13,L13)</f>
        <v>1302336.2</v>
      </c>
    </row>
    <row r="14" customFormat="false" ht="23.25" hidden="false" customHeight="true" outlineLevel="0" collapsed="false">
      <c r="A14" s="22" t="s">
        <v>32</v>
      </c>
      <c r="B14" s="21" t="s">
        <v>93</v>
      </c>
      <c r="C14" s="22" t="s">
        <v>94</v>
      </c>
      <c r="D14" s="23" t="n">
        <v>1500</v>
      </c>
      <c r="E14" s="24" t="n">
        <v>778.67</v>
      </c>
      <c r="F14" s="23" t="n">
        <f aca="false">IF(OR(D14="",E14=""),"",D14*E14)</f>
        <v>1168005</v>
      </c>
      <c r="G14" s="23"/>
      <c r="H14" s="24"/>
      <c r="I14" s="23" t="str">
        <f aca="false">IF(OR(G14="",H14=""),"",G14*H14)</f>
        <v/>
      </c>
      <c r="J14" s="23"/>
      <c r="K14" s="24"/>
      <c r="L14" s="23" t="str">
        <f aca="false">IF(OR(J14="",K14=""),"",J14*K14)</f>
        <v/>
      </c>
      <c r="M14" s="25" t="n">
        <f aca="false">SUM(D14,G14,J14)</f>
        <v>1500</v>
      </c>
      <c r="N14" s="26" t="n">
        <f aca="false">IF(M14=0,"",O14/M14)</f>
        <v>778.67</v>
      </c>
      <c r="O14" s="27" t="n">
        <f aca="false">SUM(F14,I14,L14)</f>
        <v>1168005</v>
      </c>
    </row>
    <row r="15" customFormat="false" ht="23.25" hidden="false" customHeight="true" outlineLevel="0" collapsed="false">
      <c r="A15" s="22" t="s">
        <v>32</v>
      </c>
      <c r="B15" s="21" t="s">
        <v>91</v>
      </c>
      <c r="C15" s="22" t="s">
        <v>92</v>
      </c>
      <c r="D15" s="23" t="n">
        <v>1375</v>
      </c>
      <c r="E15" s="24" t="n">
        <v>611.8</v>
      </c>
      <c r="F15" s="23" t="n">
        <f aca="false">IF(OR(D15="",E15=""),"",D15*E15)</f>
        <v>841225</v>
      </c>
      <c r="G15" s="23" t="n">
        <v>576</v>
      </c>
      <c r="H15" s="24" t="n">
        <v>525.43</v>
      </c>
      <c r="I15" s="23" t="n">
        <f aca="false">IF(OR(G15="",H15=""),"",G15*H15)</f>
        <v>302647.68</v>
      </c>
      <c r="J15" s="23"/>
      <c r="K15" s="24"/>
      <c r="L15" s="23" t="str">
        <f aca="false">IF(OR(J15="",K15=""),"",J15*K15)</f>
        <v/>
      </c>
      <c r="M15" s="25" t="n">
        <f aca="false">SUM(D15,G15,J15)</f>
        <v>1951</v>
      </c>
      <c r="N15" s="26" t="n">
        <f aca="false">IF(M15=0,"",O15/M15)</f>
        <v>586.300707329575</v>
      </c>
      <c r="O15" s="27" t="n">
        <f aca="false">SUM(F15,I15,L15)</f>
        <v>1143872.68</v>
      </c>
    </row>
    <row r="16" customFormat="false" ht="23.25" hidden="false" customHeight="true" outlineLevel="0" collapsed="false">
      <c r="A16" s="22" t="s">
        <v>36</v>
      </c>
      <c r="B16" s="21" t="s">
        <v>129</v>
      </c>
      <c r="C16" s="22" t="s">
        <v>130</v>
      </c>
      <c r="D16" s="23" t="n">
        <v>2435</v>
      </c>
      <c r="E16" s="24" t="n">
        <v>440.84</v>
      </c>
      <c r="F16" s="23" t="n">
        <f aca="false">IF(OR(D16="",E16=""),"",D16*E16)</f>
        <v>1073445.4</v>
      </c>
      <c r="G16" s="23"/>
      <c r="H16" s="24"/>
      <c r="I16" s="23" t="str">
        <f aca="false">IF(OR(G16="",H16=""),"",G16*H16)</f>
        <v/>
      </c>
      <c r="J16" s="23"/>
      <c r="K16" s="24"/>
      <c r="L16" s="23" t="str">
        <f aca="false">IF(OR(J16="",K16=""),"",J16*K16)</f>
        <v/>
      </c>
      <c r="M16" s="25" t="n">
        <f aca="false">SUM(D16,G16,J16)</f>
        <v>2435</v>
      </c>
      <c r="N16" s="26" t="n">
        <f aca="false">IF(M16=0,"",O16/M16)</f>
        <v>440.84</v>
      </c>
      <c r="O16" s="27" t="n">
        <f aca="false">SUM(F16,I16,L16)</f>
        <v>1073445.4</v>
      </c>
    </row>
    <row r="17" customFormat="false" ht="23.25" hidden="false" customHeight="true" outlineLevel="0" collapsed="false">
      <c r="A17" s="22" t="s">
        <v>49</v>
      </c>
      <c r="B17" s="21" t="s">
        <v>297</v>
      </c>
      <c r="C17" s="22" t="s">
        <v>298</v>
      </c>
      <c r="D17" s="23" t="n">
        <v>30</v>
      </c>
      <c r="E17" s="24" t="n">
        <v>404.68</v>
      </c>
      <c r="F17" s="23" t="n">
        <f aca="false">IF(OR(D17="",E17=""),"",D17*E17)</f>
        <v>12140.4</v>
      </c>
      <c r="G17" s="23" t="n">
        <v>1500</v>
      </c>
      <c r="H17" s="24" t="n">
        <v>668.13</v>
      </c>
      <c r="I17" s="23" t="n">
        <f aca="false">IF(OR(G17="",H17=""),"",G17*H17)</f>
        <v>1002195</v>
      </c>
      <c r="J17" s="23"/>
      <c r="K17" s="24"/>
      <c r="L17" s="23" t="str">
        <f aca="false">IF(OR(J17="",K17=""),"",J17*K17)</f>
        <v/>
      </c>
      <c r="M17" s="25" t="n">
        <f aca="false">SUM(D17,G17,J17)</f>
        <v>1530</v>
      </c>
      <c r="N17" s="26" t="n">
        <f aca="false">IF(M17=0,"",O17/M17)</f>
        <v>662.96431372549</v>
      </c>
      <c r="O17" s="27" t="n">
        <f aca="false">SUM(F17,I17,L17)</f>
        <v>1014335.4</v>
      </c>
    </row>
    <row r="18" customFormat="false" ht="15" hidden="false" customHeight="true" outlineLevel="0" collapsed="false">
      <c r="A18" s="22" t="s">
        <v>46</v>
      </c>
      <c r="B18" s="21" t="s">
        <v>311</v>
      </c>
      <c r="C18" s="22"/>
      <c r="D18" s="23"/>
      <c r="E18" s="24"/>
      <c r="F18" s="23" t="str">
        <f aca="false">IF(OR(D18="",E18=""),"",D18*E18)</f>
        <v/>
      </c>
      <c r="G18" s="23" t="n">
        <v>1530</v>
      </c>
      <c r="H18" s="24" t="n">
        <v>527.9</v>
      </c>
      <c r="I18" s="23" t="n">
        <f aca="false">IF(OR(G18="",H18=""),"",G18*H18)</f>
        <v>807687</v>
      </c>
      <c r="J18" s="23"/>
      <c r="K18" s="24"/>
      <c r="L18" s="23" t="str">
        <f aca="false">IF(OR(J18="",K18=""),"",J18*K18)</f>
        <v/>
      </c>
      <c r="M18" s="25" t="n">
        <f aca="false">SUM(D18,G18,J18)</f>
        <v>1530</v>
      </c>
      <c r="N18" s="26" t="n">
        <f aca="false">IF(M18=0,"",O18/M18)</f>
        <v>527.9</v>
      </c>
      <c r="O18" s="27" t="n">
        <f aca="false">SUM(F18,I18,L18)</f>
        <v>807687</v>
      </c>
    </row>
    <row r="19" customFormat="false" ht="23.25" hidden="false" customHeight="true" outlineLevel="0" collapsed="false">
      <c r="A19" s="22" t="s">
        <v>34</v>
      </c>
      <c r="B19" s="21" t="s">
        <v>145</v>
      </c>
      <c r="C19" s="22" t="s">
        <v>146</v>
      </c>
      <c r="D19" s="23" t="n">
        <v>1422</v>
      </c>
      <c r="E19" s="24" t="n">
        <v>563.55</v>
      </c>
      <c r="F19" s="23" t="n">
        <f aca="false">IF(OR(D19="",E19=""),"",D19*E19)</f>
        <v>801368.1</v>
      </c>
      <c r="G19" s="23"/>
      <c r="H19" s="24"/>
      <c r="I19" s="23" t="str">
        <f aca="false">IF(OR(G19="",H19=""),"",G19*H19)</f>
        <v/>
      </c>
      <c r="J19" s="23"/>
      <c r="K19" s="24"/>
      <c r="L19" s="23" t="str">
        <f aca="false">IF(OR(J19="",K19=""),"",J19*K19)</f>
        <v/>
      </c>
      <c r="M19" s="25" t="n">
        <f aca="false">SUM(D19,G19,J19)</f>
        <v>1422</v>
      </c>
      <c r="N19" s="26" t="n">
        <f aca="false">IF(M19=0,"",O19/M19)</f>
        <v>563.55</v>
      </c>
      <c r="O19" s="27" t="n">
        <f aca="false">SUM(F19,I19,L19)</f>
        <v>801368.1</v>
      </c>
    </row>
    <row r="20" customFormat="false" ht="15" hidden="false" customHeight="true" outlineLevel="0" collapsed="false">
      <c r="A20" s="22" t="s">
        <v>32</v>
      </c>
      <c r="B20" s="21" t="s">
        <v>98</v>
      </c>
      <c r="C20" s="22"/>
      <c r="D20" s="23"/>
      <c r="E20" s="24"/>
      <c r="F20" s="23" t="str">
        <f aca="false">IF(OR(D20="",E20=""),"",D20*E20)</f>
        <v/>
      </c>
      <c r="G20" s="23" t="n">
        <v>1200</v>
      </c>
      <c r="H20" s="24" t="n">
        <v>666.48</v>
      </c>
      <c r="I20" s="23" t="n">
        <f aca="false">IF(OR(G20="",H20=""),"",G20*H20)</f>
        <v>799776</v>
      </c>
      <c r="J20" s="23"/>
      <c r="K20" s="24"/>
      <c r="L20" s="23" t="str">
        <f aca="false">IF(OR(J20="",K20=""),"",J20*K20)</f>
        <v/>
      </c>
      <c r="M20" s="25" t="n">
        <f aca="false">SUM(D20,G20,J20)</f>
        <v>1200</v>
      </c>
      <c r="N20" s="26" t="n">
        <f aca="false">IF(M20=0,"",O20/M20)</f>
        <v>666.48</v>
      </c>
      <c r="O20" s="27" t="n">
        <f aca="false">SUM(F20,I20,L20)</f>
        <v>799776</v>
      </c>
    </row>
    <row r="21" customFormat="false" ht="23.25" hidden="false" customHeight="true" outlineLevel="0" collapsed="false">
      <c r="A21" s="22" t="s">
        <v>56</v>
      </c>
      <c r="B21" s="21" t="s">
        <v>267</v>
      </c>
      <c r="C21" s="22" t="s">
        <v>268</v>
      </c>
      <c r="D21" s="23" t="n">
        <v>941</v>
      </c>
      <c r="E21" s="24" t="n">
        <v>847.53</v>
      </c>
      <c r="F21" s="23" t="n">
        <f aca="false">IF(OR(D21="",E21=""),"",D21*E21)</f>
        <v>797525.73</v>
      </c>
      <c r="G21" s="23"/>
      <c r="H21" s="24"/>
      <c r="I21" s="23" t="str">
        <f aca="false">IF(OR(G21="",H21=""),"",G21*H21)</f>
        <v/>
      </c>
      <c r="J21" s="23"/>
      <c r="K21" s="24"/>
      <c r="L21" s="23" t="str">
        <f aca="false">IF(OR(J21="",K21=""),"",J21*K21)</f>
        <v/>
      </c>
      <c r="M21" s="25" t="n">
        <f aca="false">SUM(D21,G21,J21)</f>
        <v>941</v>
      </c>
      <c r="N21" s="26" t="n">
        <f aca="false">IF(M21=0,"",O21/M21)</f>
        <v>847.53</v>
      </c>
      <c r="O21" s="27" t="n">
        <f aca="false">SUM(F21,I21,L21)</f>
        <v>797525.73</v>
      </c>
    </row>
    <row r="22" customFormat="false" ht="15" hidden="false" customHeight="true" outlineLevel="0" collapsed="false">
      <c r="A22" s="22" t="s">
        <v>49</v>
      </c>
      <c r="B22" s="21" t="s">
        <v>299</v>
      </c>
      <c r="C22" s="22"/>
      <c r="D22" s="23"/>
      <c r="E22" s="24"/>
      <c r="F22" s="23" t="str">
        <f aca="false">IF(OR(D22="",E22=""),"",D22*E22)</f>
        <v/>
      </c>
      <c r="G22" s="23" t="n">
        <v>920</v>
      </c>
      <c r="H22" s="24" t="n">
        <v>849.6</v>
      </c>
      <c r="I22" s="23" t="n">
        <f aca="false">IF(OR(G22="",H22=""),"",G22*H22)</f>
        <v>781632</v>
      </c>
      <c r="J22" s="23"/>
      <c r="K22" s="24"/>
      <c r="L22" s="23" t="str">
        <f aca="false">IF(OR(J22="",K22=""),"",J22*K22)</f>
        <v/>
      </c>
      <c r="M22" s="25" t="n">
        <f aca="false">SUM(D22,G22,J22)</f>
        <v>920</v>
      </c>
      <c r="N22" s="26" t="n">
        <f aca="false">IF(M22=0,"",O22/M22)</f>
        <v>849.6</v>
      </c>
      <c r="O22" s="27" t="n">
        <f aca="false">SUM(F22,I22,L22)</f>
        <v>781632</v>
      </c>
    </row>
    <row r="23" customFormat="false" ht="23.25" hidden="false" customHeight="true" outlineLevel="0" collapsed="false">
      <c r="A23" s="22" t="s">
        <v>49</v>
      </c>
      <c r="B23" s="21" t="s">
        <v>300</v>
      </c>
      <c r="C23" s="22"/>
      <c r="D23" s="23"/>
      <c r="E23" s="24"/>
      <c r="F23" s="23" t="str">
        <f aca="false">IF(OR(D23="",E23=""),"",D23*E23)</f>
        <v/>
      </c>
      <c r="G23" s="23" t="n">
        <v>900</v>
      </c>
      <c r="H23" s="24" t="n">
        <v>857.84</v>
      </c>
      <c r="I23" s="23" t="n">
        <f aca="false">IF(OR(G23="",H23=""),"",G23*H23)</f>
        <v>772056</v>
      </c>
      <c r="J23" s="23"/>
      <c r="K23" s="24"/>
      <c r="L23" s="23" t="str">
        <f aca="false">IF(OR(J23="",K23=""),"",J23*K23)</f>
        <v/>
      </c>
      <c r="M23" s="25" t="n">
        <f aca="false">SUM(D23,G23,J23)</f>
        <v>900</v>
      </c>
      <c r="N23" s="26" t="n">
        <f aca="false">IF(M23=0,"",O23/M23)</f>
        <v>857.84</v>
      </c>
      <c r="O23" s="27" t="n">
        <f aca="false">SUM(F23,I23,L23)</f>
        <v>772056</v>
      </c>
    </row>
    <row r="24" customFormat="false" ht="23.25" hidden="false" customHeight="true" outlineLevel="0" collapsed="false">
      <c r="A24" s="22" t="s">
        <v>34</v>
      </c>
      <c r="B24" s="21" t="s">
        <v>147</v>
      </c>
      <c r="C24" s="22" t="s">
        <v>148</v>
      </c>
      <c r="D24" s="23" t="n">
        <v>966</v>
      </c>
      <c r="E24" s="24" t="n">
        <v>533.42</v>
      </c>
      <c r="F24" s="23" t="n">
        <f aca="false">IF(OR(D24="",E24=""),"",D24*E24)</f>
        <v>515283.72</v>
      </c>
      <c r="G24" s="23" t="n">
        <v>360</v>
      </c>
      <c r="H24" s="24" t="n">
        <v>624.82</v>
      </c>
      <c r="I24" s="23" t="n">
        <f aca="false">IF(OR(G24="",H24=""),"",G24*H24)</f>
        <v>224935.2</v>
      </c>
      <c r="J24" s="23"/>
      <c r="K24" s="24"/>
      <c r="L24" s="23" t="str">
        <f aca="false">IF(OR(J24="",K24=""),"",J24*K24)</f>
        <v/>
      </c>
      <c r="M24" s="25" t="n">
        <f aca="false">SUM(D24,G24,J24)</f>
        <v>1326</v>
      </c>
      <c r="N24" s="26" t="n">
        <f aca="false">IF(M24=0,"",O24/M24)</f>
        <v>558.234479638009</v>
      </c>
      <c r="O24" s="27" t="n">
        <f aca="false">SUM(F24,I24,L24)</f>
        <v>740218.92</v>
      </c>
    </row>
    <row r="25" customFormat="false" ht="23.25" hidden="false" customHeight="true" outlineLevel="0" collapsed="false">
      <c r="A25" s="22" t="s">
        <v>32</v>
      </c>
      <c r="B25" s="21" t="s">
        <v>97</v>
      </c>
      <c r="C25" s="22"/>
      <c r="D25" s="23"/>
      <c r="E25" s="24"/>
      <c r="F25" s="23" t="str">
        <f aca="false">IF(OR(D25="",E25=""),"",D25*E25)</f>
        <v/>
      </c>
      <c r="G25" s="23" t="n">
        <v>1200</v>
      </c>
      <c r="H25" s="24" t="n">
        <v>606.26</v>
      </c>
      <c r="I25" s="23" t="n">
        <f aca="false">IF(OR(G25="",H25=""),"",G25*H25)</f>
        <v>727512</v>
      </c>
      <c r="J25" s="23"/>
      <c r="K25" s="24"/>
      <c r="L25" s="23" t="str">
        <f aca="false">IF(OR(J25="",K25=""),"",J25*K25)</f>
        <v/>
      </c>
      <c r="M25" s="25" t="n">
        <f aca="false">SUM(D25,G25,J25)</f>
        <v>1200</v>
      </c>
      <c r="N25" s="26" t="n">
        <f aca="false">IF(M25=0,"",O25/M25)</f>
        <v>606.26</v>
      </c>
      <c r="O25" s="27" t="n">
        <f aca="false">SUM(F25,I25,L25)</f>
        <v>727512</v>
      </c>
    </row>
    <row r="26" customFormat="false" ht="23.25" hidden="false" customHeight="true" outlineLevel="0" collapsed="false">
      <c r="A26" s="22" t="s">
        <v>32</v>
      </c>
      <c r="B26" s="21" t="s">
        <v>100</v>
      </c>
      <c r="C26" s="22"/>
      <c r="D26" s="23"/>
      <c r="E26" s="24"/>
      <c r="F26" s="23" t="str">
        <f aca="false">IF(OR(D26="",E26=""),"",D26*E26)</f>
        <v/>
      </c>
      <c r="G26" s="23" t="n">
        <v>864</v>
      </c>
      <c r="H26" s="24" t="n">
        <v>819.08</v>
      </c>
      <c r="I26" s="23" t="n">
        <f aca="false">IF(OR(G26="",H26=""),"",G26*H26)</f>
        <v>707685.12</v>
      </c>
      <c r="J26" s="23"/>
      <c r="K26" s="24"/>
      <c r="L26" s="23" t="str">
        <f aca="false">IF(OR(J26="",K26=""),"",J26*K26)</f>
        <v/>
      </c>
      <c r="M26" s="25" t="n">
        <f aca="false">SUM(D26,G26,J26)</f>
        <v>864</v>
      </c>
      <c r="N26" s="26" t="n">
        <f aca="false">IF(M26=0,"",O26/M26)</f>
        <v>819.08</v>
      </c>
      <c r="O26" s="27" t="n">
        <f aca="false">SUM(F26,I26,L26)</f>
        <v>707685.12</v>
      </c>
    </row>
    <row r="27" customFormat="false" ht="15" hidden="false" customHeight="true" outlineLevel="0" collapsed="false">
      <c r="A27" s="22" t="s">
        <v>32</v>
      </c>
      <c r="B27" s="21" t="s">
        <v>99</v>
      </c>
      <c r="C27" s="22"/>
      <c r="D27" s="23"/>
      <c r="E27" s="24"/>
      <c r="F27" s="23" t="str">
        <f aca="false">IF(OR(D27="",E27=""),"",D27*E27)</f>
        <v/>
      </c>
      <c r="G27" s="23" t="n">
        <v>984</v>
      </c>
      <c r="H27" s="24" t="n">
        <v>705.25</v>
      </c>
      <c r="I27" s="23" t="n">
        <f aca="false">IF(OR(G27="",H27=""),"",G27*H27)</f>
        <v>693966</v>
      </c>
      <c r="J27" s="23"/>
      <c r="K27" s="24"/>
      <c r="L27" s="23" t="str">
        <f aca="false">IF(OR(J27="",K27=""),"",J27*K27)</f>
        <v/>
      </c>
      <c r="M27" s="25" t="n">
        <f aca="false">SUM(D27,G27,J27)</f>
        <v>984</v>
      </c>
      <c r="N27" s="26" t="n">
        <f aca="false">IF(M27=0,"",O27/M27)</f>
        <v>705.25</v>
      </c>
      <c r="O27" s="27" t="n">
        <f aca="false">SUM(F27,I27,L27)</f>
        <v>693966</v>
      </c>
    </row>
    <row r="28" customFormat="false" ht="23.25" hidden="false" customHeight="true" outlineLevel="0" collapsed="false">
      <c r="A28" s="22" t="s">
        <v>32</v>
      </c>
      <c r="B28" s="21" t="s">
        <v>101</v>
      </c>
      <c r="C28" s="22"/>
      <c r="D28" s="23"/>
      <c r="E28" s="24"/>
      <c r="F28" s="23" t="str">
        <f aca="false">IF(OR(D28="",E28=""),"",D28*E28)</f>
        <v/>
      </c>
      <c r="G28" s="23" t="n">
        <v>720</v>
      </c>
      <c r="H28" s="24" t="n">
        <v>951.88</v>
      </c>
      <c r="I28" s="23" t="n">
        <f aca="false">IF(OR(G28="",H28=""),"",G28*H28)</f>
        <v>685353.6</v>
      </c>
      <c r="J28" s="23"/>
      <c r="K28" s="24"/>
      <c r="L28" s="23" t="str">
        <f aca="false">IF(OR(J28="",K28=""),"",J28*K28)</f>
        <v/>
      </c>
      <c r="M28" s="25" t="n">
        <f aca="false">SUM(D28,G28,J28)</f>
        <v>720</v>
      </c>
      <c r="N28" s="26" t="n">
        <f aca="false">IF(M28=0,"",O28/M28)</f>
        <v>951.88</v>
      </c>
      <c r="O28" s="27" t="n">
        <f aca="false">SUM(F28,I28,L28)</f>
        <v>685353.6</v>
      </c>
    </row>
    <row r="29" customFormat="false" ht="23.25" hidden="false" customHeight="true" outlineLevel="0" collapsed="false">
      <c r="A29" s="22" t="s">
        <v>38</v>
      </c>
      <c r="B29" s="21" t="s">
        <v>170</v>
      </c>
      <c r="C29" s="22" t="s">
        <v>171</v>
      </c>
      <c r="D29" s="23" t="n">
        <v>614</v>
      </c>
      <c r="E29" s="24" t="n">
        <v>1096.42</v>
      </c>
      <c r="F29" s="23" t="n">
        <f aca="false">IF(OR(D29="",E29=""),"",D29*E29)</f>
        <v>673201.88</v>
      </c>
      <c r="G29" s="23"/>
      <c r="H29" s="24"/>
      <c r="I29" s="23" t="str">
        <f aca="false">IF(OR(G29="",H29=""),"",G29*H29)</f>
        <v/>
      </c>
      <c r="J29" s="23"/>
      <c r="K29" s="24"/>
      <c r="L29" s="23" t="str">
        <f aca="false">IF(OR(J29="",K29=""),"",J29*K29)</f>
        <v/>
      </c>
      <c r="M29" s="25" t="n">
        <f aca="false">SUM(D29,G29,J29)</f>
        <v>614</v>
      </c>
      <c r="N29" s="26" t="n">
        <f aca="false">IF(M29=0,"",O29/M29)</f>
        <v>1096.42</v>
      </c>
      <c r="O29" s="27" t="n">
        <f aca="false">SUM(F29,I29,L29)</f>
        <v>673201.88</v>
      </c>
    </row>
    <row r="30" customFormat="false" ht="15" hidden="false" customHeight="true" outlineLevel="0" collapsed="false">
      <c r="A30" s="22" t="s">
        <v>38</v>
      </c>
      <c r="B30" s="21" t="s">
        <v>163</v>
      </c>
      <c r="C30" s="22"/>
      <c r="D30" s="23"/>
      <c r="E30" s="24"/>
      <c r="F30" s="23" t="str">
        <f aca="false">IF(OR(D30="",E30=""),"",D30*E30)</f>
        <v/>
      </c>
      <c r="G30" s="23" t="n">
        <v>1200</v>
      </c>
      <c r="H30" s="24" t="n">
        <v>482.54</v>
      </c>
      <c r="I30" s="23" t="n">
        <f aca="false">IF(OR(G30="",H30=""),"",G30*H30)</f>
        <v>579048</v>
      </c>
      <c r="J30" s="23"/>
      <c r="K30" s="24"/>
      <c r="L30" s="23" t="str">
        <f aca="false">IF(OR(J30="",K30=""),"",J30*K30)</f>
        <v/>
      </c>
      <c r="M30" s="25" t="n">
        <f aca="false">SUM(D30,G30,J30)</f>
        <v>1200</v>
      </c>
      <c r="N30" s="26" t="n">
        <f aca="false">IF(M30=0,"",O30/M30)</f>
        <v>482.54</v>
      </c>
      <c r="O30" s="27" t="n">
        <f aca="false">SUM(F30,I30,L30)</f>
        <v>579048</v>
      </c>
    </row>
    <row r="31" customFormat="false" ht="23.25" hidden="false" customHeight="true" outlineLevel="0" collapsed="false">
      <c r="A31" s="22" t="s">
        <v>38</v>
      </c>
      <c r="B31" s="21" t="s">
        <v>164</v>
      </c>
      <c r="C31" s="22" t="s">
        <v>165</v>
      </c>
      <c r="D31" s="23" t="n">
        <v>759</v>
      </c>
      <c r="E31" s="24" t="n">
        <v>711.51</v>
      </c>
      <c r="F31" s="23" t="n">
        <f aca="false">IF(OR(D31="",E31=""),"",D31*E31)</f>
        <v>540036.09</v>
      </c>
      <c r="G31" s="23"/>
      <c r="H31" s="24"/>
      <c r="I31" s="23" t="str">
        <f aca="false">IF(OR(G31="",H31=""),"",G31*H31)</f>
        <v/>
      </c>
      <c r="J31" s="23"/>
      <c r="K31" s="24"/>
      <c r="L31" s="23" t="str">
        <f aca="false">IF(OR(J31="",K31=""),"",J31*K31)</f>
        <v/>
      </c>
      <c r="M31" s="25" t="n">
        <f aca="false">SUM(D31,G31,J31)</f>
        <v>759</v>
      </c>
      <c r="N31" s="26" t="n">
        <f aca="false">IF(M31=0,"",O31/M31)</f>
        <v>711.51</v>
      </c>
      <c r="O31" s="27" t="n">
        <f aca="false">SUM(F31,I31,L31)</f>
        <v>540036.09</v>
      </c>
    </row>
    <row r="32" customFormat="false" ht="23.25" hidden="false" customHeight="true" outlineLevel="0" collapsed="false">
      <c r="A32" s="22" t="s">
        <v>38</v>
      </c>
      <c r="B32" s="21" t="s">
        <v>166</v>
      </c>
      <c r="C32" s="22" t="s">
        <v>167</v>
      </c>
      <c r="D32" s="23" t="n">
        <v>650</v>
      </c>
      <c r="E32" s="24" t="n">
        <v>813.9</v>
      </c>
      <c r="F32" s="23" t="n">
        <f aca="false">IF(OR(D32="",E32=""),"",D32*E32)</f>
        <v>529035</v>
      </c>
      <c r="G32" s="23"/>
      <c r="H32" s="24"/>
      <c r="I32" s="23" t="str">
        <f aca="false">IF(OR(G32="",H32=""),"",G32*H32)</f>
        <v/>
      </c>
      <c r="J32" s="23"/>
      <c r="K32" s="24"/>
      <c r="L32" s="23" t="str">
        <f aca="false">IF(OR(J32="",K32=""),"",J32*K32)</f>
        <v/>
      </c>
      <c r="M32" s="25" t="n">
        <f aca="false">SUM(D32,G32,J32)</f>
        <v>650</v>
      </c>
      <c r="N32" s="26" t="n">
        <f aca="false">IF(M32=0,"",O32/M32)</f>
        <v>813.9</v>
      </c>
      <c r="O32" s="27" t="n">
        <f aca="false">SUM(F32,I32,L32)</f>
        <v>529035</v>
      </c>
    </row>
    <row r="33" customFormat="false" ht="23.25" hidden="false" customHeight="true" outlineLevel="0" collapsed="false">
      <c r="A33" s="22" t="s">
        <v>38</v>
      </c>
      <c r="B33" s="21" t="s">
        <v>168</v>
      </c>
      <c r="C33" s="22" t="s">
        <v>169</v>
      </c>
      <c r="D33" s="23" t="n">
        <v>624</v>
      </c>
      <c r="E33" s="24" t="n">
        <v>808.87</v>
      </c>
      <c r="F33" s="23" t="n">
        <f aca="false">IF(OR(D33="",E33=""),"",D33*E33)</f>
        <v>504734.88</v>
      </c>
      <c r="G33" s="23"/>
      <c r="H33" s="24"/>
      <c r="I33" s="23" t="str">
        <f aca="false">IF(OR(G33="",H33=""),"",G33*H33)</f>
        <v/>
      </c>
      <c r="J33" s="23"/>
      <c r="K33" s="24"/>
      <c r="L33" s="23" t="str">
        <f aca="false">IF(OR(J33="",K33=""),"",J33*K33)</f>
        <v/>
      </c>
      <c r="M33" s="25" t="n">
        <f aca="false">SUM(D33,G33,J33)</f>
        <v>624</v>
      </c>
      <c r="N33" s="26" t="n">
        <f aca="false">IF(M33=0,"",O33/M33)</f>
        <v>808.87</v>
      </c>
      <c r="O33" s="27" t="n">
        <f aca="false">SUM(F33,I33,L33)</f>
        <v>504734.88</v>
      </c>
    </row>
    <row r="34" customFormat="false" ht="15" hidden="false" customHeight="true" outlineLevel="0" collapsed="false">
      <c r="A34" s="22" t="s">
        <v>46</v>
      </c>
      <c r="B34" s="21" t="s">
        <v>312</v>
      </c>
      <c r="C34" s="22"/>
      <c r="D34" s="23"/>
      <c r="E34" s="24"/>
      <c r="F34" s="23" t="str">
        <f aca="false">IF(OR(D34="",E34=""),"",D34*E34)</f>
        <v/>
      </c>
      <c r="G34" s="23" t="n">
        <v>1053</v>
      </c>
      <c r="H34" s="24" t="n">
        <v>470.16</v>
      </c>
      <c r="I34" s="23" t="n">
        <f aca="false">IF(OR(G34="",H34=""),"",G34*H34)</f>
        <v>495078.48</v>
      </c>
      <c r="J34" s="23"/>
      <c r="K34" s="24"/>
      <c r="L34" s="23" t="str">
        <f aca="false">IF(OR(J34="",K34=""),"",J34*K34)</f>
        <v/>
      </c>
      <c r="M34" s="25" t="n">
        <f aca="false">SUM(D34,G34,J34)</f>
        <v>1053</v>
      </c>
      <c r="N34" s="26" t="n">
        <f aca="false">IF(M34=0,"",O34/M34)</f>
        <v>470.16</v>
      </c>
      <c r="O34" s="27" t="n">
        <f aca="false">SUM(F34,I34,L34)</f>
        <v>495078.48</v>
      </c>
    </row>
    <row r="35" customFormat="false" ht="23.25" hidden="false" customHeight="true" outlineLevel="0" collapsed="false">
      <c r="A35" s="22" t="s">
        <v>54</v>
      </c>
      <c r="B35" s="21" t="s">
        <v>263</v>
      </c>
      <c r="C35" s="22" t="s">
        <v>264</v>
      </c>
      <c r="D35" s="23" t="n">
        <v>1039</v>
      </c>
      <c r="E35" s="24" t="n">
        <v>463.2</v>
      </c>
      <c r="F35" s="23" t="n">
        <f aca="false">IF(OR(D35="",E35=""),"",D35*E35)</f>
        <v>481264.8</v>
      </c>
      <c r="G35" s="23"/>
      <c r="H35" s="24"/>
      <c r="I35" s="23" t="str">
        <f aca="false">IF(OR(G35="",H35=""),"",G35*H35)</f>
        <v/>
      </c>
      <c r="J35" s="23"/>
      <c r="K35" s="24"/>
      <c r="L35" s="23" t="str">
        <f aca="false">IF(OR(J35="",K35=""),"",J35*K35)</f>
        <v/>
      </c>
      <c r="M35" s="25" t="n">
        <f aca="false">SUM(D35,G35,J35)</f>
        <v>1039</v>
      </c>
      <c r="N35" s="26" t="n">
        <f aca="false">IF(M35=0,"",O35/M35)</f>
        <v>463.2</v>
      </c>
      <c r="O35" s="27" t="n">
        <f aca="false">SUM(F35,I35,L35)</f>
        <v>481264.8</v>
      </c>
    </row>
    <row r="36" customFormat="false" ht="15" hidden="false" customHeight="true" outlineLevel="0" collapsed="false">
      <c r="A36" s="22" t="s">
        <v>46</v>
      </c>
      <c r="B36" s="21" t="s">
        <v>313</v>
      </c>
      <c r="C36" s="22"/>
      <c r="D36" s="23"/>
      <c r="E36" s="24"/>
      <c r="F36" s="23" t="str">
        <f aca="false">IF(OR(D36="",E36=""),"",D36*E36)</f>
        <v/>
      </c>
      <c r="G36" s="23" t="n">
        <v>1248</v>
      </c>
      <c r="H36" s="24" t="n">
        <v>379.43</v>
      </c>
      <c r="I36" s="23" t="n">
        <f aca="false">IF(OR(G36="",H36=""),"",G36*H36)</f>
        <v>473528.64</v>
      </c>
      <c r="J36" s="23"/>
      <c r="K36" s="24"/>
      <c r="L36" s="23" t="str">
        <f aca="false">IF(OR(J36="",K36=""),"",J36*K36)</f>
        <v/>
      </c>
      <c r="M36" s="25" t="n">
        <f aca="false">SUM(D36,G36,J36)</f>
        <v>1248</v>
      </c>
      <c r="N36" s="26" t="n">
        <f aca="false">IF(M36=0,"",O36/M36)</f>
        <v>379.43</v>
      </c>
      <c r="O36" s="27" t="n">
        <f aca="false">SUM(F36,I36,L36)</f>
        <v>473528.64</v>
      </c>
    </row>
    <row r="37" customFormat="false" ht="15" hidden="false" customHeight="true" outlineLevel="0" collapsed="false">
      <c r="A37" s="22" t="s">
        <v>32</v>
      </c>
      <c r="B37" s="21" t="s">
        <v>102</v>
      </c>
      <c r="C37" s="22"/>
      <c r="D37" s="23"/>
      <c r="E37" s="24"/>
      <c r="F37" s="23" t="str">
        <f aca="false">IF(OR(D37="",E37=""),"",D37*E37)</f>
        <v/>
      </c>
      <c r="G37" s="23" t="n">
        <v>600</v>
      </c>
      <c r="H37" s="24" t="n">
        <v>781.13</v>
      </c>
      <c r="I37" s="23" t="n">
        <f aca="false">IF(OR(G37="",H37=""),"",G37*H37)</f>
        <v>468678</v>
      </c>
      <c r="J37" s="23"/>
      <c r="K37" s="24"/>
      <c r="L37" s="23" t="str">
        <f aca="false">IF(OR(J37="",K37=""),"",J37*K37)</f>
        <v/>
      </c>
      <c r="M37" s="25" t="n">
        <f aca="false">SUM(D37,G37,J37)</f>
        <v>600</v>
      </c>
      <c r="N37" s="26" t="n">
        <f aca="false">IF(M37=0,"",O37/M37)</f>
        <v>781.13</v>
      </c>
      <c r="O37" s="27" t="n">
        <f aca="false">SUM(F37,I37,L37)</f>
        <v>468678</v>
      </c>
    </row>
    <row r="38" customFormat="false" ht="15" hidden="false" customHeight="true" outlineLevel="0" collapsed="false">
      <c r="A38" s="22" t="s">
        <v>46</v>
      </c>
      <c r="B38" s="21" t="s">
        <v>314</v>
      </c>
      <c r="C38" s="22"/>
      <c r="D38" s="23"/>
      <c r="E38" s="24"/>
      <c r="F38" s="23" t="str">
        <f aca="false">IF(OR(D38="",E38=""),"",D38*E38)</f>
        <v/>
      </c>
      <c r="G38" s="23" t="n">
        <v>1344</v>
      </c>
      <c r="H38" s="24" t="n">
        <v>338.19</v>
      </c>
      <c r="I38" s="23" t="n">
        <f aca="false">IF(OR(G38="",H38=""),"",G38*H38)</f>
        <v>454527.36</v>
      </c>
      <c r="J38" s="23"/>
      <c r="K38" s="24"/>
      <c r="L38" s="23" t="str">
        <f aca="false">IF(OR(J38="",K38=""),"",J38*K38)</f>
        <v/>
      </c>
      <c r="M38" s="25" t="n">
        <f aca="false">SUM(D38,G38,J38)</f>
        <v>1344</v>
      </c>
      <c r="N38" s="26" t="n">
        <f aca="false">IF(M38=0,"",O38/M38)</f>
        <v>338.19</v>
      </c>
      <c r="O38" s="27" t="n">
        <f aca="false">SUM(F38,I38,L38)</f>
        <v>454527.36</v>
      </c>
    </row>
    <row r="39" customFormat="false" ht="15" hidden="false" customHeight="true" outlineLevel="0" collapsed="false">
      <c r="A39" s="22" t="s">
        <v>40</v>
      </c>
      <c r="B39" s="21" t="s">
        <v>180</v>
      </c>
      <c r="C39" s="22" t="s">
        <v>181</v>
      </c>
      <c r="D39" s="23" t="n">
        <v>1350</v>
      </c>
      <c r="E39" s="24" t="n">
        <v>334.05</v>
      </c>
      <c r="F39" s="23" t="n">
        <f aca="false">IF(OR(D39="",E39=""),"",D39*E39)</f>
        <v>450967.5</v>
      </c>
      <c r="G39" s="23"/>
      <c r="H39" s="24"/>
      <c r="I39" s="23" t="str">
        <f aca="false">IF(OR(G39="",H39=""),"",G39*H39)</f>
        <v/>
      </c>
      <c r="J39" s="23"/>
      <c r="K39" s="24"/>
      <c r="L39" s="23" t="str">
        <f aca="false">IF(OR(J39="",K39=""),"",J39*K39)</f>
        <v/>
      </c>
      <c r="M39" s="25" t="n">
        <f aca="false">SUM(D39,G39,J39)</f>
        <v>1350</v>
      </c>
      <c r="N39" s="26" t="n">
        <f aca="false">IF(M39=0,"",O39/M39)</f>
        <v>334.05</v>
      </c>
      <c r="O39" s="27" t="n">
        <f aca="false">SUM(F39,I39,L39)</f>
        <v>450967.5</v>
      </c>
    </row>
    <row r="40" customFormat="false" ht="15" hidden="false" customHeight="true" outlineLevel="0" collapsed="false">
      <c r="A40" s="22" t="s">
        <v>53</v>
      </c>
      <c r="B40" s="21" t="s">
        <v>315</v>
      </c>
      <c r="C40" s="22"/>
      <c r="D40" s="23"/>
      <c r="E40" s="24"/>
      <c r="F40" s="23" t="str">
        <f aca="false">IF(OR(D40="",E40=""),"",D40*E40)</f>
        <v/>
      </c>
      <c r="G40" s="23" t="n">
        <v>400</v>
      </c>
      <c r="H40" s="24" t="n">
        <v>1080.55</v>
      </c>
      <c r="I40" s="23" t="n">
        <f aca="false">IF(OR(G40="",H40=""),"",G40*H40)</f>
        <v>432220</v>
      </c>
      <c r="J40" s="23"/>
      <c r="K40" s="24"/>
      <c r="L40" s="23" t="str">
        <f aca="false">IF(OR(J40="",K40=""),"",J40*K40)</f>
        <v/>
      </c>
      <c r="M40" s="25" t="n">
        <f aca="false">SUM(D40,G40,J40)</f>
        <v>400</v>
      </c>
      <c r="N40" s="26" t="n">
        <f aca="false">IF(M40=0,"",O40/M40)</f>
        <v>1080.55</v>
      </c>
      <c r="O40" s="27" t="n">
        <f aca="false">SUM(F40,I40,L40)</f>
        <v>432220</v>
      </c>
    </row>
    <row r="41" customFormat="false" ht="23.25" hidden="false" customHeight="true" outlineLevel="0" collapsed="false">
      <c r="A41" s="22" t="s">
        <v>36</v>
      </c>
      <c r="B41" s="21" t="s">
        <v>133</v>
      </c>
      <c r="C41" s="22" t="s">
        <v>134</v>
      </c>
      <c r="D41" s="23" t="n">
        <v>900</v>
      </c>
      <c r="E41" s="24" t="n">
        <v>474.15</v>
      </c>
      <c r="F41" s="23" t="n">
        <f aca="false">IF(OR(D41="",E41=""),"",D41*E41)</f>
        <v>426735</v>
      </c>
      <c r="G41" s="23"/>
      <c r="H41" s="24"/>
      <c r="I41" s="23" t="str">
        <f aca="false">IF(OR(G41="",H41=""),"",G41*H41)</f>
        <v/>
      </c>
      <c r="J41" s="23"/>
      <c r="K41" s="24"/>
      <c r="L41" s="23" t="str">
        <f aca="false">IF(OR(J41="",K41=""),"",J41*K41)</f>
        <v/>
      </c>
      <c r="M41" s="25" t="n">
        <f aca="false">SUM(D41,G41,J41)</f>
        <v>900</v>
      </c>
      <c r="N41" s="26" t="n">
        <f aca="false">IF(M41=0,"",O41/M41)</f>
        <v>474.15</v>
      </c>
      <c r="O41" s="27" t="n">
        <f aca="false">SUM(F41,I41,L41)</f>
        <v>426735</v>
      </c>
    </row>
    <row r="42" customFormat="false" ht="15" hidden="false" customHeight="true" outlineLevel="0" collapsed="false">
      <c r="A42" s="22" t="s">
        <v>51</v>
      </c>
      <c r="B42" s="21" t="s">
        <v>261</v>
      </c>
      <c r="C42" s="22" t="s">
        <v>262</v>
      </c>
      <c r="D42" s="23" t="n">
        <v>397</v>
      </c>
      <c r="E42" s="24" t="n">
        <v>1071.44</v>
      </c>
      <c r="F42" s="23" t="n">
        <f aca="false">IF(OR(D42="",E42=""),"",D42*E42)</f>
        <v>425361.68</v>
      </c>
      <c r="G42" s="23"/>
      <c r="H42" s="24"/>
      <c r="I42" s="23" t="str">
        <f aca="false">IF(OR(G42="",H42=""),"",G42*H42)</f>
        <v/>
      </c>
      <c r="J42" s="23"/>
      <c r="K42" s="24"/>
      <c r="L42" s="23" t="str">
        <f aca="false">IF(OR(J42="",K42=""),"",J42*K42)</f>
        <v/>
      </c>
      <c r="M42" s="25" t="n">
        <f aca="false">SUM(D42,G42,J42)</f>
        <v>397</v>
      </c>
      <c r="N42" s="26" t="n">
        <f aca="false">IF(M42=0,"",O42/M42)</f>
        <v>1071.44</v>
      </c>
      <c r="O42" s="27" t="n">
        <f aca="false">SUM(F42,I42,L42)</f>
        <v>425361.68</v>
      </c>
    </row>
    <row r="43" customFormat="false" ht="23.25" hidden="false" customHeight="true" outlineLevel="0" collapsed="false">
      <c r="A43" s="22" t="s">
        <v>54</v>
      </c>
      <c r="B43" s="21" t="s">
        <v>265</v>
      </c>
      <c r="C43" s="22" t="s">
        <v>266</v>
      </c>
      <c r="D43" s="23" t="n">
        <v>832</v>
      </c>
      <c r="E43" s="24" t="n">
        <v>509.52</v>
      </c>
      <c r="F43" s="23" t="n">
        <f aca="false">IF(OR(D43="",E43=""),"",D43*E43)</f>
        <v>423920.64</v>
      </c>
      <c r="G43" s="23"/>
      <c r="H43" s="24"/>
      <c r="I43" s="23" t="str">
        <f aca="false">IF(OR(G43="",H43=""),"",G43*H43)</f>
        <v/>
      </c>
      <c r="J43" s="23"/>
      <c r="K43" s="24"/>
      <c r="L43" s="23" t="str">
        <f aca="false">IF(OR(J43="",K43=""),"",J43*K43)</f>
        <v/>
      </c>
      <c r="M43" s="25" t="n">
        <f aca="false">SUM(D43,G43,J43)</f>
        <v>832</v>
      </c>
      <c r="N43" s="26" t="n">
        <f aca="false">IF(M43=0,"",O43/M43)</f>
        <v>509.52</v>
      </c>
      <c r="O43" s="27" t="n">
        <f aca="false">SUM(F43,I43,L43)</f>
        <v>423920.64</v>
      </c>
    </row>
    <row r="44" customFormat="false" ht="23.25" hidden="false" customHeight="true" outlineLevel="0" collapsed="false">
      <c r="A44" s="22" t="s">
        <v>40</v>
      </c>
      <c r="B44" s="21" t="s">
        <v>178</v>
      </c>
      <c r="C44" s="22" t="s">
        <v>179</v>
      </c>
      <c r="D44" s="23" t="n">
        <v>1414</v>
      </c>
      <c r="E44" s="24" t="n">
        <v>291.9</v>
      </c>
      <c r="F44" s="23" t="n">
        <f aca="false">IF(OR(D44="",E44=""),"",D44*E44)</f>
        <v>412746.6</v>
      </c>
      <c r="G44" s="23"/>
      <c r="H44" s="24"/>
      <c r="I44" s="23" t="str">
        <f aca="false">IF(OR(G44="",H44=""),"",G44*H44)</f>
        <v/>
      </c>
      <c r="J44" s="23"/>
      <c r="K44" s="24"/>
      <c r="L44" s="23" t="str">
        <f aca="false">IF(OR(J44="",K44=""),"",J44*K44)</f>
        <v/>
      </c>
      <c r="M44" s="25" t="n">
        <f aca="false">SUM(D44,G44,J44)</f>
        <v>1414</v>
      </c>
      <c r="N44" s="26" t="n">
        <f aca="false">IF(M44=0,"",O44/M44)</f>
        <v>291.9</v>
      </c>
      <c r="O44" s="27" t="n">
        <f aca="false">SUM(F44,I44,L44)</f>
        <v>412746.6</v>
      </c>
    </row>
    <row r="45" customFormat="false" ht="23.25" hidden="false" customHeight="true" outlineLevel="0" collapsed="false">
      <c r="A45" s="22" t="s">
        <v>42</v>
      </c>
      <c r="B45" s="21" t="s">
        <v>190</v>
      </c>
      <c r="C45" s="22" t="s">
        <v>191</v>
      </c>
      <c r="D45" s="23" t="n">
        <v>741</v>
      </c>
      <c r="E45" s="24" t="n">
        <v>535.05</v>
      </c>
      <c r="F45" s="23" t="n">
        <f aca="false">IF(OR(D45="",E45=""),"",D45*E45)</f>
        <v>396472.05</v>
      </c>
      <c r="G45" s="23"/>
      <c r="H45" s="24"/>
      <c r="I45" s="23" t="str">
        <f aca="false">IF(OR(G45="",H45=""),"",G45*H45)</f>
        <v/>
      </c>
      <c r="J45" s="23"/>
      <c r="K45" s="24"/>
      <c r="L45" s="23" t="str">
        <f aca="false">IF(OR(J45="",K45=""),"",J45*K45)</f>
        <v/>
      </c>
      <c r="M45" s="25" t="n">
        <f aca="false">SUM(D45,G45,J45)</f>
        <v>741</v>
      </c>
      <c r="N45" s="26" t="n">
        <f aca="false">IF(M45=0,"",O45/M45)</f>
        <v>535.05</v>
      </c>
      <c r="O45" s="27" t="n">
        <f aca="false">SUM(F45,I45,L45)</f>
        <v>396472.05</v>
      </c>
    </row>
    <row r="46" customFormat="false" ht="23.25" hidden="false" customHeight="true" outlineLevel="0" collapsed="false">
      <c r="A46" s="22" t="s">
        <v>34</v>
      </c>
      <c r="B46" s="21" t="s">
        <v>152</v>
      </c>
      <c r="C46" s="22"/>
      <c r="D46" s="23"/>
      <c r="E46" s="24"/>
      <c r="F46" s="23" t="str">
        <f aca="false">IF(OR(D46="",E46=""),"",D46*E46)</f>
        <v/>
      </c>
      <c r="G46" s="23" t="n">
        <v>400</v>
      </c>
      <c r="H46" s="24" t="n">
        <v>987.35</v>
      </c>
      <c r="I46" s="23" t="n">
        <f aca="false">IF(OR(G46="",H46=""),"",G46*H46)</f>
        <v>394940</v>
      </c>
      <c r="J46" s="23"/>
      <c r="K46" s="24"/>
      <c r="L46" s="23" t="str">
        <f aca="false">IF(OR(J46="",K46=""),"",J46*K46)</f>
        <v/>
      </c>
      <c r="M46" s="25" t="n">
        <f aca="false">SUM(D46,G46,J46)</f>
        <v>400</v>
      </c>
      <c r="N46" s="26" t="n">
        <f aca="false">IF(M46=0,"",O46/M46)</f>
        <v>987.35</v>
      </c>
      <c r="O46" s="27" t="n">
        <f aca="false">SUM(F46,I46,L46)</f>
        <v>394940</v>
      </c>
    </row>
    <row r="47" customFormat="false" ht="23.25" hidden="false" customHeight="true" outlineLevel="0" collapsed="false">
      <c r="A47" s="22" t="s">
        <v>36</v>
      </c>
      <c r="B47" s="21" t="s">
        <v>131</v>
      </c>
      <c r="C47" s="22" t="s">
        <v>132</v>
      </c>
      <c r="D47" s="23" t="n">
        <v>901</v>
      </c>
      <c r="E47" s="24" t="n">
        <v>429.51</v>
      </c>
      <c r="F47" s="23" t="n">
        <f aca="false">IF(OR(D47="",E47=""),"",D47*E47)</f>
        <v>386988.51</v>
      </c>
      <c r="G47" s="23"/>
      <c r="H47" s="24"/>
      <c r="I47" s="23" t="str">
        <f aca="false">IF(OR(G47="",H47=""),"",G47*H47)</f>
        <v/>
      </c>
      <c r="J47" s="23"/>
      <c r="K47" s="24"/>
      <c r="L47" s="23" t="str">
        <f aca="false">IF(OR(J47="",K47=""),"",J47*K47)</f>
        <v/>
      </c>
      <c r="M47" s="25" t="n">
        <f aca="false">SUM(D47,G47,J47)</f>
        <v>901</v>
      </c>
      <c r="N47" s="26" t="n">
        <f aca="false">IF(M47=0,"",O47/M47)</f>
        <v>429.51</v>
      </c>
      <c r="O47" s="27" t="n">
        <f aca="false">SUM(F47,I47,L47)</f>
        <v>386988.51</v>
      </c>
    </row>
    <row r="48" customFormat="false" ht="23.25" hidden="false" customHeight="true" outlineLevel="0" collapsed="false">
      <c r="A48" s="22" t="s">
        <v>40</v>
      </c>
      <c r="B48" s="21" t="s">
        <v>182</v>
      </c>
      <c r="C48" s="22" t="s">
        <v>183</v>
      </c>
      <c r="D48" s="23" t="n">
        <v>1296</v>
      </c>
      <c r="E48" s="24" t="n">
        <v>291.9</v>
      </c>
      <c r="F48" s="23" t="n">
        <f aca="false">IF(OR(D48="",E48=""),"",D48*E48)</f>
        <v>378302.4</v>
      </c>
      <c r="G48" s="23"/>
      <c r="H48" s="24"/>
      <c r="I48" s="23" t="str">
        <f aca="false">IF(OR(G48="",H48=""),"",G48*H48)</f>
        <v/>
      </c>
      <c r="J48" s="23"/>
      <c r="K48" s="24"/>
      <c r="L48" s="23" t="str">
        <f aca="false">IF(OR(J48="",K48=""),"",J48*K48)</f>
        <v/>
      </c>
      <c r="M48" s="25" t="n">
        <f aca="false">SUM(D48,G48,J48)</f>
        <v>1296</v>
      </c>
      <c r="N48" s="26" t="n">
        <f aca="false">IF(M48=0,"",O48/M48)</f>
        <v>291.9</v>
      </c>
      <c r="O48" s="27" t="n">
        <f aca="false">SUM(F48,I48,L48)</f>
        <v>378302.4</v>
      </c>
    </row>
    <row r="49" customFormat="false" ht="15" hidden="false" customHeight="true" outlineLevel="0" collapsed="false">
      <c r="A49" s="22" t="s">
        <v>60</v>
      </c>
      <c r="B49" s="21" t="s">
        <v>316</v>
      </c>
      <c r="C49" s="22"/>
      <c r="D49" s="23"/>
      <c r="E49" s="24"/>
      <c r="F49" s="23" t="str">
        <f aca="false">IF(OR(D49="",E49=""),"",D49*E49)</f>
        <v/>
      </c>
      <c r="G49" s="23" t="n">
        <v>528</v>
      </c>
      <c r="H49" s="24" t="n">
        <v>684.63</v>
      </c>
      <c r="I49" s="23" t="n">
        <f aca="false">IF(OR(G49="",H49=""),"",G49*H49)</f>
        <v>361484.64</v>
      </c>
      <c r="J49" s="23"/>
      <c r="K49" s="24"/>
      <c r="L49" s="23" t="str">
        <f aca="false">IF(OR(J49="",K49=""),"",J49*K49)</f>
        <v/>
      </c>
      <c r="M49" s="25" t="n">
        <f aca="false">SUM(D49,G49,J49)</f>
        <v>528</v>
      </c>
      <c r="N49" s="26" t="n">
        <f aca="false">IF(M49=0,"",O49/M49)</f>
        <v>684.63</v>
      </c>
      <c r="O49" s="27" t="n">
        <f aca="false">SUM(F49,I49,L49)</f>
        <v>361484.64</v>
      </c>
    </row>
    <row r="50" customFormat="false" ht="23.25" hidden="false" customHeight="true" outlineLevel="0" collapsed="false">
      <c r="A50" s="22" t="s">
        <v>40</v>
      </c>
      <c r="B50" s="21" t="s">
        <v>176</v>
      </c>
      <c r="C50" s="22" t="s">
        <v>177</v>
      </c>
      <c r="D50" s="23" t="n">
        <v>1614</v>
      </c>
      <c r="E50" s="24" t="n">
        <v>222.5</v>
      </c>
      <c r="F50" s="23" t="n">
        <f aca="false">IF(OR(D50="",E50=""),"",D50*E50)</f>
        <v>359115</v>
      </c>
      <c r="G50" s="23"/>
      <c r="H50" s="24"/>
      <c r="I50" s="23" t="str">
        <f aca="false">IF(OR(G50="",H50=""),"",G50*H50)</f>
        <v/>
      </c>
      <c r="J50" s="23"/>
      <c r="K50" s="24"/>
      <c r="L50" s="23" t="str">
        <f aca="false">IF(OR(J50="",K50=""),"",J50*K50)</f>
        <v/>
      </c>
      <c r="M50" s="25" t="n">
        <f aca="false">SUM(D50,G50,J50)</f>
        <v>1614</v>
      </c>
      <c r="N50" s="26" t="n">
        <f aca="false">IF(M50=0,"",O50/M50)</f>
        <v>222.5</v>
      </c>
      <c r="O50" s="27" t="n">
        <f aca="false">SUM(F50,I50,L50)</f>
        <v>359115</v>
      </c>
    </row>
    <row r="51" customFormat="false" ht="15" hidden="false" customHeight="true" outlineLevel="0" collapsed="false">
      <c r="A51" s="22" t="s">
        <v>34</v>
      </c>
      <c r="B51" s="21" t="s">
        <v>149</v>
      </c>
      <c r="C51" s="22"/>
      <c r="D51" s="23"/>
      <c r="E51" s="24"/>
      <c r="F51" s="23" t="str">
        <f aca="false">IF(OR(D51="",E51=""),"",D51*E51)</f>
        <v/>
      </c>
      <c r="G51" s="23" t="n">
        <v>600</v>
      </c>
      <c r="H51" s="24" t="n">
        <v>589.77</v>
      </c>
      <c r="I51" s="23" t="n">
        <f aca="false">IF(OR(G51="",H51=""),"",G51*H51)</f>
        <v>353862</v>
      </c>
      <c r="J51" s="23"/>
      <c r="K51" s="24"/>
      <c r="L51" s="23" t="str">
        <f aca="false">IF(OR(J51="",K51=""),"",J51*K51)</f>
        <v/>
      </c>
      <c r="M51" s="25" t="n">
        <f aca="false">SUM(D51,G51,J51)</f>
        <v>600</v>
      </c>
      <c r="N51" s="26" t="n">
        <f aca="false">IF(M51=0,"",O51/M51)</f>
        <v>589.77</v>
      </c>
      <c r="O51" s="27" t="n">
        <f aca="false">SUM(F51,I51,L51)</f>
        <v>353862</v>
      </c>
    </row>
    <row r="52" customFormat="false" ht="23.25" hidden="false" customHeight="true" outlineLevel="0" collapsed="false">
      <c r="A52" s="22" t="s">
        <v>32</v>
      </c>
      <c r="B52" s="21" t="s">
        <v>108</v>
      </c>
      <c r="C52" s="22" t="s">
        <v>109</v>
      </c>
      <c r="D52" s="23" t="n">
        <v>353</v>
      </c>
      <c r="E52" s="24" t="n">
        <v>950.52</v>
      </c>
      <c r="F52" s="23" t="n">
        <f aca="false">IF(OR(D52="",E52=""),"",D52*E52)</f>
        <v>335533.56</v>
      </c>
      <c r="G52" s="23"/>
      <c r="H52" s="24"/>
      <c r="I52" s="23" t="str">
        <f aca="false">IF(OR(G52="",H52=""),"",G52*H52)</f>
        <v/>
      </c>
      <c r="J52" s="23"/>
      <c r="K52" s="24"/>
      <c r="L52" s="23" t="str">
        <f aca="false">IF(OR(J52="",K52=""),"",J52*K52)</f>
        <v/>
      </c>
      <c r="M52" s="25" t="n">
        <f aca="false">SUM(D52,G52,J52)</f>
        <v>353</v>
      </c>
      <c r="N52" s="26" t="n">
        <f aca="false">IF(M52=0,"",O52/M52)</f>
        <v>950.52</v>
      </c>
      <c r="O52" s="27" t="n">
        <f aca="false">SUM(F52,I52,L52)</f>
        <v>335533.56</v>
      </c>
    </row>
    <row r="53" customFormat="false" ht="15" hidden="false" customHeight="true" outlineLevel="0" collapsed="false">
      <c r="A53" s="22" t="s">
        <v>47</v>
      </c>
      <c r="B53" s="21" t="s">
        <v>230</v>
      </c>
      <c r="C53" s="22"/>
      <c r="D53" s="23"/>
      <c r="E53" s="24"/>
      <c r="F53" s="23" t="str">
        <f aca="false">IF(OR(D53="",E53=""),"",D53*E53)</f>
        <v/>
      </c>
      <c r="G53" s="23"/>
      <c r="H53" s="24"/>
      <c r="I53" s="23" t="str">
        <f aca="false">IF(OR(G53="",H53=""),"",G53*H53)</f>
        <v/>
      </c>
      <c r="J53" s="23" t="n">
        <v>1000</v>
      </c>
      <c r="K53" s="24" t="n">
        <v>320.04</v>
      </c>
      <c r="L53" s="23" t="n">
        <f aca="false">IF(OR(J53="",K53=""),"",J53*K53)</f>
        <v>320040</v>
      </c>
      <c r="M53" s="25" t="n">
        <f aca="false">SUM(D53,G53,J53)</f>
        <v>1000</v>
      </c>
      <c r="N53" s="26" t="n">
        <f aca="false">IF(M53=0,"",O53/M53)</f>
        <v>320.04</v>
      </c>
      <c r="O53" s="27" t="n">
        <f aca="false">SUM(F53,I53,L53)</f>
        <v>320040</v>
      </c>
    </row>
    <row r="54" customFormat="false" ht="15" hidden="false" customHeight="true" outlineLevel="0" collapsed="false">
      <c r="A54" s="22" t="s">
        <v>34</v>
      </c>
      <c r="B54" s="21" t="s">
        <v>150</v>
      </c>
      <c r="C54" s="22"/>
      <c r="D54" s="23"/>
      <c r="E54" s="24"/>
      <c r="F54" s="23" t="str">
        <f aca="false">IF(OR(D54="",E54=""),"",D54*E54)</f>
        <v/>
      </c>
      <c r="G54" s="23" t="n">
        <v>600</v>
      </c>
      <c r="H54" s="24" t="n">
        <v>526.25</v>
      </c>
      <c r="I54" s="23" t="n">
        <f aca="false">IF(OR(G54="",H54=""),"",G54*H54)</f>
        <v>315750</v>
      </c>
      <c r="J54" s="23"/>
      <c r="K54" s="24"/>
      <c r="L54" s="23" t="str">
        <f aca="false">IF(OR(J54="",K54=""),"",J54*K54)</f>
        <v/>
      </c>
      <c r="M54" s="25" t="n">
        <f aca="false">SUM(D54,G54,J54)</f>
        <v>600</v>
      </c>
      <c r="N54" s="26" t="n">
        <f aca="false">IF(M54=0,"",O54/M54)</f>
        <v>526.25</v>
      </c>
      <c r="O54" s="27" t="n">
        <f aca="false">SUM(F54,I54,L54)</f>
        <v>315750</v>
      </c>
    </row>
    <row r="55" customFormat="false" ht="23.25" hidden="false" customHeight="true" outlineLevel="0" collapsed="false">
      <c r="A55" s="22" t="s">
        <v>34</v>
      </c>
      <c r="B55" s="21" t="s">
        <v>155</v>
      </c>
      <c r="C55" s="22" t="s">
        <v>156</v>
      </c>
      <c r="D55" s="23" t="n">
        <v>259</v>
      </c>
      <c r="E55" s="24" t="n">
        <v>1202.26</v>
      </c>
      <c r="F55" s="23" t="n">
        <f aca="false">IF(OR(D55="",E55=""),"",D55*E55)</f>
        <v>311385.34</v>
      </c>
      <c r="G55" s="23"/>
      <c r="H55" s="24"/>
      <c r="I55" s="23" t="str">
        <f aca="false">IF(OR(G55="",H55=""),"",G55*H55)</f>
        <v/>
      </c>
      <c r="J55" s="23"/>
      <c r="K55" s="24"/>
      <c r="L55" s="23" t="str">
        <f aca="false">IF(OR(J55="",K55=""),"",J55*K55)</f>
        <v/>
      </c>
      <c r="M55" s="25" t="n">
        <f aca="false">SUM(D55,G55,J55)</f>
        <v>259</v>
      </c>
      <c r="N55" s="26" t="n">
        <f aca="false">IF(M55=0,"",O55/M55)</f>
        <v>1202.26</v>
      </c>
      <c r="O55" s="27" t="n">
        <f aca="false">SUM(F55,I55,L55)</f>
        <v>311385.34</v>
      </c>
    </row>
    <row r="56" customFormat="false" ht="15" hidden="false" customHeight="true" outlineLevel="0" collapsed="false">
      <c r="A56" s="22" t="s">
        <v>32</v>
      </c>
      <c r="B56" s="21" t="s">
        <v>104</v>
      </c>
      <c r="C56" s="22"/>
      <c r="D56" s="23"/>
      <c r="E56" s="24"/>
      <c r="F56" s="23" t="str">
        <f aca="false">IF(OR(D56="",E56=""),"",D56*E56)</f>
        <v/>
      </c>
      <c r="G56" s="23" t="n">
        <v>480</v>
      </c>
      <c r="H56" s="24" t="n">
        <v>626.89</v>
      </c>
      <c r="I56" s="23" t="n">
        <f aca="false">IF(OR(G56="",H56=""),"",G56*H56)</f>
        <v>300907.2</v>
      </c>
      <c r="J56" s="23"/>
      <c r="K56" s="24"/>
      <c r="L56" s="23" t="str">
        <f aca="false">IF(OR(J56="",K56=""),"",J56*K56)</f>
        <v/>
      </c>
      <c r="M56" s="25" t="n">
        <f aca="false">SUM(D56,G56,J56)</f>
        <v>480</v>
      </c>
      <c r="N56" s="26" t="n">
        <f aca="false">IF(M56=0,"",O56/M56)</f>
        <v>626.89</v>
      </c>
      <c r="O56" s="27" t="n">
        <f aca="false">SUM(F56,I56,L56)</f>
        <v>300907.2</v>
      </c>
    </row>
    <row r="57" customFormat="false" ht="23.25" hidden="false" customHeight="true" outlineLevel="0" collapsed="false">
      <c r="A57" s="22" t="s">
        <v>58</v>
      </c>
      <c r="B57" s="21" t="s">
        <v>269</v>
      </c>
      <c r="C57" s="22" t="s">
        <v>270</v>
      </c>
      <c r="D57" s="23" t="n">
        <v>410</v>
      </c>
      <c r="E57" s="24" t="n">
        <v>726.85</v>
      </c>
      <c r="F57" s="23" t="n">
        <f aca="false">IF(OR(D57="",E57=""),"",D57*E57)</f>
        <v>298008.5</v>
      </c>
      <c r="G57" s="23"/>
      <c r="H57" s="24"/>
      <c r="I57" s="23" t="str">
        <f aca="false">IF(OR(G57="",H57=""),"",G57*H57)</f>
        <v/>
      </c>
      <c r="J57" s="23"/>
      <c r="K57" s="24"/>
      <c r="L57" s="23" t="str">
        <f aca="false">IF(OR(J57="",K57=""),"",J57*K57)</f>
        <v/>
      </c>
      <c r="M57" s="25" t="n">
        <f aca="false">SUM(D57,G57,J57)</f>
        <v>410</v>
      </c>
      <c r="N57" s="26" t="n">
        <f aca="false">IF(M57=0,"",O57/M57)</f>
        <v>726.85</v>
      </c>
      <c r="O57" s="27" t="n">
        <f aca="false">SUM(F57,I57,L57)</f>
        <v>298008.5</v>
      </c>
    </row>
    <row r="58" customFormat="false" ht="23.25" hidden="false" customHeight="true" outlineLevel="0" collapsed="false">
      <c r="A58" s="22" t="s">
        <v>36</v>
      </c>
      <c r="B58" s="21" t="s">
        <v>135</v>
      </c>
      <c r="C58" s="22" t="s">
        <v>136</v>
      </c>
      <c r="D58" s="23" t="n">
        <v>860</v>
      </c>
      <c r="E58" s="24" t="n">
        <v>345.22</v>
      </c>
      <c r="F58" s="23" t="n">
        <f aca="false">IF(OR(D58="",E58=""),"",D58*E58)</f>
        <v>296889.2</v>
      </c>
      <c r="G58" s="23"/>
      <c r="H58" s="24"/>
      <c r="I58" s="23" t="str">
        <f aca="false">IF(OR(G58="",H58=""),"",G58*H58)</f>
        <v/>
      </c>
      <c r="J58" s="23"/>
      <c r="K58" s="24"/>
      <c r="L58" s="23" t="str">
        <f aca="false">IF(OR(J58="",K58=""),"",J58*K58)</f>
        <v/>
      </c>
      <c r="M58" s="25" t="n">
        <f aca="false">SUM(D58,G58,J58)</f>
        <v>860</v>
      </c>
      <c r="N58" s="26" t="n">
        <f aca="false">IF(M58=0,"",O58/M58)</f>
        <v>345.22</v>
      </c>
      <c r="O58" s="27" t="n">
        <f aca="false">SUM(F58,I58,L58)</f>
        <v>296889.2</v>
      </c>
    </row>
    <row r="59" customFormat="false" ht="23.25" hidden="false" customHeight="true" outlineLevel="0" collapsed="false">
      <c r="A59" s="22" t="s">
        <v>42</v>
      </c>
      <c r="B59" s="21" t="s">
        <v>198</v>
      </c>
      <c r="C59" s="22" t="s">
        <v>199</v>
      </c>
      <c r="D59" s="23" t="n">
        <v>529</v>
      </c>
      <c r="E59" s="24" t="n">
        <v>557.88</v>
      </c>
      <c r="F59" s="23" t="n">
        <f aca="false">IF(OR(D59="",E59=""),"",D59*E59)</f>
        <v>295118.52</v>
      </c>
      <c r="G59" s="23"/>
      <c r="H59" s="24"/>
      <c r="I59" s="23" t="str">
        <f aca="false">IF(OR(G59="",H59=""),"",G59*H59)</f>
        <v/>
      </c>
      <c r="J59" s="23"/>
      <c r="K59" s="24"/>
      <c r="L59" s="23" t="str">
        <f aca="false">IF(OR(J59="",K59=""),"",J59*K59)</f>
        <v/>
      </c>
      <c r="M59" s="25" t="n">
        <f aca="false">SUM(D59,G59,J59)</f>
        <v>529</v>
      </c>
      <c r="N59" s="26" t="n">
        <f aca="false">IF(M59=0,"",O59/M59)</f>
        <v>557.88</v>
      </c>
      <c r="O59" s="27" t="n">
        <f aca="false">SUM(F59,I59,L59)</f>
        <v>295118.52</v>
      </c>
    </row>
    <row r="60" customFormat="false" ht="15" hidden="false" customHeight="true" outlineLevel="0" collapsed="false">
      <c r="A60" s="22" t="s">
        <v>53</v>
      </c>
      <c r="B60" s="21" t="s">
        <v>317</v>
      </c>
      <c r="C60" s="22"/>
      <c r="D60" s="23"/>
      <c r="E60" s="24"/>
      <c r="F60" s="23" t="str">
        <f aca="false">IF(OR(D60="",E60=""),"",D60*E60)</f>
        <v/>
      </c>
      <c r="G60" s="23" t="n">
        <v>300</v>
      </c>
      <c r="H60" s="24" t="n">
        <v>981.57</v>
      </c>
      <c r="I60" s="23" t="n">
        <f aca="false">IF(OR(G60="",H60=""),"",G60*H60)</f>
        <v>294471</v>
      </c>
      <c r="J60" s="23"/>
      <c r="K60" s="24"/>
      <c r="L60" s="23" t="str">
        <f aca="false">IF(OR(J60="",K60=""),"",J60*K60)</f>
        <v/>
      </c>
      <c r="M60" s="25" t="n">
        <f aca="false">SUM(D60,G60,J60)</f>
        <v>300</v>
      </c>
      <c r="N60" s="26" t="n">
        <f aca="false">IF(M60=0,"",O60/M60)</f>
        <v>981.57</v>
      </c>
      <c r="O60" s="27" t="n">
        <f aca="false">SUM(F60,I60,L60)</f>
        <v>294471</v>
      </c>
    </row>
    <row r="61" customFormat="false" ht="23.25" hidden="false" customHeight="true" outlineLevel="0" collapsed="false">
      <c r="A61" s="22" t="s">
        <v>61</v>
      </c>
      <c r="B61" s="21" t="s">
        <v>277</v>
      </c>
      <c r="C61" s="22" t="s">
        <v>278</v>
      </c>
      <c r="D61" s="23" t="n">
        <v>527</v>
      </c>
      <c r="E61" s="24" t="n">
        <v>549.71</v>
      </c>
      <c r="F61" s="23" t="n">
        <f aca="false">IF(OR(D61="",E61=""),"",D61*E61)</f>
        <v>289697.17</v>
      </c>
      <c r="G61" s="23"/>
      <c r="H61" s="24"/>
      <c r="I61" s="23" t="str">
        <f aca="false">IF(OR(G61="",H61=""),"",G61*H61)</f>
        <v/>
      </c>
      <c r="J61" s="23"/>
      <c r="K61" s="24"/>
      <c r="L61" s="23" t="str">
        <f aca="false">IF(OR(J61="",K61=""),"",J61*K61)</f>
        <v/>
      </c>
      <c r="M61" s="25" t="n">
        <f aca="false">SUM(D61,G61,J61)</f>
        <v>527</v>
      </c>
      <c r="N61" s="26" t="n">
        <f aca="false">IF(M61=0,"",O61/M61)</f>
        <v>549.71</v>
      </c>
      <c r="O61" s="27" t="n">
        <f aca="false">SUM(F61,I61,L61)</f>
        <v>289697.17</v>
      </c>
    </row>
    <row r="62" customFormat="false" ht="15" hidden="false" customHeight="true" outlineLevel="0" collapsed="false">
      <c r="A62" s="22" t="s">
        <v>53</v>
      </c>
      <c r="B62" s="21" t="s">
        <v>318</v>
      </c>
      <c r="C62" s="22"/>
      <c r="D62" s="23"/>
      <c r="E62" s="24"/>
      <c r="F62" s="23" t="str">
        <f aca="false">IF(OR(D62="",E62=""),"",D62*E62)</f>
        <v/>
      </c>
      <c r="G62" s="23" t="n">
        <v>240</v>
      </c>
      <c r="H62" s="24" t="n">
        <v>1195.21</v>
      </c>
      <c r="I62" s="23" t="n">
        <f aca="false">IF(OR(G62="",H62=""),"",G62*H62)</f>
        <v>286850.4</v>
      </c>
      <c r="J62" s="23"/>
      <c r="K62" s="24"/>
      <c r="L62" s="23" t="str">
        <f aca="false">IF(OR(J62="",K62=""),"",J62*K62)</f>
        <v/>
      </c>
      <c r="M62" s="25" t="n">
        <f aca="false">SUM(D62,G62,J62)</f>
        <v>240</v>
      </c>
      <c r="N62" s="26" t="n">
        <f aca="false">IF(M62=0,"",O62/M62)</f>
        <v>1195.21</v>
      </c>
      <c r="O62" s="27" t="n">
        <f aca="false">SUM(F62,I62,L62)</f>
        <v>286850.4</v>
      </c>
    </row>
    <row r="63" customFormat="false" ht="15" hidden="false" customHeight="true" outlineLevel="0" collapsed="false">
      <c r="A63" s="22" t="s">
        <v>53</v>
      </c>
      <c r="B63" s="21" t="s">
        <v>319</v>
      </c>
      <c r="C63" s="22"/>
      <c r="D63" s="23"/>
      <c r="E63" s="24"/>
      <c r="F63" s="23" t="str">
        <f aca="false">IF(OR(D63="",E63=""),"",D63*E63)</f>
        <v/>
      </c>
      <c r="G63" s="23" t="n">
        <v>320</v>
      </c>
      <c r="H63" s="24" t="n">
        <v>874.34</v>
      </c>
      <c r="I63" s="23" t="n">
        <f aca="false">IF(OR(G63="",H63=""),"",G63*H63)</f>
        <v>279788.8</v>
      </c>
      <c r="J63" s="23"/>
      <c r="K63" s="24"/>
      <c r="L63" s="23" t="str">
        <f aca="false">IF(OR(J63="",K63=""),"",J63*K63)</f>
        <v/>
      </c>
      <c r="M63" s="25" t="n">
        <f aca="false">SUM(D63,G63,J63)</f>
        <v>320</v>
      </c>
      <c r="N63" s="26" t="n">
        <f aca="false">IF(M63=0,"",O63/M63)</f>
        <v>874.34</v>
      </c>
      <c r="O63" s="27" t="n">
        <f aca="false">SUM(F63,I63,L63)</f>
        <v>279788.8</v>
      </c>
    </row>
    <row r="64" customFormat="false" ht="23.25" hidden="false" customHeight="true" outlineLevel="0" collapsed="false">
      <c r="A64" s="22" t="s">
        <v>42</v>
      </c>
      <c r="B64" s="21" t="s">
        <v>194</v>
      </c>
      <c r="C64" s="22" t="s">
        <v>195</v>
      </c>
      <c r="D64" s="23" t="n">
        <v>608</v>
      </c>
      <c r="E64" s="24" t="n">
        <v>457.01</v>
      </c>
      <c r="F64" s="23" t="n">
        <f aca="false">IF(OR(D64="",E64=""),"",D64*E64)</f>
        <v>277862.08</v>
      </c>
      <c r="G64" s="23"/>
      <c r="H64" s="24"/>
      <c r="I64" s="23" t="str">
        <f aca="false">IF(OR(G64="",H64=""),"",G64*H64)</f>
        <v/>
      </c>
      <c r="J64" s="23"/>
      <c r="K64" s="24"/>
      <c r="L64" s="23" t="str">
        <f aca="false">IF(OR(J64="",K64=""),"",J64*K64)</f>
        <v/>
      </c>
      <c r="M64" s="25" t="n">
        <f aca="false">SUM(D64,G64,J64)</f>
        <v>608</v>
      </c>
      <c r="N64" s="26" t="n">
        <f aca="false">IF(M64=0,"",O64/M64)</f>
        <v>457.01</v>
      </c>
      <c r="O64" s="27" t="n">
        <f aca="false">SUM(F64,I64,L64)</f>
        <v>277862.08</v>
      </c>
    </row>
    <row r="65" customFormat="false" ht="23.25" hidden="false" customHeight="true" outlineLevel="0" collapsed="false">
      <c r="A65" s="22" t="s">
        <v>42</v>
      </c>
      <c r="B65" s="21" t="s">
        <v>192</v>
      </c>
      <c r="C65" s="22" t="s">
        <v>193</v>
      </c>
      <c r="D65" s="23" t="n">
        <v>641</v>
      </c>
      <c r="E65" s="24" t="n">
        <v>423.56</v>
      </c>
      <c r="F65" s="23" t="n">
        <f aca="false">IF(OR(D65="",E65=""),"",D65*E65)</f>
        <v>271501.96</v>
      </c>
      <c r="G65" s="23"/>
      <c r="H65" s="24"/>
      <c r="I65" s="23" t="str">
        <f aca="false">IF(OR(G65="",H65=""),"",G65*H65)</f>
        <v/>
      </c>
      <c r="J65" s="23"/>
      <c r="K65" s="24"/>
      <c r="L65" s="23" t="str">
        <f aca="false">IF(OR(J65="",K65=""),"",J65*K65)</f>
        <v/>
      </c>
      <c r="M65" s="25" t="n">
        <f aca="false">SUM(D65,G65,J65)</f>
        <v>641</v>
      </c>
      <c r="N65" s="26" t="n">
        <f aca="false">IF(M65=0,"",O65/M65)</f>
        <v>423.56</v>
      </c>
      <c r="O65" s="27" t="n">
        <f aca="false">SUM(F65,I65,L65)</f>
        <v>271501.96</v>
      </c>
    </row>
    <row r="66" customFormat="false" ht="15" hidden="false" customHeight="true" outlineLevel="0" collapsed="false">
      <c r="A66" s="22" t="s">
        <v>32</v>
      </c>
      <c r="B66" s="21" t="s">
        <v>103</v>
      </c>
      <c r="C66" s="22"/>
      <c r="D66" s="23"/>
      <c r="E66" s="24"/>
      <c r="F66" s="23" t="str">
        <f aca="false">IF(OR(D66="",E66=""),"",D66*E66)</f>
        <v/>
      </c>
      <c r="G66" s="23" t="n">
        <v>528</v>
      </c>
      <c r="H66" s="24" t="n">
        <v>502.33</v>
      </c>
      <c r="I66" s="23" t="n">
        <f aca="false">IF(OR(G66="",H66=""),"",G66*H66)</f>
        <v>265230.24</v>
      </c>
      <c r="J66" s="23"/>
      <c r="K66" s="24"/>
      <c r="L66" s="23" t="str">
        <f aca="false">IF(OR(J66="",K66=""),"",J66*K66)</f>
        <v/>
      </c>
      <c r="M66" s="25" t="n">
        <f aca="false">SUM(D66,G66,J66)</f>
        <v>528</v>
      </c>
      <c r="N66" s="26" t="n">
        <f aca="false">IF(M66=0,"",O66/M66)</f>
        <v>502.33</v>
      </c>
      <c r="O66" s="27" t="n">
        <f aca="false">SUM(F66,I66,L66)</f>
        <v>265230.24</v>
      </c>
    </row>
    <row r="67" customFormat="false" ht="15" hidden="false" customHeight="true" outlineLevel="0" collapsed="false">
      <c r="A67" s="22" t="s">
        <v>46</v>
      </c>
      <c r="B67" s="21" t="s">
        <v>320</v>
      </c>
      <c r="C67" s="22"/>
      <c r="D67" s="23"/>
      <c r="E67" s="24"/>
      <c r="F67" s="23" t="str">
        <f aca="false">IF(OR(D67="",E67=""),"",D67*E67)</f>
        <v/>
      </c>
      <c r="G67" s="23" t="n">
        <v>420</v>
      </c>
      <c r="H67" s="24" t="n">
        <v>618.64</v>
      </c>
      <c r="I67" s="23" t="n">
        <f aca="false">IF(OR(G67="",H67=""),"",G67*H67)</f>
        <v>259828.8</v>
      </c>
      <c r="J67" s="23"/>
      <c r="K67" s="24"/>
      <c r="L67" s="23" t="str">
        <f aca="false">IF(OR(J67="",K67=""),"",J67*K67)</f>
        <v/>
      </c>
      <c r="M67" s="25" t="n">
        <f aca="false">SUM(D67,G67,J67)</f>
        <v>420</v>
      </c>
      <c r="N67" s="26" t="n">
        <f aca="false">IF(M67=0,"",O67/M67)</f>
        <v>618.64</v>
      </c>
      <c r="O67" s="27" t="n">
        <f aca="false">SUM(F67,I67,L67)</f>
        <v>259828.8</v>
      </c>
    </row>
    <row r="68" customFormat="false" ht="15" hidden="false" customHeight="true" outlineLevel="0" collapsed="false">
      <c r="A68" s="22" t="s">
        <v>34</v>
      </c>
      <c r="B68" s="21" t="s">
        <v>151</v>
      </c>
      <c r="C68" s="22"/>
      <c r="D68" s="23"/>
      <c r="E68" s="24"/>
      <c r="F68" s="23" t="str">
        <f aca="false">IF(OR(D68="",E68=""),"",D68*E68)</f>
        <v/>
      </c>
      <c r="G68" s="23" t="n">
        <v>400</v>
      </c>
      <c r="H68" s="24" t="n">
        <v>626.06</v>
      </c>
      <c r="I68" s="23" t="n">
        <f aca="false">IF(OR(G68="",H68=""),"",G68*H68)</f>
        <v>250424</v>
      </c>
      <c r="J68" s="23"/>
      <c r="K68" s="24"/>
      <c r="L68" s="23" t="str">
        <f aca="false">IF(OR(J68="",K68=""),"",J68*K68)</f>
        <v/>
      </c>
      <c r="M68" s="25" t="n">
        <f aca="false">SUM(D68,G68,J68)</f>
        <v>400</v>
      </c>
      <c r="N68" s="26" t="n">
        <f aca="false">IF(M68=0,"",O68/M68)</f>
        <v>626.06</v>
      </c>
      <c r="O68" s="27" t="n">
        <f aca="false">SUM(F68,I68,L68)</f>
        <v>250424</v>
      </c>
    </row>
    <row r="69" customFormat="false" ht="23.25" hidden="false" customHeight="true" outlineLevel="0" collapsed="false">
      <c r="A69" s="22" t="s">
        <v>32</v>
      </c>
      <c r="B69" s="21" t="s">
        <v>105</v>
      </c>
      <c r="C69" s="22"/>
      <c r="D69" s="23"/>
      <c r="E69" s="24"/>
      <c r="F69" s="23" t="str">
        <f aca="false">IF(OR(D69="",E69=""),"",D69*E69)</f>
        <v/>
      </c>
      <c r="G69" s="23" t="n">
        <v>468</v>
      </c>
      <c r="H69" s="24" t="n">
        <v>527.08</v>
      </c>
      <c r="I69" s="23" t="n">
        <f aca="false">IF(OR(G69="",H69=""),"",G69*H69)</f>
        <v>246673.44</v>
      </c>
      <c r="J69" s="23"/>
      <c r="K69" s="24"/>
      <c r="L69" s="23" t="str">
        <f aca="false">IF(OR(J69="",K69=""),"",J69*K69)</f>
        <v/>
      </c>
      <c r="M69" s="25" t="n">
        <f aca="false">SUM(D69,G69,J69)</f>
        <v>468</v>
      </c>
      <c r="N69" s="26" t="n">
        <f aca="false">IF(M69=0,"",O69/M69)</f>
        <v>527.08</v>
      </c>
      <c r="O69" s="27" t="n">
        <f aca="false">SUM(F69,I69,L69)</f>
        <v>246673.44</v>
      </c>
    </row>
    <row r="70" customFormat="false" ht="23.25" hidden="false" customHeight="true" outlineLevel="0" collapsed="false">
      <c r="A70" s="22" t="s">
        <v>42</v>
      </c>
      <c r="B70" s="21" t="s">
        <v>196</v>
      </c>
      <c r="C70" s="22" t="s">
        <v>197</v>
      </c>
      <c r="D70" s="23" t="n">
        <v>549</v>
      </c>
      <c r="E70" s="24" t="n">
        <v>426.44</v>
      </c>
      <c r="F70" s="23" t="n">
        <f aca="false">IF(OR(D70="",E70=""),"",D70*E70)</f>
        <v>234115.56</v>
      </c>
      <c r="G70" s="23"/>
      <c r="H70" s="24"/>
      <c r="I70" s="23" t="str">
        <f aca="false">IF(OR(G70="",H70=""),"",G70*H70)</f>
        <v/>
      </c>
      <c r="J70" s="23"/>
      <c r="K70" s="24"/>
      <c r="L70" s="23" t="str">
        <f aca="false">IF(OR(J70="",K70=""),"",J70*K70)</f>
        <v/>
      </c>
      <c r="M70" s="25" t="n">
        <f aca="false">SUM(D70,G70,J70)</f>
        <v>549</v>
      </c>
      <c r="N70" s="26" t="n">
        <f aca="false">IF(M70=0,"",O70/M70)</f>
        <v>426.44</v>
      </c>
      <c r="O70" s="27" t="n">
        <f aca="false">SUM(F70,I70,L70)</f>
        <v>234115.56</v>
      </c>
    </row>
    <row r="71" customFormat="false" ht="15" hidden="false" customHeight="true" outlineLevel="0" collapsed="false">
      <c r="A71" s="22" t="s">
        <v>46</v>
      </c>
      <c r="B71" s="21" t="s">
        <v>321</v>
      </c>
      <c r="C71" s="22"/>
      <c r="D71" s="23"/>
      <c r="E71" s="24"/>
      <c r="F71" s="23" t="str">
        <f aca="false">IF(OR(D71="",E71=""),"",D71*E71)</f>
        <v/>
      </c>
      <c r="G71" s="23" t="n">
        <v>1020</v>
      </c>
      <c r="H71" s="24" t="n">
        <v>226.83</v>
      </c>
      <c r="I71" s="23" t="n">
        <f aca="false">IF(OR(G71="",H71=""),"",G71*H71)</f>
        <v>231366.6</v>
      </c>
      <c r="J71" s="23"/>
      <c r="K71" s="24"/>
      <c r="L71" s="23" t="str">
        <f aca="false">IF(OR(J71="",K71=""),"",J71*K71)</f>
        <v/>
      </c>
      <c r="M71" s="25" t="n">
        <f aca="false">SUM(D71,G71,J71)</f>
        <v>1020</v>
      </c>
      <c r="N71" s="26" t="n">
        <f aca="false">IF(M71=0,"",O71/M71)</f>
        <v>226.83</v>
      </c>
      <c r="O71" s="27" t="n">
        <f aca="false">SUM(F71,I71,L71)</f>
        <v>231366.6</v>
      </c>
    </row>
    <row r="72" customFormat="false" ht="23.25" hidden="false" customHeight="true" outlineLevel="0" collapsed="false">
      <c r="A72" s="22" t="s">
        <v>42</v>
      </c>
      <c r="B72" s="21" t="s">
        <v>200</v>
      </c>
      <c r="C72" s="22" t="s">
        <v>201</v>
      </c>
      <c r="D72" s="23" t="n">
        <v>501</v>
      </c>
      <c r="E72" s="24" t="n">
        <v>457.01</v>
      </c>
      <c r="F72" s="23" t="n">
        <f aca="false">IF(OR(D72="",E72=""),"",D72*E72)</f>
        <v>228962.01</v>
      </c>
      <c r="G72" s="23"/>
      <c r="H72" s="24"/>
      <c r="I72" s="23" t="str">
        <f aca="false">IF(OR(G72="",H72=""),"",G72*H72)</f>
        <v/>
      </c>
      <c r="J72" s="23"/>
      <c r="K72" s="24"/>
      <c r="L72" s="23" t="str">
        <f aca="false">IF(OR(J72="",K72=""),"",J72*K72)</f>
        <v/>
      </c>
      <c r="M72" s="25" t="n">
        <f aca="false">SUM(D72,G72,J72)</f>
        <v>501</v>
      </c>
      <c r="N72" s="26" t="n">
        <f aca="false">IF(M72=0,"",O72/M72)</f>
        <v>457.01</v>
      </c>
      <c r="O72" s="27" t="n">
        <f aca="false">SUM(F72,I72,L72)</f>
        <v>228962.01</v>
      </c>
    </row>
    <row r="73" customFormat="false" ht="15" hidden="false" customHeight="true" outlineLevel="0" collapsed="false">
      <c r="A73" s="22" t="s">
        <v>34</v>
      </c>
      <c r="B73" s="21" t="s">
        <v>154</v>
      </c>
      <c r="C73" s="22"/>
      <c r="D73" s="23"/>
      <c r="E73" s="24"/>
      <c r="F73" s="23" t="str">
        <f aca="false">IF(OR(D73="",E73=""),"",D73*E73)</f>
        <v/>
      </c>
      <c r="G73" s="23" t="n">
        <v>270</v>
      </c>
      <c r="H73" s="24" t="n">
        <v>824.85</v>
      </c>
      <c r="I73" s="23" t="n">
        <f aca="false">IF(OR(G73="",H73=""),"",G73*H73)</f>
        <v>222709.5</v>
      </c>
      <c r="J73" s="23"/>
      <c r="K73" s="24"/>
      <c r="L73" s="23" t="str">
        <f aca="false">IF(OR(J73="",K73=""),"",J73*K73)</f>
        <v/>
      </c>
      <c r="M73" s="25" t="n">
        <f aca="false">SUM(D73,G73,J73)</f>
        <v>270</v>
      </c>
      <c r="N73" s="26" t="n">
        <f aca="false">IF(M73=0,"",O73/M73)</f>
        <v>824.85</v>
      </c>
      <c r="O73" s="27" t="n">
        <f aca="false">SUM(F73,I73,L73)</f>
        <v>222709.5</v>
      </c>
    </row>
    <row r="74" customFormat="false" ht="15" hidden="false" customHeight="true" outlineLevel="0" collapsed="false">
      <c r="A74" s="22" t="s">
        <v>32</v>
      </c>
      <c r="B74" s="21" t="s">
        <v>107</v>
      </c>
      <c r="C74" s="22"/>
      <c r="D74" s="23"/>
      <c r="E74" s="24"/>
      <c r="F74" s="23" t="str">
        <f aca="false">IF(OR(D74="",E74=""),"",D74*E74)</f>
        <v/>
      </c>
      <c r="G74" s="23" t="n">
        <v>408</v>
      </c>
      <c r="H74" s="24" t="n">
        <v>545.23</v>
      </c>
      <c r="I74" s="23" t="n">
        <f aca="false">IF(OR(G74="",H74=""),"",G74*H74)</f>
        <v>222453.84</v>
      </c>
      <c r="J74" s="23"/>
      <c r="K74" s="24"/>
      <c r="L74" s="23" t="str">
        <f aca="false">IF(OR(J74="",K74=""),"",J74*K74)</f>
        <v/>
      </c>
      <c r="M74" s="25" t="n">
        <f aca="false">SUM(D74,G74,J74)</f>
        <v>408</v>
      </c>
      <c r="N74" s="26" t="n">
        <f aca="false">IF(M74=0,"",O74/M74)</f>
        <v>545.23</v>
      </c>
      <c r="O74" s="27" t="n">
        <f aca="false">SUM(F74,I74,L74)</f>
        <v>222453.84</v>
      </c>
    </row>
    <row r="75" customFormat="false" ht="15" hidden="false" customHeight="true" outlineLevel="0" collapsed="false">
      <c r="A75" s="22" t="s">
        <v>34</v>
      </c>
      <c r="B75" s="21" t="s">
        <v>157</v>
      </c>
      <c r="C75" s="22"/>
      <c r="D75" s="23"/>
      <c r="E75" s="24"/>
      <c r="F75" s="23" t="str">
        <f aca="false">IF(OR(D75="",E75=""),"",D75*E75)</f>
        <v/>
      </c>
      <c r="G75" s="23" t="n">
        <v>240</v>
      </c>
      <c r="H75" s="24" t="n">
        <v>923.83</v>
      </c>
      <c r="I75" s="23" t="n">
        <f aca="false">IF(OR(G75="",H75=""),"",G75*H75)</f>
        <v>221719.2</v>
      </c>
      <c r="J75" s="23"/>
      <c r="K75" s="24"/>
      <c r="L75" s="23" t="str">
        <f aca="false">IF(OR(J75="",K75=""),"",J75*K75)</f>
        <v/>
      </c>
      <c r="M75" s="25" t="n">
        <f aca="false">SUM(D75,G75,J75)</f>
        <v>240</v>
      </c>
      <c r="N75" s="26" t="n">
        <f aca="false">IF(M75=0,"",O75/M75)</f>
        <v>923.83</v>
      </c>
      <c r="O75" s="27" t="n">
        <f aca="false">SUM(F75,I75,L75)</f>
        <v>221719.2</v>
      </c>
    </row>
    <row r="76" customFormat="false" ht="23.25" hidden="false" customHeight="true" outlineLevel="0" collapsed="false">
      <c r="A76" s="22" t="s">
        <v>42</v>
      </c>
      <c r="B76" s="21" t="s">
        <v>206</v>
      </c>
      <c r="C76" s="22" t="s">
        <v>207</v>
      </c>
      <c r="D76" s="23" t="n">
        <v>399</v>
      </c>
      <c r="E76" s="24" t="n">
        <v>546.55</v>
      </c>
      <c r="F76" s="23" t="n">
        <f aca="false">IF(OR(D76="",E76=""),"",D76*E76)</f>
        <v>218073.45</v>
      </c>
      <c r="G76" s="23"/>
      <c r="H76" s="24"/>
      <c r="I76" s="23" t="str">
        <f aca="false">IF(OR(G76="",H76=""),"",G76*H76)</f>
        <v/>
      </c>
      <c r="J76" s="23"/>
      <c r="K76" s="24"/>
      <c r="L76" s="23" t="str">
        <f aca="false">IF(OR(J76="",K76=""),"",J76*K76)</f>
        <v/>
      </c>
      <c r="M76" s="25" t="n">
        <f aca="false">SUM(D76,G76,J76)</f>
        <v>399</v>
      </c>
      <c r="N76" s="26" t="n">
        <f aca="false">IF(M76=0,"",O76/M76)</f>
        <v>546.55</v>
      </c>
      <c r="O76" s="27" t="n">
        <f aca="false">SUM(F76,I76,L76)</f>
        <v>218073.45</v>
      </c>
    </row>
    <row r="77" customFormat="false" ht="23.25" hidden="false" customHeight="true" outlineLevel="0" collapsed="false">
      <c r="A77" s="22" t="s">
        <v>42</v>
      </c>
      <c r="B77" s="21" t="s">
        <v>202</v>
      </c>
      <c r="C77" s="22" t="s">
        <v>203</v>
      </c>
      <c r="D77" s="23" t="n">
        <v>406</v>
      </c>
      <c r="E77" s="24" t="n">
        <v>535.36</v>
      </c>
      <c r="F77" s="23" t="n">
        <f aca="false">IF(OR(D77="",E77=""),"",D77*E77)</f>
        <v>217356.16</v>
      </c>
      <c r="G77" s="23"/>
      <c r="H77" s="24"/>
      <c r="I77" s="23" t="str">
        <f aca="false">IF(OR(G77="",H77=""),"",G77*H77)</f>
        <v/>
      </c>
      <c r="J77" s="23"/>
      <c r="K77" s="24"/>
      <c r="L77" s="23" t="str">
        <f aca="false">IF(OR(J77="",K77=""),"",J77*K77)</f>
        <v/>
      </c>
      <c r="M77" s="25" t="n">
        <f aca="false">SUM(D77,G77,J77)</f>
        <v>406</v>
      </c>
      <c r="N77" s="26" t="n">
        <f aca="false">IF(M77=0,"",O77/M77)</f>
        <v>535.36</v>
      </c>
      <c r="O77" s="27" t="n">
        <f aca="false">SUM(F77,I77,L77)</f>
        <v>217356.16</v>
      </c>
    </row>
    <row r="78" customFormat="false" ht="15" hidden="false" customHeight="true" outlineLevel="0" collapsed="false">
      <c r="A78" s="22" t="s">
        <v>53</v>
      </c>
      <c r="B78" s="21" t="s">
        <v>322</v>
      </c>
      <c r="C78" s="22"/>
      <c r="D78" s="23"/>
      <c r="E78" s="24"/>
      <c r="F78" s="23" t="str">
        <f aca="false">IF(OR(D78="",E78=""),"",D78*E78)</f>
        <v/>
      </c>
      <c r="G78" s="23" t="n">
        <v>160</v>
      </c>
      <c r="H78" s="24" t="n">
        <v>1321.41</v>
      </c>
      <c r="I78" s="23" t="n">
        <f aca="false">IF(OR(G78="",H78=""),"",G78*H78)</f>
        <v>211425.6</v>
      </c>
      <c r="J78" s="23"/>
      <c r="K78" s="24"/>
      <c r="L78" s="23" t="str">
        <f aca="false">IF(OR(J78="",K78=""),"",J78*K78)</f>
        <v/>
      </c>
      <c r="M78" s="25" t="n">
        <f aca="false">SUM(D78,G78,J78)</f>
        <v>160</v>
      </c>
      <c r="N78" s="26" t="n">
        <f aca="false">IF(M78=0,"",O78/M78)</f>
        <v>1321.41</v>
      </c>
      <c r="O78" s="27" t="n">
        <f aca="false">SUM(F78,I78,L78)</f>
        <v>211425.6</v>
      </c>
    </row>
    <row r="79" customFormat="false" ht="23.25" hidden="false" customHeight="true" outlineLevel="0" collapsed="false">
      <c r="A79" s="22" t="s">
        <v>47</v>
      </c>
      <c r="B79" s="21" t="s">
        <v>231</v>
      </c>
      <c r="C79" s="22" t="s">
        <v>232</v>
      </c>
      <c r="D79" s="23" t="n">
        <v>95</v>
      </c>
      <c r="E79" s="24" t="n">
        <v>245.65</v>
      </c>
      <c r="F79" s="23" t="n">
        <f aca="false">IF(OR(D79="",E79=""),"",D79*E79)</f>
        <v>23336.75</v>
      </c>
      <c r="G79" s="23"/>
      <c r="H79" s="24"/>
      <c r="I79" s="23" t="str">
        <f aca="false">IF(OR(G79="",H79=""),"",G79*H79)</f>
        <v/>
      </c>
      <c r="J79" s="23" t="n">
        <v>700</v>
      </c>
      <c r="K79" s="24" t="n">
        <v>263.13</v>
      </c>
      <c r="L79" s="23" t="n">
        <f aca="false">IF(OR(J79="",K79=""),"",J79*K79)</f>
        <v>184191</v>
      </c>
      <c r="M79" s="25" t="n">
        <f aca="false">SUM(D79,G79,J79)</f>
        <v>795</v>
      </c>
      <c r="N79" s="26" t="n">
        <f aca="false">IF(M79=0,"",O79/M79)</f>
        <v>261.041194968553</v>
      </c>
      <c r="O79" s="27" t="n">
        <f aca="false">SUM(F79,I79,L79)</f>
        <v>207527.75</v>
      </c>
    </row>
    <row r="80" customFormat="false" ht="15" hidden="false" customHeight="true" outlineLevel="0" collapsed="false">
      <c r="A80" s="22" t="s">
        <v>32</v>
      </c>
      <c r="B80" s="21" t="s">
        <v>106</v>
      </c>
      <c r="C80" s="22"/>
      <c r="D80" s="23"/>
      <c r="E80" s="24"/>
      <c r="F80" s="23" t="str">
        <f aca="false">IF(OR(D80="",E80=""),"",D80*E80)</f>
        <v/>
      </c>
      <c r="G80" s="23" t="n">
        <v>448</v>
      </c>
      <c r="H80" s="24" t="n">
        <v>445.42</v>
      </c>
      <c r="I80" s="23" t="n">
        <f aca="false">IF(OR(G80="",H80=""),"",G80*H80)</f>
        <v>199548.16</v>
      </c>
      <c r="J80" s="23"/>
      <c r="K80" s="24"/>
      <c r="L80" s="23" t="str">
        <f aca="false">IF(OR(J80="",K80=""),"",J80*K80)</f>
        <v/>
      </c>
      <c r="M80" s="25" t="n">
        <f aca="false">SUM(D80,G80,J80)</f>
        <v>448</v>
      </c>
      <c r="N80" s="26" t="n">
        <f aca="false">IF(M80=0,"",O80/M80)</f>
        <v>445.42</v>
      </c>
      <c r="O80" s="27" t="n">
        <f aca="false">SUM(F80,I80,L80)</f>
        <v>199548.16</v>
      </c>
    </row>
    <row r="81" customFormat="false" ht="23.25" hidden="false" customHeight="true" outlineLevel="0" collapsed="false">
      <c r="A81" s="22" t="s">
        <v>32</v>
      </c>
      <c r="B81" s="21" t="s">
        <v>110</v>
      </c>
      <c r="C81" s="22"/>
      <c r="D81" s="23"/>
      <c r="E81" s="24"/>
      <c r="F81" s="23" t="str">
        <f aca="false">IF(OR(D81="",E81=""),"",D81*E81)</f>
        <v/>
      </c>
      <c r="G81" s="23" t="n">
        <v>352</v>
      </c>
      <c r="H81" s="24" t="n">
        <v>565.85</v>
      </c>
      <c r="I81" s="23" t="n">
        <f aca="false">IF(OR(G81="",H81=""),"",G81*H81)</f>
        <v>199179.2</v>
      </c>
      <c r="J81" s="23"/>
      <c r="K81" s="24"/>
      <c r="L81" s="23" t="str">
        <f aca="false">IF(OR(J81="",K81=""),"",J81*K81)</f>
        <v/>
      </c>
      <c r="M81" s="25" t="n">
        <f aca="false">SUM(D81,G81,J81)</f>
        <v>352</v>
      </c>
      <c r="N81" s="26" t="n">
        <f aca="false">IF(M81=0,"",O81/M81)</f>
        <v>565.85</v>
      </c>
      <c r="O81" s="27" t="n">
        <f aca="false">SUM(F81,I81,L81)</f>
        <v>199179.2</v>
      </c>
    </row>
    <row r="82" customFormat="false" ht="23.25" hidden="false" customHeight="true" outlineLevel="0" collapsed="false">
      <c r="A82" s="22" t="s">
        <v>40</v>
      </c>
      <c r="B82" s="21" t="s">
        <v>184</v>
      </c>
      <c r="C82" s="22" t="s">
        <v>185</v>
      </c>
      <c r="D82" s="23" t="n">
        <v>934</v>
      </c>
      <c r="E82" s="24" t="n">
        <v>204.45</v>
      </c>
      <c r="F82" s="23" t="n">
        <f aca="false">IF(OR(D82="",E82=""),"",D82*E82)</f>
        <v>190956.3</v>
      </c>
      <c r="G82" s="23"/>
      <c r="H82" s="24"/>
      <c r="I82" s="23" t="str">
        <f aca="false">IF(OR(G82="",H82=""),"",G82*H82)</f>
        <v/>
      </c>
      <c r="J82" s="23"/>
      <c r="K82" s="24"/>
      <c r="L82" s="23" t="str">
        <f aca="false">IF(OR(J82="",K82=""),"",J82*K82)</f>
        <v/>
      </c>
      <c r="M82" s="25" t="n">
        <f aca="false">SUM(D82,G82,J82)</f>
        <v>934</v>
      </c>
      <c r="N82" s="26" t="n">
        <f aca="false">IF(M82=0,"",O82/M82)</f>
        <v>204.45</v>
      </c>
      <c r="O82" s="27" t="n">
        <f aca="false">SUM(F82,I82,L82)</f>
        <v>190956.3</v>
      </c>
    </row>
    <row r="83" customFormat="false" ht="15" hidden="false" customHeight="true" outlineLevel="0" collapsed="false">
      <c r="A83" s="22" t="s">
        <v>32</v>
      </c>
      <c r="B83" s="21" t="s">
        <v>114</v>
      </c>
      <c r="C83" s="22"/>
      <c r="D83" s="23"/>
      <c r="E83" s="24"/>
      <c r="F83" s="23" t="str">
        <f aca="false">IF(OR(D83="",E83=""),"",D83*E83)</f>
        <v/>
      </c>
      <c r="G83" s="23" t="n">
        <v>288</v>
      </c>
      <c r="H83" s="24" t="n">
        <v>661.53</v>
      </c>
      <c r="I83" s="23" t="n">
        <f aca="false">IF(OR(G83="",H83=""),"",G83*H83)</f>
        <v>190520.64</v>
      </c>
      <c r="J83" s="23"/>
      <c r="K83" s="24"/>
      <c r="L83" s="23" t="str">
        <f aca="false">IF(OR(J83="",K83=""),"",J83*K83)</f>
        <v/>
      </c>
      <c r="M83" s="25" t="n">
        <f aca="false">SUM(D83,G83,J83)</f>
        <v>288</v>
      </c>
      <c r="N83" s="26" t="n">
        <f aca="false">IF(M83=0,"",O83/M83)</f>
        <v>661.53</v>
      </c>
      <c r="O83" s="27" t="n">
        <f aca="false">SUM(F83,I83,L83)</f>
        <v>190520.64</v>
      </c>
    </row>
    <row r="84" customFormat="false" ht="15" hidden="false" customHeight="true" outlineLevel="0" collapsed="false">
      <c r="A84" s="22" t="s">
        <v>46</v>
      </c>
      <c r="B84" s="21" t="s">
        <v>323</v>
      </c>
      <c r="C84" s="22"/>
      <c r="D84" s="23"/>
      <c r="E84" s="24"/>
      <c r="F84" s="23" t="str">
        <f aca="false">IF(OR(D84="",E84=""),"",D84*E84)</f>
        <v/>
      </c>
      <c r="G84" s="23" t="n">
        <v>480</v>
      </c>
      <c r="H84" s="24" t="n">
        <v>391.8</v>
      </c>
      <c r="I84" s="23" t="n">
        <f aca="false">IF(OR(G84="",H84=""),"",G84*H84)</f>
        <v>188064</v>
      </c>
      <c r="J84" s="23"/>
      <c r="K84" s="24"/>
      <c r="L84" s="23" t="str">
        <f aca="false">IF(OR(J84="",K84=""),"",J84*K84)</f>
        <v/>
      </c>
      <c r="M84" s="25" t="n">
        <f aca="false">SUM(D84,G84,J84)</f>
        <v>480</v>
      </c>
      <c r="N84" s="26" t="n">
        <f aca="false">IF(M84=0,"",O84/M84)</f>
        <v>391.8</v>
      </c>
      <c r="O84" s="27" t="n">
        <f aca="false">SUM(F84,I84,L84)</f>
        <v>188064</v>
      </c>
    </row>
    <row r="85" customFormat="false" ht="23.25" hidden="false" customHeight="true" outlineLevel="0" collapsed="false">
      <c r="A85" s="22" t="s">
        <v>42</v>
      </c>
      <c r="B85" s="21" t="s">
        <v>204</v>
      </c>
      <c r="C85" s="22" t="s">
        <v>205</v>
      </c>
      <c r="D85" s="23" t="n">
        <v>405</v>
      </c>
      <c r="E85" s="24" t="n">
        <v>457.01</v>
      </c>
      <c r="F85" s="23" t="n">
        <f aca="false">IF(OR(D85="",E85=""),"",D85*E85)</f>
        <v>185089.05</v>
      </c>
      <c r="G85" s="23"/>
      <c r="H85" s="24"/>
      <c r="I85" s="23" t="str">
        <f aca="false">IF(OR(G85="",H85=""),"",G85*H85)</f>
        <v/>
      </c>
      <c r="J85" s="23"/>
      <c r="K85" s="24"/>
      <c r="L85" s="23" t="str">
        <f aca="false">IF(OR(J85="",K85=""),"",J85*K85)</f>
        <v/>
      </c>
      <c r="M85" s="25" t="n">
        <f aca="false">SUM(D85,G85,J85)</f>
        <v>405</v>
      </c>
      <c r="N85" s="26" t="n">
        <f aca="false">IF(M85=0,"",O85/M85)</f>
        <v>457.01</v>
      </c>
      <c r="O85" s="27" t="n">
        <f aca="false">SUM(F85,I85,L85)</f>
        <v>185089.05</v>
      </c>
    </row>
    <row r="86" customFormat="false" ht="23.25" hidden="false" customHeight="true" outlineLevel="0" collapsed="false">
      <c r="A86" s="22" t="s">
        <v>32</v>
      </c>
      <c r="B86" s="21" t="s">
        <v>112</v>
      </c>
      <c r="C86" s="22"/>
      <c r="D86" s="23"/>
      <c r="E86" s="24"/>
      <c r="F86" s="23" t="str">
        <f aca="false">IF(OR(D86="",E86=""),"",D86*E86)</f>
        <v/>
      </c>
      <c r="G86" s="23" t="n">
        <v>315</v>
      </c>
      <c r="H86" s="24" t="n">
        <v>585.64</v>
      </c>
      <c r="I86" s="23" t="n">
        <f aca="false">IF(OR(G86="",H86=""),"",G86*H86)</f>
        <v>184476.6</v>
      </c>
      <c r="J86" s="23"/>
      <c r="K86" s="24"/>
      <c r="L86" s="23" t="str">
        <f aca="false">IF(OR(J86="",K86=""),"",J86*K86)</f>
        <v/>
      </c>
      <c r="M86" s="25" t="n">
        <f aca="false">SUM(D86,G86,J86)</f>
        <v>315</v>
      </c>
      <c r="N86" s="26" t="n">
        <f aca="false">IF(M86=0,"",O86/M86)</f>
        <v>585.64</v>
      </c>
      <c r="O86" s="27" t="n">
        <f aca="false">SUM(F86,I86,L86)</f>
        <v>184476.6</v>
      </c>
    </row>
    <row r="87" customFormat="false" ht="15" hidden="false" customHeight="true" outlineLevel="0" collapsed="false">
      <c r="A87" s="22" t="s">
        <v>34</v>
      </c>
      <c r="B87" s="21" t="s">
        <v>158</v>
      </c>
      <c r="C87" s="22"/>
      <c r="D87" s="23"/>
      <c r="E87" s="24"/>
      <c r="F87" s="23" t="str">
        <f aca="false">IF(OR(D87="",E87=""),"",D87*E87)</f>
        <v/>
      </c>
      <c r="G87" s="23" t="n">
        <v>210</v>
      </c>
      <c r="H87" s="24" t="n">
        <v>866.09</v>
      </c>
      <c r="I87" s="23" t="n">
        <f aca="false">IF(OR(G87="",H87=""),"",G87*H87)</f>
        <v>181878.9</v>
      </c>
      <c r="J87" s="23"/>
      <c r="K87" s="24"/>
      <c r="L87" s="23" t="str">
        <f aca="false">IF(OR(J87="",K87=""),"",J87*K87)</f>
        <v/>
      </c>
      <c r="M87" s="25" t="n">
        <f aca="false">SUM(D87,G87,J87)</f>
        <v>210</v>
      </c>
      <c r="N87" s="26" t="n">
        <f aca="false">IF(M87=0,"",O87/M87)</f>
        <v>866.09</v>
      </c>
      <c r="O87" s="27" t="n">
        <f aca="false">SUM(F87,I87,L87)</f>
        <v>181878.9</v>
      </c>
    </row>
    <row r="88" customFormat="false" ht="23.25" hidden="false" customHeight="true" outlineLevel="0" collapsed="false">
      <c r="A88" s="22" t="s">
        <v>42</v>
      </c>
      <c r="B88" s="21" t="s">
        <v>208</v>
      </c>
      <c r="C88" s="22" t="s">
        <v>209</v>
      </c>
      <c r="D88" s="23" t="n">
        <v>327</v>
      </c>
      <c r="E88" s="24" t="n">
        <v>548.39</v>
      </c>
      <c r="F88" s="23" t="n">
        <f aca="false">IF(OR(D88="",E88=""),"",D88*E88)</f>
        <v>179323.53</v>
      </c>
      <c r="G88" s="23"/>
      <c r="H88" s="24"/>
      <c r="I88" s="23" t="str">
        <f aca="false">IF(OR(G88="",H88=""),"",G88*H88)</f>
        <v/>
      </c>
      <c r="J88" s="23"/>
      <c r="K88" s="24"/>
      <c r="L88" s="23" t="str">
        <f aca="false">IF(OR(J88="",K88=""),"",J88*K88)</f>
        <v/>
      </c>
      <c r="M88" s="25" t="n">
        <f aca="false">SUM(D88,G88,J88)</f>
        <v>327</v>
      </c>
      <c r="N88" s="26" t="n">
        <f aca="false">IF(M88=0,"",O88/M88)</f>
        <v>548.39</v>
      </c>
      <c r="O88" s="27" t="n">
        <f aca="false">SUM(F88,I88,L88)</f>
        <v>179323.53</v>
      </c>
    </row>
    <row r="89" customFormat="false" ht="15" hidden="false" customHeight="true" outlineLevel="0" collapsed="false">
      <c r="A89" s="22" t="s">
        <v>53</v>
      </c>
      <c r="B89" s="21" t="s">
        <v>324</v>
      </c>
      <c r="C89" s="22"/>
      <c r="D89" s="23"/>
      <c r="E89" s="24"/>
      <c r="F89" s="23" t="str">
        <f aca="false">IF(OR(D89="",E89=""),"",D89*E89)</f>
        <v/>
      </c>
      <c r="G89" s="23" t="n">
        <v>200</v>
      </c>
      <c r="H89" s="24" t="n">
        <v>868.73</v>
      </c>
      <c r="I89" s="23" t="n">
        <f aca="false">IF(OR(G89="",H89=""),"",G89*H89)</f>
        <v>173746</v>
      </c>
      <c r="J89" s="23"/>
      <c r="K89" s="24"/>
      <c r="L89" s="23" t="str">
        <f aca="false">IF(OR(J89="",K89=""),"",J89*K89)</f>
        <v/>
      </c>
      <c r="M89" s="25" t="n">
        <f aca="false">SUM(D89,G89,J89)</f>
        <v>200</v>
      </c>
      <c r="N89" s="26" t="n">
        <f aca="false">IF(M89=0,"",O89/M89)</f>
        <v>868.73</v>
      </c>
      <c r="O89" s="27" t="n">
        <f aca="false">SUM(F89,I89,L89)</f>
        <v>173746</v>
      </c>
    </row>
    <row r="90" customFormat="false" ht="23.25" hidden="false" customHeight="true" outlineLevel="0" collapsed="false">
      <c r="A90" s="22" t="s">
        <v>32</v>
      </c>
      <c r="B90" s="21" t="s">
        <v>113</v>
      </c>
      <c r="C90" s="22"/>
      <c r="D90" s="23"/>
      <c r="E90" s="24"/>
      <c r="F90" s="23" t="str">
        <f aca="false">IF(OR(D90="",E90=""),"",D90*E90)</f>
        <v/>
      </c>
      <c r="G90" s="23" t="n">
        <v>312</v>
      </c>
      <c r="H90" s="24" t="n">
        <v>540.28</v>
      </c>
      <c r="I90" s="23" t="n">
        <f aca="false">IF(OR(G90="",H90=""),"",G90*H90)</f>
        <v>168567.36</v>
      </c>
      <c r="J90" s="23"/>
      <c r="K90" s="24"/>
      <c r="L90" s="23" t="str">
        <f aca="false">IF(OR(J90="",K90=""),"",J90*K90)</f>
        <v/>
      </c>
      <c r="M90" s="25" t="n">
        <f aca="false">SUM(D90,G90,J90)</f>
        <v>312</v>
      </c>
      <c r="N90" s="26" t="n">
        <f aca="false">IF(M90=0,"",O90/M90)</f>
        <v>540.28</v>
      </c>
      <c r="O90" s="27" t="n">
        <f aca="false">SUM(F90,I90,L90)</f>
        <v>168567.36</v>
      </c>
    </row>
    <row r="91" customFormat="false" ht="23.25" hidden="false" customHeight="true" outlineLevel="0" collapsed="false">
      <c r="A91" s="22" t="s">
        <v>42</v>
      </c>
      <c r="B91" s="21" t="s">
        <v>210</v>
      </c>
      <c r="C91" s="22" t="s">
        <v>211</v>
      </c>
      <c r="D91" s="23" t="n">
        <v>292</v>
      </c>
      <c r="E91" s="24" t="n">
        <v>525.86</v>
      </c>
      <c r="F91" s="23" t="n">
        <f aca="false">IF(OR(D91="",E91=""),"",D91*E91)</f>
        <v>153551.12</v>
      </c>
      <c r="G91" s="23"/>
      <c r="H91" s="24"/>
      <c r="I91" s="23" t="str">
        <f aca="false">IF(OR(G91="",H91=""),"",G91*H91)</f>
        <v/>
      </c>
      <c r="J91" s="23"/>
      <c r="K91" s="24"/>
      <c r="L91" s="23" t="str">
        <f aca="false">IF(OR(J91="",K91=""),"",J91*K91)</f>
        <v/>
      </c>
      <c r="M91" s="25" t="n">
        <f aca="false">SUM(D91,G91,J91)</f>
        <v>292</v>
      </c>
      <c r="N91" s="26" t="n">
        <f aca="false">IF(M91=0,"",O91/M91)</f>
        <v>525.86</v>
      </c>
      <c r="O91" s="27" t="n">
        <f aca="false">SUM(F91,I91,L91)</f>
        <v>153551.12</v>
      </c>
    </row>
    <row r="92" customFormat="false" ht="23.25" hidden="false" customHeight="true" outlineLevel="0" collapsed="false">
      <c r="A92" s="22" t="s">
        <v>38</v>
      </c>
      <c r="B92" s="21" t="s">
        <v>172</v>
      </c>
      <c r="C92" s="22" t="s">
        <v>173</v>
      </c>
      <c r="D92" s="23" t="n">
        <v>160</v>
      </c>
      <c r="E92" s="24" t="n">
        <v>938.3</v>
      </c>
      <c r="F92" s="23" t="n">
        <f aca="false">IF(OR(D92="",E92=""),"",D92*E92)</f>
        <v>150128</v>
      </c>
      <c r="G92" s="23"/>
      <c r="H92" s="24"/>
      <c r="I92" s="23" t="str">
        <f aca="false">IF(OR(G92="",H92=""),"",G92*H92)</f>
        <v/>
      </c>
      <c r="J92" s="23"/>
      <c r="K92" s="24"/>
      <c r="L92" s="23" t="str">
        <f aca="false">IF(OR(J92="",K92=""),"",J92*K92)</f>
        <v/>
      </c>
      <c r="M92" s="25" t="n">
        <f aca="false">SUM(D92,G92,J92)</f>
        <v>160</v>
      </c>
      <c r="N92" s="26" t="n">
        <f aca="false">IF(M92=0,"",O92/M92)</f>
        <v>938.3</v>
      </c>
      <c r="O92" s="27" t="n">
        <f aca="false">SUM(F92,I92,L92)</f>
        <v>150128</v>
      </c>
    </row>
    <row r="93" customFormat="false" ht="15" hidden="false" customHeight="true" outlineLevel="0" collapsed="false">
      <c r="A93" s="22" t="s">
        <v>34</v>
      </c>
      <c r="B93" s="21" t="s">
        <v>153</v>
      </c>
      <c r="C93" s="22"/>
      <c r="D93" s="23"/>
      <c r="E93" s="24"/>
      <c r="F93" s="23" t="str">
        <f aca="false">IF(OR(D93="",E93=""),"",D93*E93)</f>
        <v/>
      </c>
      <c r="G93" s="23" t="n">
        <v>300</v>
      </c>
      <c r="H93" s="24" t="n">
        <v>490.79</v>
      </c>
      <c r="I93" s="23" t="n">
        <f aca="false">IF(OR(G93="",H93=""),"",G93*H93)</f>
        <v>147237</v>
      </c>
      <c r="J93" s="23"/>
      <c r="K93" s="24"/>
      <c r="L93" s="23" t="str">
        <f aca="false">IF(OR(J93="",K93=""),"",J93*K93)</f>
        <v/>
      </c>
      <c r="M93" s="25" t="n">
        <f aca="false">SUM(D93,G93,J93)</f>
        <v>300</v>
      </c>
      <c r="N93" s="26" t="n">
        <f aca="false">IF(M93=0,"",O93/M93)</f>
        <v>490.79</v>
      </c>
      <c r="O93" s="27" t="n">
        <f aca="false">SUM(F93,I93,L93)</f>
        <v>147237</v>
      </c>
    </row>
    <row r="94" customFormat="false" ht="23.25" hidden="false" customHeight="true" outlineLevel="0" collapsed="false">
      <c r="A94" s="22" t="s">
        <v>42</v>
      </c>
      <c r="B94" s="21" t="s">
        <v>212</v>
      </c>
      <c r="C94" s="22" t="s">
        <v>213</v>
      </c>
      <c r="D94" s="23" t="n">
        <v>273</v>
      </c>
      <c r="E94" s="24" t="n">
        <v>525.99</v>
      </c>
      <c r="F94" s="23" t="n">
        <f aca="false">IF(OR(D94="",E94=""),"",D94*E94)</f>
        <v>143595.27</v>
      </c>
      <c r="G94" s="23"/>
      <c r="H94" s="24"/>
      <c r="I94" s="23" t="str">
        <f aca="false">IF(OR(G94="",H94=""),"",G94*H94)</f>
        <v/>
      </c>
      <c r="J94" s="23"/>
      <c r="K94" s="24"/>
      <c r="L94" s="23" t="str">
        <f aca="false">IF(OR(J94="",K94=""),"",J94*K94)</f>
        <v/>
      </c>
      <c r="M94" s="25" t="n">
        <f aca="false">SUM(D94,G94,J94)</f>
        <v>273</v>
      </c>
      <c r="N94" s="26" t="n">
        <f aca="false">IF(M94=0,"",O94/M94)</f>
        <v>525.99</v>
      </c>
      <c r="O94" s="27" t="n">
        <f aca="false">SUM(F94,I94,L94)</f>
        <v>143595.27</v>
      </c>
    </row>
    <row r="95" customFormat="false" ht="23.25" hidden="false" customHeight="true" outlineLevel="0" collapsed="false">
      <c r="A95" s="22" t="s">
        <v>47</v>
      </c>
      <c r="B95" s="21" t="s">
        <v>235</v>
      </c>
      <c r="C95" s="22" t="s">
        <v>236</v>
      </c>
      <c r="D95" s="23" t="n">
        <v>707</v>
      </c>
      <c r="E95" s="24" t="n">
        <v>201.56</v>
      </c>
      <c r="F95" s="23" t="n">
        <f aca="false">IF(OR(D95="",E95=""),"",D95*E95)</f>
        <v>142502.92</v>
      </c>
      <c r="G95" s="23"/>
      <c r="H95" s="24"/>
      <c r="I95" s="23" t="str">
        <f aca="false">IF(OR(G95="",H95=""),"",G95*H95)</f>
        <v/>
      </c>
      <c r="J95" s="23"/>
      <c r="K95" s="24"/>
      <c r="L95" s="23" t="str">
        <f aca="false">IF(OR(J95="",K95=""),"",J95*K95)</f>
        <v/>
      </c>
      <c r="M95" s="25" t="n">
        <f aca="false">SUM(D95,G95,J95)</f>
        <v>707</v>
      </c>
      <c r="N95" s="26" t="n">
        <f aca="false">IF(M95=0,"",O95/M95)</f>
        <v>201.56</v>
      </c>
      <c r="O95" s="27" t="n">
        <f aca="false">SUM(F95,I95,L95)</f>
        <v>142502.92</v>
      </c>
    </row>
    <row r="96" customFormat="false" ht="23.25" hidden="false" customHeight="true" outlineLevel="0" collapsed="false">
      <c r="A96" s="22" t="s">
        <v>32</v>
      </c>
      <c r="B96" s="21" t="s">
        <v>95</v>
      </c>
      <c r="C96" s="22" t="s">
        <v>96</v>
      </c>
      <c r="D96" s="23" t="n">
        <v>1296</v>
      </c>
      <c r="E96" s="24" t="n">
        <v>106.63</v>
      </c>
      <c r="F96" s="23" t="n">
        <f aca="false">IF(OR(D96="",E96=""),"",D96*E96)</f>
        <v>138192.48</v>
      </c>
      <c r="G96" s="23"/>
      <c r="H96" s="24"/>
      <c r="I96" s="23" t="str">
        <f aca="false">IF(OR(G96="",H96=""),"",G96*H96)</f>
        <v/>
      </c>
      <c r="J96" s="23"/>
      <c r="K96" s="24"/>
      <c r="L96" s="23" t="str">
        <f aca="false">IF(OR(J96="",K96=""),"",J96*K96)</f>
        <v/>
      </c>
      <c r="M96" s="25" t="n">
        <f aca="false">SUM(D96,G96,J96)</f>
        <v>1296</v>
      </c>
      <c r="N96" s="26" t="n">
        <f aca="false">IF(M96=0,"",O96/M96)</f>
        <v>106.63</v>
      </c>
      <c r="O96" s="27" t="n">
        <f aca="false">SUM(F96,I96,L96)</f>
        <v>138192.48</v>
      </c>
    </row>
    <row r="97" customFormat="false" ht="23.25" hidden="false" customHeight="true" outlineLevel="0" collapsed="false">
      <c r="A97" s="22" t="s">
        <v>32</v>
      </c>
      <c r="B97" s="21" t="s">
        <v>111</v>
      </c>
      <c r="C97" s="22"/>
      <c r="D97" s="23"/>
      <c r="E97" s="24"/>
      <c r="F97" s="23" t="str">
        <f aca="false">IF(OR(D97="",E97=""),"",D97*E97)</f>
        <v/>
      </c>
      <c r="G97" s="23" t="n">
        <v>320</v>
      </c>
      <c r="H97" s="24" t="n">
        <v>423.97</v>
      </c>
      <c r="I97" s="23" t="n">
        <f aca="false">IF(OR(G97="",H97=""),"",G97*H97)</f>
        <v>135670.4</v>
      </c>
      <c r="J97" s="23"/>
      <c r="K97" s="24"/>
      <c r="L97" s="23" t="str">
        <f aca="false">IF(OR(J97="",K97=""),"",J97*K97)</f>
        <v/>
      </c>
      <c r="M97" s="25" t="n">
        <f aca="false">SUM(D97,G97,J97)</f>
        <v>320</v>
      </c>
      <c r="N97" s="26" t="n">
        <f aca="false">IF(M97=0,"",O97/M97)</f>
        <v>423.97</v>
      </c>
      <c r="O97" s="27" t="n">
        <f aca="false">SUM(F97,I97,L97)</f>
        <v>135670.4</v>
      </c>
    </row>
    <row r="98" customFormat="false" ht="23.25" hidden="false" customHeight="true" outlineLevel="0" collapsed="false">
      <c r="A98" s="22" t="s">
        <v>36</v>
      </c>
      <c r="B98" s="21" t="s">
        <v>139</v>
      </c>
      <c r="C98" s="22" t="s">
        <v>140</v>
      </c>
      <c r="D98" s="23" t="n">
        <v>250</v>
      </c>
      <c r="E98" s="24" t="n">
        <v>532.86</v>
      </c>
      <c r="F98" s="23" t="n">
        <f aca="false">IF(OR(D98="",E98=""),"",D98*E98)</f>
        <v>133215</v>
      </c>
      <c r="G98" s="23"/>
      <c r="H98" s="24"/>
      <c r="I98" s="23" t="str">
        <f aca="false">IF(OR(G98="",H98=""),"",G98*H98)</f>
        <v/>
      </c>
      <c r="J98" s="23"/>
      <c r="K98" s="24"/>
      <c r="L98" s="23" t="str">
        <f aca="false">IF(OR(J98="",K98=""),"",J98*K98)</f>
        <v/>
      </c>
      <c r="M98" s="25" t="n">
        <f aca="false">SUM(D98,G98,J98)</f>
        <v>250</v>
      </c>
      <c r="N98" s="26" t="n">
        <f aca="false">IF(M98=0,"",O98/M98)</f>
        <v>532.86</v>
      </c>
      <c r="O98" s="27" t="n">
        <f aca="false">SUM(F98,I98,L98)</f>
        <v>133215</v>
      </c>
    </row>
    <row r="99" customFormat="false" ht="15" hidden="false" customHeight="true" outlineLevel="0" collapsed="false">
      <c r="A99" s="22" t="s">
        <v>47</v>
      </c>
      <c r="B99" s="21" t="s">
        <v>243</v>
      </c>
      <c r="C99" s="22"/>
      <c r="D99" s="23"/>
      <c r="E99" s="24"/>
      <c r="F99" s="23" t="str">
        <f aca="false">IF(OR(D99="",E99=""),"",D99*E99)</f>
        <v/>
      </c>
      <c r="G99" s="23"/>
      <c r="H99" s="24"/>
      <c r="I99" s="23" t="str">
        <f aca="false">IF(OR(G99="",H99=""),"",G99*H99)</f>
        <v/>
      </c>
      <c r="J99" s="23" t="n">
        <v>400</v>
      </c>
      <c r="K99" s="24" t="n">
        <v>330.43</v>
      </c>
      <c r="L99" s="23" t="n">
        <f aca="false">IF(OR(J99="",K99=""),"",J99*K99)</f>
        <v>132172</v>
      </c>
      <c r="M99" s="25" t="n">
        <f aca="false">SUM(D99,G99,J99)</f>
        <v>400</v>
      </c>
      <c r="N99" s="26" t="n">
        <f aca="false">IF(M99=0,"",O99/M99)</f>
        <v>330.43</v>
      </c>
      <c r="O99" s="27" t="n">
        <f aca="false">SUM(F99,I99,L99)</f>
        <v>132172</v>
      </c>
    </row>
    <row r="100" customFormat="false" ht="23.25" hidden="false" customHeight="true" outlineLevel="0" collapsed="false">
      <c r="A100" s="22" t="s">
        <v>47</v>
      </c>
      <c r="B100" s="21" t="s">
        <v>237</v>
      </c>
      <c r="C100" s="22" t="s">
        <v>238</v>
      </c>
      <c r="D100" s="23" t="n">
        <v>651</v>
      </c>
      <c r="E100" s="24" t="n">
        <v>201.56</v>
      </c>
      <c r="F100" s="23" t="n">
        <f aca="false">IF(OR(D100="",E100=""),"",D100*E100)</f>
        <v>131215.56</v>
      </c>
      <c r="G100" s="23"/>
      <c r="H100" s="24"/>
      <c r="I100" s="23" t="str">
        <f aca="false">IF(OR(G100="",H100=""),"",G100*H100)</f>
        <v/>
      </c>
      <c r="J100" s="23"/>
      <c r="K100" s="24"/>
      <c r="L100" s="23" t="str">
        <f aca="false">IF(OR(J100="",K100=""),"",J100*K100)</f>
        <v/>
      </c>
      <c r="M100" s="25" t="n">
        <f aca="false">SUM(D100,G100,J100)</f>
        <v>651</v>
      </c>
      <c r="N100" s="26" t="n">
        <f aca="false">IF(M100=0,"",O100/M100)</f>
        <v>201.56</v>
      </c>
      <c r="O100" s="27" t="n">
        <f aca="false">SUM(F100,I100,L100)</f>
        <v>131215.56</v>
      </c>
    </row>
    <row r="101" customFormat="false" ht="23.25" hidden="false" customHeight="true" outlineLevel="0" collapsed="false">
      <c r="A101" s="22" t="s">
        <v>47</v>
      </c>
      <c r="B101" s="21" t="s">
        <v>239</v>
      </c>
      <c r="C101" s="22" t="s">
        <v>240</v>
      </c>
      <c r="D101" s="23" t="n">
        <v>82</v>
      </c>
      <c r="E101" s="24" t="n">
        <v>270.81</v>
      </c>
      <c r="F101" s="23" t="n">
        <f aca="false">IF(OR(D101="",E101=""),"",D101*E101)</f>
        <v>22206.42</v>
      </c>
      <c r="G101" s="23"/>
      <c r="H101" s="24"/>
      <c r="I101" s="23" t="str">
        <f aca="false">IF(OR(G101="",H101=""),"",G101*H101)</f>
        <v/>
      </c>
      <c r="J101" s="23" t="n">
        <v>400</v>
      </c>
      <c r="K101" s="24" t="n">
        <v>255.21</v>
      </c>
      <c r="L101" s="23" t="n">
        <f aca="false">IF(OR(J101="",K101=""),"",J101*K101)</f>
        <v>102084</v>
      </c>
      <c r="M101" s="25" t="n">
        <f aca="false">SUM(D101,G101,J101)</f>
        <v>482</v>
      </c>
      <c r="N101" s="26" t="n">
        <f aca="false">IF(M101=0,"",O101/M101)</f>
        <v>257.863941908714</v>
      </c>
      <c r="O101" s="27" t="n">
        <f aca="false">SUM(F101,I101,L101)</f>
        <v>124290.42</v>
      </c>
    </row>
    <row r="102" customFormat="false" ht="23.25" hidden="false" customHeight="true" outlineLevel="0" collapsed="false">
      <c r="A102" s="22" t="s">
        <v>65</v>
      </c>
      <c r="B102" s="21" t="s">
        <v>287</v>
      </c>
      <c r="C102" s="22" t="s">
        <v>288</v>
      </c>
      <c r="D102" s="23" t="n">
        <v>361</v>
      </c>
      <c r="E102" s="24" t="n">
        <v>343.82</v>
      </c>
      <c r="F102" s="23" t="n">
        <f aca="false">IF(OR(D102="",E102=""),"",D102*E102)</f>
        <v>124119.02</v>
      </c>
      <c r="G102" s="23"/>
      <c r="H102" s="24"/>
      <c r="I102" s="23" t="str">
        <f aca="false">IF(OR(G102="",H102=""),"",G102*H102)</f>
        <v/>
      </c>
      <c r="J102" s="23"/>
      <c r="K102" s="24"/>
      <c r="L102" s="23" t="str">
        <f aca="false">IF(OR(J102="",K102=""),"",J102*K102)</f>
        <v/>
      </c>
      <c r="M102" s="25" t="n">
        <f aca="false">SUM(D102,G102,J102)</f>
        <v>361</v>
      </c>
      <c r="N102" s="26" t="n">
        <f aca="false">IF(M102=0,"",O102/M102)</f>
        <v>343.82</v>
      </c>
      <c r="O102" s="27" t="n">
        <f aca="false">SUM(F102,I102,L102)</f>
        <v>124119.02</v>
      </c>
    </row>
    <row r="103" customFormat="false" ht="23.25" hidden="false" customHeight="true" outlineLevel="0" collapsed="false">
      <c r="A103" s="22" t="s">
        <v>63</v>
      </c>
      <c r="B103" s="21" t="s">
        <v>283</v>
      </c>
      <c r="C103" s="22" t="s">
        <v>284</v>
      </c>
      <c r="D103" s="23" t="n">
        <v>200</v>
      </c>
      <c r="E103" s="24" t="n">
        <v>602.18</v>
      </c>
      <c r="F103" s="23" t="n">
        <f aca="false">IF(OR(D103="",E103=""),"",D103*E103)</f>
        <v>120436</v>
      </c>
      <c r="G103" s="23"/>
      <c r="H103" s="24"/>
      <c r="I103" s="23" t="str">
        <f aca="false">IF(OR(G103="",H103=""),"",G103*H103)</f>
        <v/>
      </c>
      <c r="J103" s="23"/>
      <c r="K103" s="24"/>
      <c r="L103" s="23" t="str">
        <f aca="false">IF(OR(J103="",K103=""),"",J103*K103)</f>
        <v/>
      </c>
      <c r="M103" s="25" t="n">
        <f aca="false">SUM(D103,G103,J103)</f>
        <v>200</v>
      </c>
      <c r="N103" s="26" t="n">
        <f aca="false">IF(M103=0,"",O103/M103)</f>
        <v>602.18</v>
      </c>
      <c r="O103" s="27" t="n">
        <f aca="false">SUM(F103,I103,L103)</f>
        <v>120436</v>
      </c>
    </row>
    <row r="104" customFormat="false" ht="23.25" hidden="false" customHeight="true" outlineLevel="0" collapsed="false">
      <c r="A104" s="22" t="s">
        <v>42</v>
      </c>
      <c r="B104" s="21" t="s">
        <v>214</v>
      </c>
      <c r="C104" s="22" t="s">
        <v>215</v>
      </c>
      <c r="D104" s="23" t="n">
        <v>202</v>
      </c>
      <c r="E104" s="24" t="n">
        <v>535.36</v>
      </c>
      <c r="F104" s="23" t="n">
        <f aca="false">IF(OR(D104="",E104=""),"",D104*E104)</f>
        <v>108142.72</v>
      </c>
      <c r="G104" s="23"/>
      <c r="H104" s="24"/>
      <c r="I104" s="23" t="str">
        <f aca="false">IF(OR(G104="",H104=""),"",G104*H104)</f>
        <v/>
      </c>
      <c r="J104" s="23"/>
      <c r="K104" s="24"/>
      <c r="L104" s="23" t="str">
        <f aca="false">IF(OR(J104="",K104=""),"",J104*K104)</f>
        <v/>
      </c>
      <c r="M104" s="25" t="n">
        <f aca="false">SUM(D104,G104,J104)</f>
        <v>202</v>
      </c>
      <c r="N104" s="26" t="n">
        <f aca="false">IF(M104=0,"",O104/M104)</f>
        <v>535.36</v>
      </c>
      <c r="O104" s="27" t="n">
        <f aca="false">SUM(F104,I104,L104)</f>
        <v>108142.72</v>
      </c>
    </row>
    <row r="105" customFormat="false" ht="23.25" hidden="false" customHeight="true" outlineLevel="0" collapsed="false">
      <c r="A105" s="22" t="s">
        <v>40</v>
      </c>
      <c r="B105" s="21" t="s">
        <v>188</v>
      </c>
      <c r="C105" s="22" t="s">
        <v>189</v>
      </c>
      <c r="D105" s="23" t="n">
        <v>356</v>
      </c>
      <c r="E105" s="24" t="n">
        <v>291.9</v>
      </c>
      <c r="F105" s="23" t="n">
        <f aca="false">IF(OR(D105="",E105=""),"",D105*E105)</f>
        <v>103916.4</v>
      </c>
      <c r="G105" s="23"/>
      <c r="H105" s="24"/>
      <c r="I105" s="23" t="str">
        <f aca="false">IF(OR(G105="",H105=""),"",G105*H105)</f>
        <v/>
      </c>
      <c r="J105" s="23"/>
      <c r="K105" s="24"/>
      <c r="L105" s="23" t="str">
        <f aca="false">IF(OR(J105="",K105=""),"",J105*K105)</f>
        <v/>
      </c>
      <c r="M105" s="25" t="n">
        <f aca="false">SUM(D105,G105,J105)</f>
        <v>356</v>
      </c>
      <c r="N105" s="26" t="n">
        <f aca="false">IF(M105=0,"",O105/M105)</f>
        <v>291.9</v>
      </c>
      <c r="O105" s="27" t="n">
        <f aca="false">SUM(F105,I105,L105)</f>
        <v>103916.4</v>
      </c>
    </row>
    <row r="106" customFormat="false" ht="23.25" hidden="false" customHeight="true" outlineLevel="0" collapsed="false">
      <c r="A106" s="22" t="s">
        <v>47</v>
      </c>
      <c r="B106" s="21" t="s">
        <v>241</v>
      </c>
      <c r="C106" s="22" t="s">
        <v>242</v>
      </c>
      <c r="D106" s="23" t="n">
        <v>476</v>
      </c>
      <c r="E106" s="24" t="n">
        <v>201.56</v>
      </c>
      <c r="F106" s="23" t="n">
        <f aca="false">IF(OR(D106="",E106=""),"",D106*E106)</f>
        <v>95942.56</v>
      </c>
      <c r="G106" s="23"/>
      <c r="H106" s="24"/>
      <c r="I106" s="23" t="str">
        <f aca="false">IF(OR(G106="",H106=""),"",G106*H106)</f>
        <v/>
      </c>
      <c r="J106" s="23"/>
      <c r="K106" s="24"/>
      <c r="L106" s="23" t="str">
        <f aca="false">IF(OR(J106="",K106=""),"",J106*K106)</f>
        <v/>
      </c>
      <c r="M106" s="25" t="n">
        <f aca="false">SUM(D106,G106,J106)</f>
        <v>476</v>
      </c>
      <c r="N106" s="26" t="n">
        <f aca="false">IF(M106=0,"",O106/M106)</f>
        <v>201.56</v>
      </c>
      <c r="O106" s="27" t="n">
        <f aca="false">SUM(F106,I106,L106)</f>
        <v>95942.56</v>
      </c>
    </row>
    <row r="107" customFormat="false" ht="23.25" hidden="false" customHeight="true" outlineLevel="0" collapsed="false">
      <c r="A107" s="22" t="s">
        <v>63</v>
      </c>
      <c r="B107" s="21" t="s">
        <v>281</v>
      </c>
      <c r="C107" s="22" t="s">
        <v>282</v>
      </c>
      <c r="D107" s="23" t="n">
        <v>349</v>
      </c>
      <c r="E107" s="24" t="n">
        <v>266.45</v>
      </c>
      <c r="F107" s="23" t="n">
        <f aca="false">IF(OR(D107="",E107=""),"",D107*E107)</f>
        <v>92991.05</v>
      </c>
      <c r="G107" s="23"/>
      <c r="H107" s="24"/>
      <c r="I107" s="23" t="str">
        <f aca="false">IF(OR(G107="",H107=""),"",G107*H107)</f>
        <v/>
      </c>
      <c r="J107" s="23"/>
      <c r="K107" s="24"/>
      <c r="L107" s="23" t="str">
        <f aca="false">IF(OR(J107="",K107=""),"",J107*K107)</f>
        <v/>
      </c>
      <c r="M107" s="25" t="n">
        <f aca="false">SUM(D107,G107,J107)</f>
        <v>349</v>
      </c>
      <c r="N107" s="26" t="n">
        <f aca="false">IF(M107=0,"",O107/M107)</f>
        <v>266.45</v>
      </c>
      <c r="O107" s="27" t="n">
        <f aca="false">SUM(F107,I107,L107)</f>
        <v>92991.05</v>
      </c>
    </row>
    <row r="108" customFormat="false" ht="23.25" hidden="false" customHeight="true" outlineLevel="0" collapsed="false">
      <c r="A108" s="22" t="s">
        <v>67</v>
      </c>
      <c r="B108" s="21" t="s">
        <v>289</v>
      </c>
      <c r="C108" s="22" t="s">
        <v>290</v>
      </c>
      <c r="D108" s="23" t="n">
        <v>116</v>
      </c>
      <c r="E108" s="24" t="n">
        <v>722.04</v>
      </c>
      <c r="F108" s="23" t="n">
        <f aca="false">IF(OR(D108="",E108=""),"",D108*E108)</f>
        <v>83756.64</v>
      </c>
      <c r="G108" s="23"/>
      <c r="H108" s="24"/>
      <c r="I108" s="23" t="str">
        <f aca="false">IF(OR(G108="",H108=""),"",G108*H108)</f>
        <v/>
      </c>
      <c r="J108" s="23"/>
      <c r="K108" s="24"/>
      <c r="L108" s="23" t="str">
        <f aca="false">IF(OR(J108="",K108=""),"",J108*K108)</f>
        <v/>
      </c>
      <c r="M108" s="25" t="n">
        <f aca="false">SUM(D108,G108,J108)</f>
        <v>116</v>
      </c>
      <c r="N108" s="26" t="n">
        <f aca="false">IF(M108=0,"",O108/M108)</f>
        <v>722.04</v>
      </c>
      <c r="O108" s="27" t="n">
        <f aca="false">SUM(F108,I108,L108)</f>
        <v>83756.64</v>
      </c>
    </row>
    <row r="109" customFormat="false" ht="23.25" hidden="false" customHeight="true" outlineLevel="0" collapsed="false">
      <c r="A109" s="22" t="s">
        <v>36</v>
      </c>
      <c r="B109" s="21" t="s">
        <v>137</v>
      </c>
      <c r="C109" s="22" t="s">
        <v>138</v>
      </c>
      <c r="D109" s="23" t="n">
        <v>404</v>
      </c>
      <c r="E109" s="24" t="n">
        <v>177.62</v>
      </c>
      <c r="F109" s="23" t="n">
        <f aca="false">IF(OR(D109="",E109=""),"",D109*E109)</f>
        <v>71758.48</v>
      </c>
      <c r="G109" s="23"/>
      <c r="H109" s="24"/>
      <c r="I109" s="23" t="str">
        <f aca="false">IF(OR(G109="",H109=""),"",G109*H109)</f>
        <v/>
      </c>
      <c r="J109" s="23"/>
      <c r="K109" s="24"/>
      <c r="L109" s="23" t="str">
        <f aca="false">IF(OR(J109="",K109=""),"",J109*K109)</f>
        <v/>
      </c>
      <c r="M109" s="25" t="n">
        <f aca="false">SUM(D109,G109,J109)</f>
        <v>404</v>
      </c>
      <c r="N109" s="26" t="n">
        <f aca="false">IF(M109=0,"",O109/M109)</f>
        <v>177.62</v>
      </c>
      <c r="O109" s="27" t="n">
        <f aca="false">SUM(F109,I109,L109)</f>
        <v>71758.48</v>
      </c>
    </row>
    <row r="110" customFormat="false" ht="23.25" hidden="false" customHeight="true" outlineLevel="0" collapsed="false">
      <c r="A110" s="22" t="s">
        <v>42</v>
      </c>
      <c r="B110" s="21" t="s">
        <v>216</v>
      </c>
      <c r="C110" s="22" t="s">
        <v>217</v>
      </c>
      <c r="D110" s="23" t="n">
        <v>156</v>
      </c>
      <c r="E110" s="24" t="n">
        <v>457.01</v>
      </c>
      <c r="F110" s="23" t="n">
        <f aca="false">IF(OR(D110="",E110=""),"",D110*E110)</f>
        <v>71293.56</v>
      </c>
      <c r="G110" s="23"/>
      <c r="H110" s="24"/>
      <c r="I110" s="23" t="str">
        <f aca="false">IF(OR(G110="",H110=""),"",G110*H110)</f>
        <v/>
      </c>
      <c r="J110" s="23"/>
      <c r="K110" s="24"/>
      <c r="L110" s="23" t="str">
        <f aca="false">IF(OR(J110="",K110=""),"",J110*K110)</f>
        <v/>
      </c>
      <c r="M110" s="25" t="n">
        <f aca="false">SUM(D110,G110,J110)</f>
        <v>156</v>
      </c>
      <c r="N110" s="26" t="n">
        <f aca="false">IF(M110=0,"",O110/M110)</f>
        <v>457.01</v>
      </c>
      <c r="O110" s="27" t="n">
        <f aca="false">SUM(F110,I110,L110)</f>
        <v>71293.56</v>
      </c>
    </row>
    <row r="111" customFormat="false" ht="23.25" hidden="false" customHeight="true" outlineLevel="0" collapsed="false">
      <c r="A111" s="22" t="s">
        <v>47</v>
      </c>
      <c r="B111" s="21" t="s">
        <v>244</v>
      </c>
      <c r="C111" s="22" t="s">
        <v>245</v>
      </c>
      <c r="D111" s="23" t="n">
        <v>344</v>
      </c>
      <c r="E111" s="24" t="n">
        <v>202.27</v>
      </c>
      <c r="F111" s="23" t="n">
        <f aca="false">IF(OR(D111="",E111=""),"",D111*E111)</f>
        <v>69580.88</v>
      </c>
      <c r="G111" s="23"/>
      <c r="H111" s="24"/>
      <c r="I111" s="23" t="str">
        <f aca="false">IF(OR(G111="",H111=""),"",G111*H111)</f>
        <v/>
      </c>
      <c r="J111" s="23"/>
      <c r="K111" s="24"/>
      <c r="L111" s="23" t="str">
        <f aca="false">IF(OR(J111="",K111=""),"",J111*K111)</f>
        <v/>
      </c>
      <c r="M111" s="25" t="n">
        <f aca="false">SUM(D111,G111,J111)</f>
        <v>344</v>
      </c>
      <c r="N111" s="26" t="n">
        <f aca="false">IF(M111=0,"",O111/M111)</f>
        <v>202.27</v>
      </c>
      <c r="O111" s="27" t="n">
        <f aca="false">SUM(F111,I111,L111)</f>
        <v>69580.88</v>
      </c>
    </row>
    <row r="112" customFormat="false" ht="15" hidden="false" customHeight="true" outlineLevel="0" collapsed="false">
      <c r="A112" s="22" t="s">
        <v>47</v>
      </c>
      <c r="B112" s="21" t="s">
        <v>250</v>
      </c>
      <c r="C112" s="22"/>
      <c r="D112" s="23"/>
      <c r="E112" s="24"/>
      <c r="F112" s="23" t="str">
        <f aca="false">IF(OR(D112="",E112=""),"",D112*E112)</f>
        <v/>
      </c>
      <c r="G112" s="23"/>
      <c r="H112" s="24"/>
      <c r="I112" s="23" t="str">
        <f aca="false">IF(OR(G112="",H112=""),"",G112*H112)</f>
        <v/>
      </c>
      <c r="J112" s="23" t="n">
        <v>200</v>
      </c>
      <c r="K112" s="24" t="n">
        <v>330.43</v>
      </c>
      <c r="L112" s="23" t="n">
        <f aca="false">IF(OR(J112="",K112=""),"",J112*K112)</f>
        <v>66086</v>
      </c>
      <c r="M112" s="25" t="n">
        <f aca="false">SUM(D112,G112,J112)</f>
        <v>200</v>
      </c>
      <c r="N112" s="26" t="n">
        <f aca="false">IF(M112=0,"",O112/M112)</f>
        <v>330.43</v>
      </c>
      <c r="O112" s="27" t="n">
        <f aca="false">SUM(F112,I112,L112)</f>
        <v>66086</v>
      </c>
    </row>
    <row r="113" customFormat="false" ht="23.25" hidden="false" customHeight="true" outlineLevel="0" collapsed="false">
      <c r="A113" s="22" t="s">
        <v>42</v>
      </c>
      <c r="B113" s="21" t="s">
        <v>218</v>
      </c>
      <c r="C113" s="22" t="s">
        <v>219</v>
      </c>
      <c r="D113" s="23" t="n">
        <v>144</v>
      </c>
      <c r="E113" s="24" t="n">
        <v>457.01</v>
      </c>
      <c r="F113" s="23" t="n">
        <f aca="false">IF(OR(D113="",E113=""),"",D113*E113)</f>
        <v>65809.44</v>
      </c>
      <c r="G113" s="23"/>
      <c r="H113" s="24"/>
      <c r="I113" s="23" t="str">
        <f aca="false">IF(OR(G113="",H113=""),"",G113*H113)</f>
        <v/>
      </c>
      <c r="J113" s="23"/>
      <c r="K113" s="24"/>
      <c r="L113" s="23" t="str">
        <f aca="false">IF(OR(J113="",K113=""),"",J113*K113)</f>
        <v/>
      </c>
      <c r="M113" s="25" t="n">
        <f aca="false">SUM(D113,G113,J113)</f>
        <v>144</v>
      </c>
      <c r="N113" s="26" t="n">
        <f aca="false">IF(M113=0,"",O113/M113)</f>
        <v>457.01</v>
      </c>
      <c r="O113" s="27" t="n">
        <f aca="false">SUM(F113,I113,L113)</f>
        <v>65809.44</v>
      </c>
    </row>
    <row r="114" customFormat="false" ht="23.25" hidden="false" customHeight="true" outlineLevel="0" collapsed="false">
      <c r="A114" s="22" t="s">
        <v>61</v>
      </c>
      <c r="B114" s="21" t="s">
        <v>279</v>
      </c>
      <c r="C114" s="22" t="s">
        <v>280</v>
      </c>
      <c r="D114" s="23" t="n">
        <v>55</v>
      </c>
      <c r="E114" s="24" t="n">
        <v>1162.92</v>
      </c>
      <c r="F114" s="23" t="n">
        <f aca="false">IF(OR(D114="",E114=""),"",D114*E114)</f>
        <v>63960.6</v>
      </c>
      <c r="G114" s="23"/>
      <c r="H114" s="24"/>
      <c r="I114" s="23" t="str">
        <f aca="false">IF(OR(G114="",H114=""),"",G114*H114)</f>
        <v/>
      </c>
      <c r="J114" s="23"/>
      <c r="K114" s="24"/>
      <c r="L114" s="23" t="str">
        <f aca="false">IF(OR(J114="",K114=""),"",J114*K114)</f>
        <v/>
      </c>
      <c r="M114" s="25" t="n">
        <f aca="false">SUM(D114,G114,J114)</f>
        <v>55</v>
      </c>
      <c r="N114" s="26" t="n">
        <f aca="false">IF(M114=0,"",O114/M114)</f>
        <v>1162.92</v>
      </c>
      <c r="O114" s="27" t="n">
        <f aca="false">SUM(F114,I114,L114)</f>
        <v>63960.6</v>
      </c>
    </row>
    <row r="115" customFormat="false" ht="23.25" hidden="false" customHeight="true" outlineLevel="0" collapsed="false">
      <c r="A115" s="22" t="s">
        <v>40</v>
      </c>
      <c r="B115" s="21" t="s">
        <v>186</v>
      </c>
      <c r="C115" s="22" t="s">
        <v>187</v>
      </c>
      <c r="D115" s="23" t="n">
        <v>372</v>
      </c>
      <c r="E115" s="24" t="n">
        <v>162.13</v>
      </c>
      <c r="F115" s="23" t="n">
        <f aca="false">IF(OR(D115="",E115=""),"",D115*E115)</f>
        <v>60312.36</v>
      </c>
      <c r="G115" s="23"/>
      <c r="H115" s="24"/>
      <c r="I115" s="23" t="str">
        <f aca="false">IF(OR(G115="",H115=""),"",G115*H115)</f>
        <v/>
      </c>
      <c r="J115" s="23"/>
      <c r="K115" s="24"/>
      <c r="L115" s="23" t="str">
        <f aca="false">IF(OR(J115="",K115=""),"",J115*K115)</f>
        <v/>
      </c>
      <c r="M115" s="25" t="n">
        <f aca="false">SUM(D115,G115,J115)</f>
        <v>372</v>
      </c>
      <c r="N115" s="26" t="n">
        <f aca="false">IF(M115=0,"",O115/M115)</f>
        <v>162.13</v>
      </c>
      <c r="O115" s="27" t="n">
        <f aca="false">SUM(F115,I115,L115)</f>
        <v>60312.36</v>
      </c>
    </row>
    <row r="116" customFormat="false" ht="23.25" hidden="false" customHeight="true" outlineLevel="0" collapsed="false">
      <c r="A116" s="22" t="s">
        <v>32</v>
      </c>
      <c r="B116" s="21" t="s">
        <v>115</v>
      </c>
      <c r="C116" s="22" t="s">
        <v>116</v>
      </c>
      <c r="D116" s="23" t="n">
        <v>77</v>
      </c>
      <c r="E116" s="24" t="n">
        <v>756.34</v>
      </c>
      <c r="F116" s="23" t="n">
        <f aca="false">IF(OR(D116="",E116=""),"",D116*E116)</f>
        <v>58238.18</v>
      </c>
      <c r="G116" s="23"/>
      <c r="H116" s="24"/>
      <c r="I116" s="23" t="str">
        <f aca="false">IF(OR(G116="",H116=""),"",G116*H116)</f>
        <v/>
      </c>
      <c r="J116" s="23"/>
      <c r="K116" s="24"/>
      <c r="L116" s="23" t="str">
        <f aca="false">IF(OR(J116="",K116=""),"",J116*K116)</f>
        <v/>
      </c>
      <c r="M116" s="25" t="n">
        <f aca="false">SUM(D116,G116,J116)</f>
        <v>77</v>
      </c>
      <c r="N116" s="26" t="n">
        <f aca="false">IF(M116=0,"",O116/M116)</f>
        <v>756.34</v>
      </c>
      <c r="O116" s="27" t="n">
        <f aca="false">SUM(F116,I116,L116)</f>
        <v>58238.18</v>
      </c>
    </row>
    <row r="117" customFormat="false" ht="15" hidden="false" customHeight="true" outlineLevel="0" collapsed="false">
      <c r="A117" s="22" t="s">
        <v>42</v>
      </c>
      <c r="B117" s="21" t="s">
        <v>220</v>
      </c>
      <c r="C117" s="22" t="s">
        <v>221</v>
      </c>
      <c r="D117" s="23" t="n">
        <v>89</v>
      </c>
      <c r="E117" s="24" t="n">
        <v>650.42</v>
      </c>
      <c r="F117" s="23" t="n">
        <f aca="false">IF(OR(D117="",E117=""),"",D117*E117)</f>
        <v>57887.38</v>
      </c>
      <c r="G117" s="23"/>
      <c r="H117" s="24"/>
      <c r="I117" s="23" t="str">
        <f aca="false">IF(OR(G117="",H117=""),"",G117*H117)</f>
        <v/>
      </c>
      <c r="J117" s="23"/>
      <c r="K117" s="24"/>
      <c r="L117" s="23" t="str">
        <f aca="false">IF(OR(J117="",K117=""),"",J117*K117)</f>
        <v/>
      </c>
      <c r="M117" s="25" t="n">
        <f aca="false">SUM(D117,G117,J117)</f>
        <v>89</v>
      </c>
      <c r="N117" s="26" t="n">
        <f aca="false">IF(M117=0,"",O117/M117)</f>
        <v>650.42</v>
      </c>
      <c r="O117" s="27" t="n">
        <f aca="false">SUM(F117,I117,L117)</f>
        <v>57887.38</v>
      </c>
    </row>
    <row r="118" customFormat="false" ht="23.25" hidden="false" customHeight="true" outlineLevel="0" collapsed="false">
      <c r="A118" s="22" t="s">
        <v>44</v>
      </c>
      <c r="B118" s="21" t="s">
        <v>224</v>
      </c>
      <c r="C118" s="22" t="s">
        <v>225</v>
      </c>
      <c r="D118" s="23" t="n">
        <v>178</v>
      </c>
      <c r="E118" s="24" t="n">
        <v>292.89</v>
      </c>
      <c r="F118" s="23" t="n">
        <f aca="false">IF(OR(D118="",E118=""),"",D118*E118)</f>
        <v>52134.42</v>
      </c>
      <c r="G118" s="23"/>
      <c r="H118" s="24"/>
      <c r="I118" s="23" t="str">
        <f aca="false">IF(OR(G118="",H118=""),"",G118*H118)</f>
        <v/>
      </c>
      <c r="J118" s="23"/>
      <c r="K118" s="24"/>
      <c r="L118" s="23" t="str">
        <f aca="false">IF(OR(J118="",K118=""),"",J118*K118)</f>
        <v/>
      </c>
      <c r="M118" s="25" t="n">
        <f aca="false">SUM(D118,G118,J118)</f>
        <v>178</v>
      </c>
      <c r="N118" s="26" t="n">
        <f aca="false">IF(M118=0,"",O118/M118)</f>
        <v>292.89</v>
      </c>
      <c r="O118" s="27" t="n">
        <f aca="false">SUM(F118,I118,L118)</f>
        <v>52134.42</v>
      </c>
    </row>
    <row r="119" customFormat="false" ht="23.25" hidden="false" customHeight="true" outlineLevel="0" collapsed="false">
      <c r="A119" s="22" t="s">
        <v>47</v>
      </c>
      <c r="B119" s="21" t="s">
        <v>248</v>
      </c>
      <c r="C119" s="22" t="s">
        <v>249</v>
      </c>
      <c r="D119" s="23" t="n">
        <v>212</v>
      </c>
      <c r="E119" s="24" t="n">
        <v>242.88</v>
      </c>
      <c r="F119" s="23" t="n">
        <f aca="false">IF(OR(D119="",E119=""),"",D119*E119)</f>
        <v>51490.56</v>
      </c>
      <c r="G119" s="23"/>
      <c r="H119" s="24"/>
      <c r="I119" s="23" t="str">
        <f aca="false">IF(OR(G119="",H119=""),"",G119*H119)</f>
        <v/>
      </c>
      <c r="J119" s="23"/>
      <c r="K119" s="24"/>
      <c r="L119" s="23" t="str">
        <f aca="false">IF(OR(J119="",K119=""),"",J119*K119)</f>
        <v/>
      </c>
      <c r="M119" s="25" t="n">
        <f aca="false">SUM(D119,G119,J119)</f>
        <v>212</v>
      </c>
      <c r="N119" s="26" t="n">
        <f aca="false">IF(M119=0,"",O119/M119)</f>
        <v>242.88</v>
      </c>
      <c r="O119" s="27" t="n">
        <f aca="false">SUM(F119,I119,L119)</f>
        <v>51490.56</v>
      </c>
    </row>
    <row r="120" customFormat="false" ht="23.25" hidden="false" customHeight="true" outlineLevel="0" collapsed="false">
      <c r="A120" s="22" t="s">
        <v>47</v>
      </c>
      <c r="B120" s="21" t="s">
        <v>246</v>
      </c>
      <c r="C120" s="22" t="s">
        <v>247</v>
      </c>
      <c r="D120" s="23" t="n">
        <v>233</v>
      </c>
      <c r="E120" s="24" t="n">
        <v>216.45</v>
      </c>
      <c r="F120" s="23" t="n">
        <f aca="false">IF(OR(D120="",E120=""),"",D120*E120)</f>
        <v>50432.85</v>
      </c>
      <c r="G120" s="23"/>
      <c r="H120" s="24"/>
      <c r="I120" s="23" t="str">
        <f aca="false">IF(OR(G120="",H120=""),"",G120*H120)</f>
        <v/>
      </c>
      <c r="J120" s="23"/>
      <c r="K120" s="24"/>
      <c r="L120" s="23" t="str">
        <f aca="false">IF(OR(J120="",K120=""),"",J120*K120)</f>
        <v/>
      </c>
      <c r="M120" s="25" t="n">
        <f aca="false">SUM(D120,G120,J120)</f>
        <v>233</v>
      </c>
      <c r="N120" s="26" t="n">
        <f aca="false">IF(M120=0,"",O120/M120)</f>
        <v>216.45</v>
      </c>
      <c r="O120" s="27" t="n">
        <f aca="false">SUM(F120,I120,L120)</f>
        <v>50432.85</v>
      </c>
    </row>
    <row r="121" customFormat="false" ht="23.25" hidden="false" customHeight="true" outlineLevel="0" collapsed="false">
      <c r="A121" s="22" t="s">
        <v>58</v>
      </c>
      <c r="B121" s="21" t="s">
        <v>271</v>
      </c>
      <c r="C121" s="22" t="s">
        <v>272</v>
      </c>
      <c r="D121" s="23" t="n">
        <v>298</v>
      </c>
      <c r="E121" s="24" t="n">
        <v>166.24</v>
      </c>
      <c r="F121" s="23" t="n">
        <f aca="false">IF(OR(D121="",E121=""),"",D121*E121)</f>
        <v>49539.52</v>
      </c>
      <c r="G121" s="23"/>
      <c r="H121" s="24"/>
      <c r="I121" s="23" t="str">
        <f aca="false">IF(OR(G121="",H121=""),"",G121*H121)</f>
        <v/>
      </c>
      <c r="J121" s="23"/>
      <c r="K121" s="24"/>
      <c r="L121" s="23" t="str">
        <f aca="false">IF(OR(J121="",K121=""),"",J121*K121)</f>
        <v/>
      </c>
      <c r="M121" s="25" t="n">
        <f aca="false">SUM(D121,G121,J121)</f>
        <v>298</v>
      </c>
      <c r="N121" s="26" t="n">
        <f aca="false">IF(M121=0,"",O121/M121)</f>
        <v>166.24</v>
      </c>
      <c r="O121" s="27" t="n">
        <f aca="false">SUM(F121,I121,L121)</f>
        <v>49539.52</v>
      </c>
    </row>
    <row r="122" customFormat="false" ht="23.25" hidden="false" customHeight="true" outlineLevel="0" collapsed="false">
      <c r="A122" s="22" t="s">
        <v>69</v>
      </c>
      <c r="B122" s="21" t="s">
        <v>293</v>
      </c>
      <c r="C122" s="22" t="s">
        <v>294</v>
      </c>
      <c r="D122" s="23" t="n">
        <v>410</v>
      </c>
      <c r="E122" s="24" t="n">
        <v>118.97</v>
      </c>
      <c r="F122" s="23" t="n">
        <f aca="false">IF(OR(D122="",E122=""),"",D122*E122)</f>
        <v>48777.7</v>
      </c>
      <c r="G122" s="23"/>
      <c r="H122" s="24"/>
      <c r="I122" s="23" t="str">
        <f aca="false">IF(OR(G122="",H122=""),"",G122*H122)</f>
        <v/>
      </c>
      <c r="J122" s="23"/>
      <c r="K122" s="24"/>
      <c r="L122" s="23" t="str">
        <f aca="false">IF(OR(J122="",K122=""),"",J122*K122)</f>
        <v/>
      </c>
      <c r="M122" s="25" t="n">
        <f aca="false">SUM(D122,G122,J122)</f>
        <v>410</v>
      </c>
      <c r="N122" s="26" t="n">
        <f aca="false">IF(M122=0,"",O122/M122)</f>
        <v>118.97</v>
      </c>
      <c r="O122" s="27" t="n">
        <f aca="false">SUM(F122,I122,L122)</f>
        <v>48777.7</v>
      </c>
    </row>
    <row r="123" customFormat="false" ht="23.25" hidden="false" customHeight="true" outlineLevel="0" collapsed="false">
      <c r="A123" s="22" t="s">
        <v>32</v>
      </c>
      <c r="B123" s="21" t="s">
        <v>117</v>
      </c>
      <c r="C123" s="22" t="s">
        <v>118</v>
      </c>
      <c r="D123" s="23" t="n">
        <v>57</v>
      </c>
      <c r="E123" s="24" t="n">
        <v>840.21</v>
      </c>
      <c r="F123" s="23" t="n">
        <f aca="false">IF(OR(D123="",E123=""),"",D123*E123)</f>
        <v>47891.97</v>
      </c>
      <c r="G123" s="23"/>
      <c r="H123" s="24"/>
      <c r="I123" s="23" t="str">
        <f aca="false">IF(OR(G123="",H123=""),"",G123*H123)</f>
        <v/>
      </c>
      <c r="J123" s="23"/>
      <c r="K123" s="24"/>
      <c r="L123" s="23" t="str">
        <f aca="false">IF(OR(J123="",K123=""),"",J123*K123)</f>
        <v/>
      </c>
      <c r="M123" s="25" t="n">
        <f aca="false">SUM(D123,G123,J123)</f>
        <v>57</v>
      </c>
      <c r="N123" s="26" t="n">
        <f aca="false">IF(M123=0,"",O123/M123)</f>
        <v>840.21</v>
      </c>
      <c r="O123" s="27" t="n">
        <f aca="false">SUM(F123,I123,L123)</f>
        <v>47891.97</v>
      </c>
    </row>
    <row r="124" customFormat="false" ht="23.25" hidden="false" customHeight="true" outlineLevel="0" collapsed="false">
      <c r="A124" s="22" t="s">
        <v>47</v>
      </c>
      <c r="B124" s="21" t="s">
        <v>251</v>
      </c>
      <c r="C124" s="22" t="s">
        <v>252</v>
      </c>
      <c r="D124" s="23" t="n">
        <v>149</v>
      </c>
      <c r="E124" s="24" t="n">
        <v>304.77</v>
      </c>
      <c r="F124" s="23" t="n">
        <f aca="false">IF(OR(D124="",E124=""),"",D124*E124)</f>
        <v>45410.73</v>
      </c>
      <c r="G124" s="23"/>
      <c r="H124" s="24"/>
      <c r="I124" s="23" t="str">
        <f aca="false">IF(OR(G124="",H124=""),"",G124*H124)</f>
        <v/>
      </c>
      <c r="J124" s="23"/>
      <c r="K124" s="24"/>
      <c r="L124" s="23" t="str">
        <f aca="false">IF(OR(J124="",K124=""),"",J124*K124)</f>
        <v/>
      </c>
      <c r="M124" s="25" t="n">
        <f aca="false">SUM(D124,G124,J124)</f>
        <v>149</v>
      </c>
      <c r="N124" s="26" t="n">
        <f aca="false">IF(M124=0,"",O124/M124)</f>
        <v>304.77</v>
      </c>
      <c r="O124" s="27" t="n">
        <f aca="false">SUM(F124,I124,L124)</f>
        <v>45410.73</v>
      </c>
    </row>
    <row r="125" customFormat="false" ht="23.25" hidden="false" customHeight="true" outlineLevel="0" collapsed="false">
      <c r="A125" s="22" t="s">
        <v>36</v>
      </c>
      <c r="B125" s="21" t="s">
        <v>141</v>
      </c>
      <c r="C125" s="22" t="s">
        <v>142</v>
      </c>
      <c r="D125" s="23" t="n">
        <v>156</v>
      </c>
      <c r="E125" s="24" t="n">
        <v>254.9</v>
      </c>
      <c r="F125" s="23" t="n">
        <f aca="false">IF(OR(D125="",E125=""),"",D125*E125)</f>
        <v>39764.4</v>
      </c>
      <c r="G125" s="23"/>
      <c r="H125" s="24"/>
      <c r="I125" s="23" t="str">
        <f aca="false">IF(OR(G125="",H125=""),"",G125*H125)</f>
        <v/>
      </c>
      <c r="J125" s="23"/>
      <c r="K125" s="24"/>
      <c r="L125" s="23" t="str">
        <f aca="false">IF(OR(J125="",K125=""),"",J125*K125)</f>
        <v/>
      </c>
      <c r="M125" s="25" t="n">
        <f aca="false">SUM(D125,G125,J125)</f>
        <v>156</v>
      </c>
      <c r="N125" s="26" t="n">
        <f aca="false">IF(M125=0,"",O125/M125)</f>
        <v>254.9</v>
      </c>
      <c r="O125" s="27" t="n">
        <f aca="false">SUM(F125,I125,L125)</f>
        <v>39764.4</v>
      </c>
    </row>
    <row r="126" customFormat="false" ht="15" hidden="false" customHeight="true" outlineLevel="0" collapsed="false">
      <c r="A126" s="22" t="s">
        <v>71</v>
      </c>
      <c r="B126" s="21" t="s">
        <v>295</v>
      </c>
      <c r="C126" s="22" t="s">
        <v>296</v>
      </c>
      <c r="D126" s="23" t="n">
        <v>235</v>
      </c>
      <c r="E126" s="24" t="n">
        <v>130.86</v>
      </c>
      <c r="F126" s="23" t="n">
        <f aca="false">IF(OR(D126="",E126=""),"",D126*E126)</f>
        <v>30752.1</v>
      </c>
      <c r="G126" s="23"/>
      <c r="H126" s="24"/>
      <c r="I126" s="23" t="str">
        <f aca="false">IF(OR(G126="",H126=""),"",G126*H126)</f>
        <v/>
      </c>
      <c r="J126" s="23"/>
      <c r="K126" s="24"/>
      <c r="L126" s="23" t="str">
        <f aca="false">IF(OR(J126="",K126=""),"",J126*K126)</f>
        <v/>
      </c>
      <c r="M126" s="25" t="n">
        <f aca="false">SUM(D126,G126,J126)</f>
        <v>235</v>
      </c>
      <c r="N126" s="26" t="n">
        <f aca="false">IF(M126=0,"",O126/M126)</f>
        <v>130.86</v>
      </c>
      <c r="O126" s="27" t="n">
        <f aca="false">SUM(F126,I126,L126)</f>
        <v>30752.1</v>
      </c>
    </row>
    <row r="127" customFormat="false" ht="23.25" hidden="false" customHeight="true" outlineLevel="0" collapsed="false">
      <c r="A127" s="22" t="s">
        <v>34</v>
      </c>
      <c r="B127" s="21" t="s">
        <v>159</v>
      </c>
      <c r="C127" s="22" t="s">
        <v>160</v>
      </c>
      <c r="D127" s="23" t="n">
        <v>32</v>
      </c>
      <c r="E127" s="24" t="n">
        <v>901.69</v>
      </c>
      <c r="F127" s="23" t="n">
        <f aca="false">IF(OR(D127="",E127=""),"",D127*E127)</f>
        <v>28854.08</v>
      </c>
      <c r="G127" s="23"/>
      <c r="H127" s="24"/>
      <c r="I127" s="23" t="str">
        <f aca="false">IF(OR(G127="",H127=""),"",G127*H127)</f>
        <v/>
      </c>
      <c r="J127" s="23"/>
      <c r="K127" s="24"/>
      <c r="L127" s="23" t="str">
        <f aca="false">IF(OR(J127="",K127=""),"",J127*K127)</f>
        <v/>
      </c>
      <c r="M127" s="25" t="n">
        <f aca="false">SUM(D127,G127,J127)</f>
        <v>32</v>
      </c>
      <c r="N127" s="26" t="n">
        <f aca="false">IF(M127=0,"",O127/M127)</f>
        <v>901.69</v>
      </c>
      <c r="O127" s="27" t="n">
        <f aca="false">SUM(F127,I127,L127)</f>
        <v>28854.08</v>
      </c>
    </row>
    <row r="128" customFormat="false" ht="23.25" hidden="false" customHeight="true" outlineLevel="0" collapsed="false">
      <c r="A128" s="22" t="s">
        <v>67</v>
      </c>
      <c r="B128" s="21" t="s">
        <v>291</v>
      </c>
      <c r="C128" s="22" t="s">
        <v>292</v>
      </c>
      <c r="D128" s="23" t="n">
        <v>31</v>
      </c>
      <c r="E128" s="24" t="n">
        <v>930.04</v>
      </c>
      <c r="F128" s="23" t="n">
        <f aca="false">IF(OR(D128="",E128=""),"",D128*E128)</f>
        <v>28831.24</v>
      </c>
      <c r="G128" s="23"/>
      <c r="H128" s="24"/>
      <c r="I128" s="23" t="str">
        <f aca="false">IF(OR(G128="",H128=""),"",G128*H128)</f>
        <v/>
      </c>
      <c r="J128" s="23"/>
      <c r="K128" s="24"/>
      <c r="L128" s="23" t="str">
        <f aca="false">IF(OR(J128="",K128=""),"",J128*K128)</f>
        <v/>
      </c>
      <c r="M128" s="25" t="n">
        <f aca="false">SUM(D128,G128,J128)</f>
        <v>31</v>
      </c>
      <c r="N128" s="26" t="n">
        <f aca="false">IF(M128=0,"",O128/M128)</f>
        <v>930.04</v>
      </c>
      <c r="O128" s="27" t="n">
        <f aca="false">SUM(F128,I128,L128)</f>
        <v>28831.24</v>
      </c>
    </row>
    <row r="129" customFormat="false" ht="23.25" hidden="false" customHeight="true" outlineLevel="0" collapsed="false">
      <c r="A129" s="22" t="s">
        <v>63</v>
      </c>
      <c r="B129" s="21" t="s">
        <v>285</v>
      </c>
      <c r="C129" s="22" t="s">
        <v>286</v>
      </c>
      <c r="D129" s="23" t="n">
        <v>50</v>
      </c>
      <c r="E129" s="24" t="n">
        <v>447.64</v>
      </c>
      <c r="F129" s="23" t="n">
        <f aca="false">IF(OR(D129="",E129=""),"",D129*E129)</f>
        <v>22382</v>
      </c>
      <c r="G129" s="23"/>
      <c r="H129" s="24"/>
      <c r="I129" s="23" t="str">
        <f aca="false">IF(OR(G129="",H129=""),"",G129*H129)</f>
        <v/>
      </c>
      <c r="J129" s="23"/>
      <c r="K129" s="24"/>
      <c r="L129" s="23" t="str">
        <f aca="false">IF(OR(J129="",K129=""),"",J129*K129)</f>
        <v/>
      </c>
      <c r="M129" s="25" t="n">
        <f aca="false">SUM(D129,G129,J129)</f>
        <v>50</v>
      </c>
      <c r="N129" s="26" t="n">
        <f aca="false">IF(M129=0,"",O129/M129)</f>
        <v>447.64</v>
      </c>
      <c r="O129" s="27" t="n">
        <f aca="false">SUM(F129,I129,L129)</f>
        <v>22382</v>
      </c>
    </row>
    <row r="130" customFormat="false" ht="23.25" hidden="false" customHeight="true" outlineLevel="0" collapsed="false">
      <c r="A130" s="22" t="s">
        <v>32</v>
      </c>
      <c r="B130" s="21" t="s">
        <v>119</v>
      </c>
      <c r="C130" s="22" t="s">
        <v>120</v>
      </c>
      <c r="D130" s="23" t="n">
        <v>24</v>
      </c>
      <c r="E130" s="24" t="n">
        <v>791.54</v>
      </c>
      <c r="F130" s="23" t="n">
        <f aca="false">IF(OR(D130="",E130=""),"",D130*E130)</f>
        <v>18996.96</v>
      </c>
      <c r="G130" s="23"/>
      <c r="H130" s="24"/>
      <c r="I130" s="23" t="str">
        <f aca="false">IF(OR(G130="",H130=""),"",G130*H130)</f>
        <v/>
      </c>
      <c r="J130" s="23"/>
      <c r="K130" s="24"/>
      <c r="L130" s="23" t="str">
        <f aca="false">IF(OR(J130="",K130=""),"",J130*K130)</f>
        <v/>
      </c>
      <c r="M130" s="25" t="n">
        <f aca="false">SUM(D130,G130,J130)</f>
        <v>24</v>
      </c>
      <c r="N130" s="26" t="n">
        <f aca="false">IF(M130=0,"",O130/M130)</f>
        <v>791.54</v>
      </c>
      <c r="O130" s="27" t="n">
        <f aca="false">SUM(F130,I130,L130)</f>
        <v>18996.96</v>
      </c>
    </row>
    <row r="131" customFormat="false" ht="23.25" hidden="false" customHeight="true" outlineLevel="0" collapsed="false">
      <c r="A131" s="22" t="s">
        <v>47</v>
      </c>
      <c r="B131" s="21" t="s">
        <v>253</v>
      </c>
      <c r="C131" s="22" t="s">
        <v>254</v>
      </c>
      <c r="D131" s="23" t="n">
        <v>78</v>
      </c>
      <c r="E131" s="24" t="n">
        <v>223.35</v>
      </c>
      <c r="F131" s="23" t="n">
        <f aca="false">IF(OR(D131="",E131=""),"",D131*E131)</f>
        <v>17421.3</v>
      </c>
      <c r="G131" s="23"/>
      <c r="H131" s="24"/>
      <c r="I131" s="23" t="str">
        <f aca="false">IF(OR(G131="",H131=""),"",G131*H131)</f>
        <v/>
      </c>
      <c r="J131" s="23"/>
      <c r="K131" s="24"/>
      <c r="L131" s="23" t="str">
        <f aca="false">IF(OR(J131="",K131=""),"",J131*K131)</f>
        <v/>
      </c>
      <c r="M131" s="25" t="n">
        <f aca="false">SUM(D131,G131,J131)</f>
        <v>78</v>
      </c>
      <c r="N131" s="26" t="n">
        <f aca="false">IF(M131=0,"",O131/M131)</f>
        <v>223.35</v>
      </c>
      <c r="O131" s="27" t="n">
        <f aca="false">SUM(F131,I131,L131)</f>
        <v>17421.3</v>
      </c>
    </row>
    <row r="132" customFormat="false" ht="23.25" hidden="false" customHeight="true" outlineLevel="0" collapsed="false">
      <c r="A132" s="22" t="s">
        <v>58</v>
      </c>
      <c r="B132" s="21" t="s">
        <v>273</v>
      </c>
      <c r="C132" s="22" t="s">
        <v>274</v>
      </c>
      <c r="D132" s="23" t="n">
        <v>60</v>
      </c>
      <c r="E132" s="24" t="n">
        <v>269.87</v>
      </c>
      <c r="F132" s="23" t="n">
        <f aca="false">IF(OR(D132="",E132=""),"",D132*E132)</f>
        <v>16192.2</v>
      </c>
      <c r="G132" s="23"/>
      <c r="H132" s="24"/>
      <c r="I132" s="23" t="str">
        <f aca="false">IF(OR(G132="",H132=""),"",G132*H132)</f>
        <v/>
      </c>
      <c r="J132" s="23"/>
      <c r="K132" s="24"/>
      <c r="L132" s="23" t="str">
        <f aca="false">IF(OR(J132="",K132=""),"",J132*K132)</f>
        <v/>
      </c>
      <c r="M132" s="25" t="n">
        <f aca="false">SUM(D132,G132,J132)</f>
        <v>60</v>
      </c>
      <c r="N132" s="26" t="n">
        <f aca="false">IF(M132=0,"",O132/M132)</f>
        <v>269.87</v>
      </c>
      <c r="O132" s="27" t="n">
        <f aca="false">SUM(F132,I132,L132)</f>
        <v>16192.2</v>
      </c>
    </row>
    <row r="133" customFormat="false" ht="23.25" hidden="false" customHeight="true" outlineLevel="0" collapsed="false">
      <c r="A133" s="22" t="s">
        <v>47</v>
      </c>
      <c r="B133" s="21" t="s">
        <v>255</v>
      </c>
      <c r="C133" s="22" t="s">
        <v>256</v>
      </c>
      <c r="D133" s="23" t="n">
        <v>59</v>
      </c>
      <c r="E133" s="24" t="n">
        <v>238.13</v>
      </c>
      <c r="F133" s="23" t="n">
        <f aca="false">IF(OR(D133="",E133=""),"",D133*E133)</f>
        <v>14049.67</v>
      </c>
      <c r="G133" s="23"/>
      <c r="H133" s="24"/>
      <c r="I133" s="23" t="str">
        <f aca="false">IF(OR(G133="",H133=""),"",G133*H133)</f>
        <v/>
      </c>
      <c r="J133" s="23"/>
      <c r="K133" s="24"/>
      <c r="L133" s="23" t="str">
        <f aca="false">IF(OR(J133="",K133=""),"",J133*K133)</f>
        <v/>
      </c>
      <c r="M133" s="25" t="n">
        <f aca="false">SUM(D133,G133,J133)</f>
        <v>59</v>
      </c>
      <c r="N133" s="26" t="n">
        <f aca="false">IF(M133=0,"",O133/M133)</f>
        <v>238.13</v>
      </c>
      <c r="O133" s="27" t="n">
        <f aca="false">SUM(F133,I133,L133)</f>
        <v>14049.67</v>
      </c>
    </row>
    <row r="134" customFormat="false" ht="23.25" hidden="false" customHeight="true" outlineLevel="0" collapsed="false">
      <c r="A134" s="22" t="s">
        <v>47</v>
      </c>
      <c r="B134" s="21" t="s">
        <v>257</v>
      </c>
      <c r="C134" s="22" t="s">
        <v>258</v>
      </c>
      <c r="D134" s="23" t="n">
        <v>27</v>
      </c>
      <c r="E134" s="24" t="n">
        <v>335.9</v>
      </c>
      <c r="F134" s="23" t="n">
        <f aca="false">IF(OR(D134="",E134=""),"",D134*E134)</f>
        <v>9069.3</v>
      </c>
      <c r="G134" s="23"/>
      <c r="H134" s="24"/>
      <c r="I134" s="23" t="str">
        <f aca="false">IF(OR(G134="",H134=""),"",G134*H134)</f>
        <v/>
      </c>
      <c r="J134" s="23"/>
      <c r="K134" s="24"/>
      <c r="L134" s="23" t="str">
        <f aca="false">IF(OR(J134="",K134=""),"",J134*K134)</f>
        <v/>
      </c>
      <c r="M134" s="25" t="n">
        <f aca="false">SUM(D134,G134,J134)</f>
        <v>27</v>
      </c>
      <c r="N134" s="26" t="n">
        <f aca="false">IF(M134=0,"",O134/M134)</f>
        <v>335.9</v>
      </c>
      <c r="O134" s="27" t="n">
        <f aca="false">SUM(F134,I134,L134)</f>
        <v>9069.3</v>
      </c>
    </row>
    <row r="135" customFormat="false" ht="23.25" hidden="false" customHeight="true" outlineLevel="0" collapsed="false">
      <c r="A135" s="22" t="s">
        <v>32</v>
      </c>
      <c r="B135" s="21" t="s">
        <v>121</v>
      </c>
      <c r="C135" s="22" t="s">
        <v>122</v>
      </c>
      <c r="D135" s="23" t="n">
        <v>13</v>
      </c>
      <c r="E135" s="24" t="n">
        <v>685.77</v>
      </c>
      <c r="F135" s="23" t="n">
        <f aca="false">IF(OR(D135="",E135=""),"",D135*E135)</f>
        <v>8915.01</v>
      </c>
      <c r="G135" s="23"/>
      <c r="H135" s="24"/>
      <c r="I135" s="23" t="str">
        <f aca="false">IF(OR(G135="",H135=""),"",G135*H135)</f>
        <v/>
      </c>
      <c r="J135" s="23"/>
      <c r="K135" s="24"/>
      <c r="L135" s="23" t="str">
        <f aca="false">IF(OR(J135="",K135=""),"",J135*K135)</f>
        <v/>
      </c>
      <c r="M135" s="25" t="n">
        <f aca="false">SUM(D135,G135,J135)</f>
        <v>13</v>
      </c>
      <c r="N135" s="26" t="n">
        <f aca="false">IF(M135=0,"",O135/M135)</f>
        <v>685.77</v>
      </c>
      <c r="O135" s="27" t="n">
        <f aca="false">SUM(F135,I135,L135)</f>
        <v>8915.01</v>
      </c>
    </row>
    <row r="136" customFormat="false" ht="23.25" hidden="false" customHeight="true" outlineLevel="0" collapsed="false">
      <c r="A136" s="22" t="s">
        <v>44</v>
      </c>
      <c r="B136" s="21" t="s">
        <v>226</v>
      </c>
      <c r="C136" s="22" t="s">
        <v>227</v>
      </c>
      <c r="D136" s="23" t="n">
        <v>18</v>
      </c>
      <c r="E136" s="24" t="n">
        <v>389.99</v>
      </c>
      <c r="F136" s="23" t="n">
        <f aca="false">IF(OR(D136="",E136=""),"",D136*E136)</f>
        <v>7019.82</v>
      </c>
      <c r="G136" s="23"/>
      <c r="H136" s="24"/>
      <c r="I136" s="23" t="str">
        <f aca="false">IF(OR(G136="",H136=""),"",G136*H136)</f>
        <v/>
      </c>
      <c r="J136" s="23"/>
      <c r="K136" s="24"/>
      <c r="L136" s="23" t="str">
        <f aca="false">IF(OR(J136="",K136=""),"",J136*K136)</f>
        <v/>
      </c>
      <c r="M136" s="25" t="n">
        <f aca="false">SUM(D136,G136,J136)</f>
        <v>18</v>
      </c>
      <c r="N136" s="26" t="n">
        <f aca="false">IF(M136=0,"",O136/M136)</f>
        <v>389.99</v>
      </c>
      <c r="O136" s="27" t="n">
        <f aca="false">SUM(F136,I136,L136)</f>
        <v>7019.82</v>
      </c>
    </row>
    <row r="137" customFormat="false" ht="23.25" hidden="false" customHeight="true" outlineLevel="0" collapsed="false">
      <c r="A137" s="22" t="s">
        <v>49</v>
      </c>
      <c r="B137" s="21" t="s">
        <v>301</v>
      </c>
      <c r="C137" s="22" t="s">
        <v>302</v>
      </c>
      <c r="D137" s="23" t="n">
        <v>22</v>
      </c>
      <c r="E137" s="24" t="n">
        <v>294.15</v>
      </c>
      <c r="F137" s="23" t="n">
        <f aca="false">IF(OR(D137="",E137=""),"",D137*E137)</f>
        <v>6471.3</v>
      </c>
      <c r="G137" s="23"/>
      <c r="H137" s="24"/>
      <c r="I137" s="23" t="str">
        <f aca="false">IF(OR(G137="",H137=""),"",G137*H137)</f>
        <v/>
      </c>
      <c r="J137" s="23"/>
      <c r="K137" s="24"/>
      <c r="L137" s="23" t="str">
        <f aca="false">IF(OR(J137="",K137=""),"",J137*K137)</f>
        <v/>
      </c>
      <c r="M137" s="25" t="n">
        <f aca="false">SUM(D137,G137,J137)</f>
        <v>22</v>
      </c>
      <c r="N137" s="26" t="n">
        <f aca="false">IF(M137=0,"",O137/M137)</f>
        <v>294.15</v>
      </c>
      <c r="O137" s="27" t="n">
        <f aca="false">SUM(F137,I137,L137)</f>
        <v>6471.3</v>
      </c>
    </row>
    <row r="138" customFormat="false" ht="23.25" hidden="false" customHeight="true" outlineLevel="0" collapsed="false">
      <c r="A138" s="22" t="s">
        <v>58</v>
      </c>
      <c r="B138" s="21" t="s">
        <v>275</v>
      </c>
      <c r="C138" s="22" t="s">
        <v>276</v>
      </c>
      <c r="D138" s="23" t="n">
        <v>15</v>
      </c>
      <c r="E138" s="24" t="n">
        <v>314.85</v>
      </c>
      <c r="F138" s="23" t="n">
        <f aca="false">IF(OR(D138="",E138=""),"",D138*E138)</f>
        <v>4722.75</v>
      </c>
      <c r="G138" s="23"/>
      <c r="H138" s="24"/>
      <c r="I138" s="23" t="str">
        <f aca="false">IF(OR(G138="",H138=""),"",G138*H138)</f>
        <v/>
      </c>
      <c r="J138" s="23"/>
      <c r="K138" s="24"/>
      <c r="L138" s="23" t="str">
        <f aca="false">IF(OR(J138="",K138=""),"",J138*K138)</f>
        <v/>
      </c>
      <c r="M138" s="25" t="n">
        <f aca="false">SUM(D138,G138,J138)</f>
        <v>15</v>
      </c>
      <c r="N138" s="26" t="n">
        <f aca="false">IF(M138=0,"",O138/M138)</f>
        <v>314.85</v>
      </c>
      <c r="O138" s="27" t="n">
        <f aca="false">SUM(F138,I138,L138)</f>
        <v>4722.75</v>
      </c>
    </row>
    <row r="139" customFormat="false" ht="23.25" hidden="false" customHeight="true" outlineLevel="0" collapsed="false">
      <c r="A139" s="22" t="s">
        <v>73</v>
      </c>
      <c r="B139" s="21" t="s">
        <v>303</v>
      </c>
      <c r="C139" s="22" t="s">
        <v>304</v>
      </c>
      <c r="D139" s="23" t="n">
        <v>9</v>
      </c>
      <c r="E139" s="24" t="n">
        <v>142.13</v>
      </c>
      <c r="F139" s="23" t="n">
        <f aca="false">IF(OR(D139="",E139=""),"",D139*E139)</f>
        <v>1279.17</v>
      </c>
      <c r="G139" s="23"/>
      <c r="H139" s="24"/>
      <c r="I139" s="23" t="str">
        <f aca="false">IF(OR(G139="",H139=""),"",G139*H139)</f>
        <v/>
      </c>
      <c r="J139" s="23"/>
      <c r="K139" s="24"/>
      <c r="L139" s="23" t="str">
        <f aca="false">IF(OR(J139="",K139=""),"",J139*K139)</f>
        <v/>
      </c>
      <c r="M139" s="25" t="n">
        <f aca="false">SUM(D139,G139,J139)</f>
        <v>9</v>
      </c>
      <c r="N139" s="26" t="n">
        <f aca="false">IF(M139=0,"",O139/M139)</f>
        <v>142.13</v>
      </c>
      <c r="O139" s="27" t="n">
        <f aca="false">SUM(F139,I139,L139)</f>
        <v>1279.17</v>
      </c>
    </row>
    <row r="140" customFormat="false" ht="23.25" hidden="false" customHeight="true" outlineLevel="0" collapsed="false">
      <c r="A140" s="22" t="s">
        <v>75</v>
      </c>
      <c r="B140" s="21" t="s">
        <v>305</v>
      </c>
      <c r="C140" s="22" t="s">
        <v>306</v>
      </c>
      <c r="D140" s="23" t="n">
        <v>37</v>
      </c>
      <c r="E140" s="24" t="n">
        <v>700</v>
      </c>
      <c r="F140" s="23" t="n">
        <f aca="false">IF(OR(D140="",E140=""),"",D140*E140)</f>
        <v>25900</v>
      </c>
      <c r="G140" s="23"/>
      <c r="H140" s="24"/>
      <c r="I140" s="23" t="str">
        <f aca="false">IF(OR(G140="",H140=""),"",G140*H140)</f>
        <v/>
      </c>
      <c r="J140" s="23"/>
      <c r="K140" s="24"/>
      <c r="L140" s="23" t="str">
        <f aca="false">IF(OR(J140="",K140=""),"",J140*K140)</f>
        <v/>
      </c>
      <c r="M140" s="25" t="n">
        <f aca="false">SUM(D140,G140,J140)</f>
        <v>37</v>
      </c>
      <c r="N140" s="26" t="n">
        <f aca="false">IF(M140=0,"",O140/M140)</f>
        <v>700</v>
      </c>
      <c r="O140" s="27" t="n">
        <f aca="false">SUM(F140,I140,L140)</f>
        <v>25900</v>
      </c>
    </row>
    <row r="141" customFormat="false" ht="23.25" hidden="false" customHeight="true" outlineLevel="0" collapsed="false">
      <c r="A141" s="22" t="s">
        <v>47</v>
      </c>
      <c r="B141" s="21" t="s">
        <v>233</v>
      </c>
      <c r="C141" s="22" t="s">
        <v>234</v>
      </c>
      <c r="D141" s="23" t="n">
        <v>715</v>
      </c>
      <c r="E141" s="24"/>
      <c r="F141" s="23" t="str">
        <f aca="false">IF(OR(D141="",E141=""),"",D141*E141)</f>
        <v/>
      </c>
      <c r="G141" s="23"/>
      <c r="H141" s="24"/>
      <c r="I141" s="23" t="str">
        <f aca="false">IF(OR(G141="",H141=""),"",G141*H141)</f>
        <v/>
      </c>
      <c r="J141" s="23"/>
      <c r="K141" s="24"/>
      <c r="L141" s="23" t="str">
        <f aca="false">IF(OR(J141="",K141=""),"",J141*K141)</f>
        <v/>
      </c>
      <c r="M141" s="25" t="n">
        <f aca="false">SUM(D141,G141,J141)</f>
        <v>715</v>
      </c>
      <c r="N141" s="26" t="n">
        <f aca="false">IF(M141=0,"",O141/M141)</f>
        <v>0</v>
      </c>
      <c r="O141" s="27" t="n">
        <f aca="false">SUM(F141,I141,L141)</f>
        <v>0</v>
      </c>
    </row>
    <row r="142" customFormat="false" ht="23.25" hidden="false" customHeight="true" outlineLevel="0" collapsed="false">
      <c r="A142" s="22" t="s">
        <v>77</v>
      </c>
      <c r="B142" s="21" t="s">
        <v>307</v>
      </c>
      <c r="C142" s="22" t="s">
        <v>308</v>
      </c>
      <c r="D142" s="23" t="n">
        <v>109</v>
      </c>
      <c r="E142" s="24" t="n">
        <v>736</v>
      </c>
      <c r="F142" s="23" t="n">
        <f aca="false">IF(OR(D142="",E142=""),"",D142*E142)</f>
        <v>80224</v>
      </c>
      <c r="G142" s="23"/>
      <c r="H142" s="24"/>
      <c r="I142" s="23" t="str">
        <f aca="false">IF(OR(G142="",H142=""),"",G142*H142)</f>
        <v/>
      </c>
      <c r="J142" s="23"/>
      <c r="K142" s="24"/>
      <c r="L142" s="23" t="str">
        <f aca="false">IF(OR(J142="",K142=""),"",J142*K142)</f>
        <v/>
      </c>
      <c r="M142" s="25" t="n">
        <f aca="false">SUM(D142,G142,J142)</f>
        <v>109</v>
      </c>
      <c r="N142" s="26" t="n">
        <f aca="false">IF(M142=0,"",O142/M142)</f>
        <v>736</v>
      </c>
      <c r="O142" s="27" t="n">
        <f aca="false">SUM(F142,I142,L142)</f>
        <v>80224</v>
      </c>
    </row>
    <row r="143" customFormat="false" ht="15" hidden="false" customHeight="true" outlineLevel="0" collapsed="false">
      <c r="A143" s="28"/>
      <c r="B143" s="28" t="s">
        <v>79</v>
      </c>
      <c r="C143" s="28"/>
      <c r="D143" s="29" t="n">
        <f aca="false">SUM(D2:D142)</f>
        <v>101850</v>
      </c>
      <c r="E143" s="30"/>
      <c r="F143" s="29" t="n">
        <f aca="false">SUM(F2:F142)</f>
        <v>46500654.65</v>
      </c>
      <c r="G143" s="29" t="n">
        <f aca="false">SUM(G2:G142)</f>
        <v>77234</v>
      </c>
      <c r="H143" s="30"/>
      <c r="I143" s="29" t="n">
        <f aca="false">SUM(I2:I142)</f>
        <v>48154703.52</v>
      </c>
      <c r="J143" s="29" t="n">
        <f aca="false">SUM(J2:J142)</f>
        <v>17700</v>
      </c>
      <c r="K143" s="30"/>
      <c r="L143" s="29" t="n">
        <f aca="false">SUM(L2:L142)</f>
        <v>11853423</v>
      </c>
      <c r="M143" s="29" t="n">
        <f aca="false">SUM(M2:M142)</f>
        <v>196784</v>
      </c>
      <c r="N143" s="31" t="n">
        <f aca="false">IF(M143=0,"",O143/M143)</f>
        <v>541.247160185788</v>
      </c>
      <c r="O143" s="29" t="n">
        <f aca="false">SUM(O2:O142)</f>
        <v>106508781.17</v>
      </c>
    </row>
  </sheetData>
  <autoFilter ref="A1:O1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50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16"/>
  </cols>
  <sheetData>
    <row r="1" customFormat="false" ht="51.75" hidden="false" customHeight="true" outlineLevel="0" collapsed="false">
      <c r="A1" s="10" t="s">
        <v>22</v>
      </c>
      <c r="B1" s="10" t="s">
        <v>80</v>
      </c>
      <c r="C1" s="10" t="s">
        <v>81</v>
      </c>
      <c r="D1" s="10" t="s">
        <v>4</v>
      </c>
      <c r="E1" s="10" t="s">
        <v>82</v>
      </c>
      <c r="F1" s="10" t="s">
        <v>24</v>
      </c>
      <c r="G1" s="11" t="s">
        <v>5</v>
      </c>
      <c r="H1" s="11" t="s">
        <v>83</v>
      </c>
      <c r="I1" s="11" t="s">
        <v>25</v>
      </c>
      <c r="J1" s="11" t="s">
        <v>6</v>
      </c>
      <c r="K1" s="11" t="s">
        <v>84</v>
      </c>
      <c r="L1" s="11" t="s">
        <v>26</v>
      </c>
      <c r="M1" s="12" t="s">
        <v>325</v>
      </c>
      <c r="N1" s="12" t="s">
        <v>27</v>
      </c>
      <c r="O1" s="12" t="s">
        <v>326</v>
      </c>
    </row>
    <row r="2" customFormat="false" ht="15" hidden="false" customHeight="true" outlineLevel="0" collapsed="false">
      <c r="A2" s="22" t="s">
        <v>32</v>
      </c>
      <c r="B2" s="21" t="s">
        <v>85</v>
      </c>
      <c r="C2" s="22" t="s">
        <v>86</v>
      </c>
      <c r="D2" s="23" t="n">
        <v>4520</v>
      </c>
      <c r="E2" s="24" t="n">
        <v>730.25</v>
      </c>
      <c r="F2" s="23" t="n">
        <f aca="false">IF(OR(D2="",E2=""),"",D2*E2)</f>
        <v>3300730</v>
      </c>
      <c r="G2" s="23" t="n">
        <v>25008</v>
      </c>
      <c r="H2" s="24" t="n">
        <v>736.59</v>
      </c>
      <c r="I2" s="23" t="n">
        <f aca="false">IF(OR(G2="",H2=""),"",G2*H2)</f>
        <v>18420642.72</v>
      </c>
      <c r="J2" s="23" t="n">
        <v>15000</v>
      </c>
      <c r="K2" s="24" t="n">
        <v>736.59</v>
      </c>
      <c r="L2" s="23" t="n">
        <f aca="false">IF(OR(J2="",K2=""),"",J2*K2)</f>
        <v>11048850</v>
      </c>
      <c r="M2" s="25" t="n">
        <f aca="false">SUM(D2,G2,J2)</f>
        <v>44528</v>
      </c>
      <c r="N2" s="26" t="n">
        <f aca="false">IF(M2=0,"",O2/M2)</f>
        <v>735.946431908013</v>
      </c>
      <c r="O2" s="27" t="n">
        <f aca="false">SUM(F2,I2,L2)</f>
        <v>32770222.72</v>
      </c>
    </row>
    <row r="3" customFormat="false" ht="23.25" hidden="false" customHeight="true" outlineLevel="0" collapsed="false">
      <c r="A3" s="22" t="s">
        <v>32</v>
      </c>
      <c r="B3" s="21" t="s">
        <v>87</v>
      </c>
      <c r="C3" s="22" t="s">
        <v>88</v>
      </c>
      <c r="D3" s="23" t="n">
        <v>9493</v>
      </c>
      <c r="E3" s="24" t="n">
        <v>563.4</v>
      </c>
      <c r="F3" s="23" t="n">
        <f aca="false">IF(OR(D3="",E3=""),"",D3*E3)</f>
        <v>5348356.2</v>
      </c>
      <c r="G3" s="23"/>
      <c r="H3" s="24"/>
      <c r="I3" s="23" t="str">
        <f aca="false">IF(OR(G3="",H3=""),"",G3*H3)</f>
        <v/>
      </c>
      <c r="J3" s="23"/>
      <c r="K3" s="24"/>
      <c r="L3" s="23" t="str">
        <f aca="false">IF(OR(J3="",K3=""),"",J3*K3)</f>
        <v/>
      </c>
      <c r="M3" s="25" t="n">
        <f aca="false">SUM(D3,G3,J3)</f>
        <v>9493</v>
      </c>
      <c r="N3" s="26" t="n">
        <f aca="false">IF(M3=0,"",O3/M3)</f>
        <v>563.4</v>
      </c>
      <c r="O3" s="27" t="n">
        <f aca="false">SUM(F3,I3,L3)</f>
        <v>5348356.2</v>
      </c>
    </row>
    <row r="4" customFormat="false" ht="23.25" hidden="false" customHeight="true" outlineLevel="0" collapsed="false">
      <c r="A4" s="22" t="s">
        <v>32</v>
      </c>
      <c r="B4" s="21" t="s">
        <v>89</v>
      </c>
      <c r="C4" s="22" t="s">
        <v>90</v>
      </c>
      <c r="D4" s="23" t="n">
        <v>3112</v>
      </c>
      <c r="E4" s="24" t="n">
        <v>585.31</v>
      </c>
      <c r="F4" s="23" t="n">
        <f aca="false">IF(OR(D4="",E4=""),"",D4*E4)</f>
        <v>1821484.72</v>
      </c>
      <c r="G4" s="23"/>
      <c r="H4" s="24"/>
      <c r="I4" s="23" t="str">
        <f aca="false">IF(OR(G4="",H4=""),"",G4*H4)</f>
        <v/>
      </c>
      <c r="J4" s="23"/>
      <c r="K4" s="24"/>
      <c r="L4" s="23" t="str">
        <f aca="false">IF(OR(J4="",K4=""),"",J4*K4)</f>
        <v/>
      </c>
      <c r="M4" s="25" t="n">
        <f aca="false">SUM(D4,G4,J4)</f>
        <v>3112</v>
      </c>
      <c r="N4" s="26" t="n">
        <f aca="false">IF(M4=0,"",O4/M4)</f>
        <v>585.31</v>
      </c>
      <c r="O4" s="27" t="n">
        <f aca="false">SUM(F4,I4,L4)</f>
        <v>1821484.72</v>
      </c>
    </row>
    <row r="5" customFormat="false" ht="23.25" hidden="false" customHeight="true" outlineLevel="0" collapsed="false">
      <c r="A5" s="22" t="s">
        <v>32</v>
      </c>
      <c r="B5" s="21" t="s">
        <v>91</v>
      </c>
      <c r="C5" s="22" t="s">
        <v>92</v>
      </c>
      <c r="D5" s="23" t="n">
        <v>1375</v>
      </c>
      <c r="E5" s="24" t="n">
        <v>611.8</v>
      </c>
      <c r="F5" s="23" t="n">
        <f aca="false">IF(OR(D5="",E5=""),"",D5*E5)</f>
        <v>841225</v>
      </c>
      <c r="G5" s="23" t="n">
        <v>576</v>
      </c>
      <c r="H5" s="24" t="n">
        <v>525.43</v>
      </c>
      <c r="I5" s="23" t="n">
        <f aca="false">IF(OR(G5="",H5=""),"",G5*H5)</f>
        <v>302647.68</v>
      </c>
      <c r="J5" s="23"/>
      <c r="K5" s="24"/>
      <c r="L5" s="23" t="str">
        <f aca="false">IF(OR(J5="",K5=""),"",J5*K5)</f>
        <v/>
      </c>
      <c r="M5" s="25" t="n">
        <f aca="false">SUM(D5,G5,J5)</f>
        <v>1951</v>
      </c>
      <c r="N5" s="26" t="n">
        <f aca="false">IF(M5=0,"",O5/M5)</f>
        <v>586.300707329575</v>
      </c>
      <c r="O5" s="27" t="n">
        <f aca="false">SUM(F5,I5,L5)</f>
        <v>1143872.68</v>
      </c>
    </row>
    <row r="6" customFormat="false" ht="23.25" hidden="false" customHeight="true" outlineLevel="0" collapsed="false">
      <c r="A6" s="22" t="s">
        <v>32</v>
      </c>
      <c r="B6" s="21" t="s">
        <v>93</v>
      </c>
      <c r="C6" s="22" t="s">
        <v>94</v>
      </c>
      <c r="D6" s="23" t="n">
        <v>1500</v>
      </c>
      <c r="E6" s="24" t="n">
        <v>778.67</v>
      </c>
      <c r="F6" s="23" t="n">
        <f aca="false">IF(OR(D6="",E6=""),"",D6*E6)</f>
        <v>1168005</v>
      </c>
      <c r="G6" s="23"/>
      <c r="H6" s="24"/>
      <c r="I6" s="23" t="str">
        <f aca="false">IF(OR(G6="",H6=""),"",G6*H6)</f>
        <v/>
      </c>
      <c r="J6" s="23"/>
      <c r="K6" s="24"/>
      <c r="L6" s="23" t="str">
        <f aca="false">IF(OR(J6="",K6=""),"",J6*K6)</f>
        <v/>
      </c>
      <c r="M6" s="25" t="n">
        <f aca="false">SUM(D6,G6,J6)</f>
        <v>1500</v>
      </c>
      <c r="N6" s="26" t="n">
        <f aca="false">IF(M6=0,"",O6/M6)</f>
        <v>778.67</v>
      </c>
      <c r="O6" s="27" t="n">
        <f aca="false">SUM(F6,I6,L6)</f>
        <v>1168005</v>
      </c>
    </row>
    <row r="7" customFormat="false" ht="23.25" hidden="false" customHeight="true" outlineLevel="0" collapsed="false">
      <c r="A7" s="22" t="s">
        <v>32</v>
      </c>
      <c r="B7" s="21" t="s">
        <v>95</v>
      </c>
      <c r="C7" s="22" t="s">
        <v>96</v>
      </c>
      <c r="D7" s="23" t="n">
        <v>1296</v>
      </c>
      <c r="E7" s="24" t="n">
        <v>106.63</v>
      </c>
      <c r="F7" s="23" t="n">
        <f aca="false">IF(OR(D7="",E7=""),"",D7*E7)</f>
        <v>138192.48</v>
      </c>
      <c r="G7" s="23"/>
      <c r="H7" s="24"/>
      <c r="I7" s="23" t="str">
        <f aca="false">IF(OR(G7="",H7=""),"",G7*H7)</f>
        <v/>
      </c>
      <c r="J7" s="23"/>
      <c r="K7" s="24"/>
      <c r="L7" s="23" t="str">
        <f aca="false">IF(OR(J7="",K7=""),"",J7*K7)</f>
        <v/>
      </c>
      <c r="M7" s="25" t="n">
        <f aca="false">SUM(D7,G7,J7)</f>
        <v>1296</v>
      </c>
      <c r="N7" s="26" t="n">
        <f aca="false">IF(M7=0,"",O7/M7)</f>
        <v>106.63</v>
      </c>
      <c r="O7" s="27" t="n">
        <f aca="false">SUM(F7,I7,L7)</f>
        <v>138192.48</v>
      </c>
    </row>
    <row r="8" customFormat="false" ht="23.25" hidden="false" customHeight="true" outlineLevel="0" collapsed="false">
      <c r="A8" s="22" t="s">
        <v>32</v>
      </c>
      <c r="B8" s="21" t="s">
        <v>97</v>
      </c>
      <c r="C8" s="22"/>
      <c r="D8" s="23"/>
      <c r="E8" s="24"/>
      <c r="F8" s="23" t="str">
        <f aca="false">IF(OR(D8="",E8=""),"",D8*E8)</f>
        <v/>
      </c>
      <c r="G8" s="23" t="n">
        <v>1200</v>
      </c>
      <c r="H8" s="24" t="n">
        <v>606.26</v>
      </c>
      <c r="I8" s="23" t="n">
        <f aca="false">IF(OR(G8="",H8=""),"",G8*H8)</f>
        <v>727512</v>
      </c>
      <c r="J8" s="23"/>
      <c r="K8" s="24"/>
      <c r="L8" s="23" t="str">
        <f aca="false">IF(OR(J8="",K8=""),"",J8*K8)</f>
        <v/>
      </c>
      <c r="M8" s="25" t="n">
        <f aca="false">SUM(D8,G8,J8)</f>
        <v>1200</v>
      </c>
      <c r="N8" s="26" t="n">
        <f aca="false">IF(M8=0,"",O8/M8)</f>
        <v>606.26</v>
      </c>
      <c r="O8" s="27" t="n">
        <f aca="false">SUM(F8,I8,L8)</f>
        <v>727512</v>
      </c>
    </row>
    <row r="9" customFormat="false" ht="15" hidden="false" customHeight="true" outlineLevel="0" collapsed="false">
      <c r="A9" s="22" t="s">
        <v>32</v>
      </c>
      <c r="B9" s="21" t="s">
        <v>98</v>
      </c>
      <c r="C9" s="22"/>
      <c r="D9" s="23"/>
      <c r="E9" s="24"/>
      <c r="F9" s="23" t="str">
        <f aca="false">IF(OR(D9="",E9=""),"",D9*E9)</f>
        <v/>
      </c>
      <c r="G9" s="23" t="n">
        <v>1200</v>
      </c>
      <c r="H9" s="24" t="n">
        <v>666.48</v>
      </c>
      <c r="I9" s="23" t="n">
        <f aca="false">IF(OR(G9="",H9=""),"",G9*H9)</f>
        <v>799776</v>
      </c>
      <c r="J9" s="23"/>
      <c r="K9" s="24"/>
      <c r="L9" s="23" t="str">
        <f aca="false">IF(OR(J9="",K9=""),"",J9*K9)</f>
        <v/>
      </c>
      <c r="M9" s="25" t="n">
        <f aca="false">SUM(D9,G9,J9)</f>
        <v>1200</v>
      </c>
      <c r="N9" s="26" t="n">
        <f aca="false">IF(M9=0,"",O9/M9)</f>
        <v>666.48</v>
      </c>
      <c r="O9" s="27" t="n">
        <f aca="false">SUM(F9,I9,L9)</f>
        <v>799776</v>
      </c>
    </row>
    <row r="10" customFormat="false" ht="15" hidden="false" customHeight="true" outlineLevel="0" collapsed="false">
      <c r="A10" s="22" t="s">
        <v>32</v>
      </c>
      <c r="B10" s="21" t="s">
        <v>99</v>
      </c>
      <c r="C10" s="22"/>
      <c r="D10" s="23"/>
      <c r="E10" s="24"/>
      <c r="F10" s="23" t="str">
        <f aca="false">IF(OR(D10="",E10=""),"",D10*E10)</f>
        <v/>
      </c>
      <c r="G10" s="23" t="n">
        <v>984</v>
      </c>
      <c r="H10" s="24" t="n">
        <v>705.25</v>
      </c>
      <c r="I10" s="23" t="n">
        <f aca="false">IF(OR(G10="",H10=""),"",G10*H10)</f>
        <v>693966</v>
      </c>
      <c r="J10" s="23"/>
      <c r="K10" s="24"/>
      <c r="L10" s="23" t="str">
        <f aca="false">IF(OR(J10="",K10=""),"",J10*K10)</f>
        <v/>
      </c>
      <c r="M10" s="25" t="n">
        <f aca="false">SUM(D10,G10,J10)</f>
        <v>984</v>
      </c>
      <c r="N10" s="26" t="n">
        <f aca="false">IF(M10=0,"",O10/M10)</f>
        <v>705.25</v>
      </c>
      <c r="O10" s="27" t="n">
        <f aca="false">SUM(F10,I10,L10)</f>
        <v>693966</v>
      </c>
    </row>
    <row r="11" customFormat="false" ht="23.25" hidden="false" customHeight="true" outlineLevel="0" collapsed="false">
      <c r="A11" s="22" t="s">
        <v>32</v>
      </c>
      <c r="B11" s="21" t="s">
        <v>100</v>
      </c>
      <c r="C11" s="22"/>
      <c r="D11" s="23"/>
      <c r="E11" s="24"/>
      <c r="F11" s="23" t="str">
        <f aca="false">IF(OR(D11="",E11=""),"",D11*E11)</f>
        <v/>
      </c>
      <c r="G11" s="23" t="n">
        <v>864</v>
      </c>
      <c r="H11" s="24" t="n">
        <v>819.08</v>
      </c>
      <c r="I11" s="23" t="n">
        <f aca="false">IF(OR(G11="",H11=""),"",G11*H11)</f>
        <v>707685.12</v>
      </c>
      <c r="J11" s="23"/>
      <c r="K11" s="24"/>
      <c r="L11" s="23" t="str">
        <f aca="false">IF(OR(J11="",K11=""),"",J11*K11)</f>
        <v/>
      </c>
      <c r="M11" s="25" t="n">
        <f aca="false">SUM(D11,G11,J11)</f>
        <v>864</v>
      </c>
      <c r="N11" s="26" t="n">
        <f aca="false">IF(M11=0,"",O11/M11)</f>
        <v>819.08</v>
      </c>
      <c r="O11" s="27" t="n">
        <f aca="false">SUM(F11,I11,L11)</f>
        <v>707685.12</v>
      </c>
    </row>
    <row r="12" customFormat="false" ht="23.25" hidden="false" customHeight="true" outlineLevel="0" collapsed="false">
      <c r="A12" s="22" t="s">
        <v>32</v>
      </c>
      <c r="B12" s="21" t="s">
        <v>101</v>
      </c>
      <c r="C12" s="22"/>
      <c r="D12" s="23"/>
      <c r="E12" s="24"/>
      <c r="F12" s="23" t="str">
        <f aca="false">IF(OR(D12="",E12=""),"",D12*E12)</f>
        <v/>
      </c>
      <c r="G12" s="23" t="n">
        <v>720</v>
      </c>
      <c r="H12" s="24" t="n">
        <v>951.88</v>
      </c>
      <c r="I12" s="23" t="n">
        <f aca="false">IF(OR(G12="",H12=""),"",G12*H12)</f>
        <v>685353.6</v>
      </c>
      <c r="J12" s="23"/>
      <c r="K12" s="24"/>
      <c r="L12" s="23" t="str">
        <f aca="false">IF(OR(J12="",K12=""),"",J12*K12)</f>
        <v/>
      </c>
      <c r="M12" s="25" t="n">
        <f aca="false">SUM(D12,G12,J12)</f>
        <v>720</v>
      </c>
      <c r="N12" s="26" t="n">
        <f aca="false">IF(M12=0,"",O12/M12)</f>
        <v>951.88</v>
      </c>
      <c r="O12" s="27" t="n">
        <f aca="false">SUM(F12,I12,L12)</f>
        <v>685353.6</v>
      </c>
    </row>
    <row r="13" customFormat="false" ht="15" hidden="false" customHeight="true" outlineLevel="0" collapsed="false">
      <c r="A13" s="22" t="s">
        <v>32</v>
      </c>
      <c r="B13" s="21" t="s">
        <v>102</v>
      </c>
      <c r="C13" s="22"/>
      <c r="D13" s="23"/>
      <c r="E13" s="24"/>
      <c r="F13" s="23" t="str">
        <f aca="false">IF(OR(D13="",E13=""),"",D13*E13)</f>
        <v/>
      </c>
      <c r="G13" s="23" t="n">
        <v>600</v>
      </c>
      <c r="H13" s="24" t="n">
        <v>781.13</v>
      </c>
      <c r="I13" s="23" t="n">
        <f aca="false">IF(OR(G13="",H13=""),"",G13*H13)</f>
        <v>468678</v>
      </c>
      <c r="J13" s="23"/>
      <c r="K13" s="24"/>
      <c r="L13" s="23" t="str">
        <f aca="false">IF(OR(J13="",K13=""),"",J13*K13)</f>
        <v/>
      </c>
      <c r="M13" s="25" t="n">
        <f aca="false">SUM(D13,G13,J13)</f>
        <v>600</v>
      </c>
      <c r="N13" s="26" t="n">
        <f aca="false">IF(M13=0,"",O13/M13)</f>
        <v>781.13</v>
      </c>
      <c r="O13" s="27" t="n">
        <f aca="false">SUM(F13,I13,L13)</f>
        <v>468678</v>
      </c>
    </row>
    <row r="14" customFormat="false" ht="15" hidden="false" customHeight="true" outlineLevel="0" collapsed="false">
      <c r="A14" s="22" t="s">
        <v>32</v>
      </c>
      <c r="B14" s="21" t="s">
        <v>103</v>
      </c>
      <c r="C14" s="22"/>
      <c r="D14" s="23"/>
      <c r="E14" s="24"/>
      <c r="F14" s="23" t="str">
        <f aca="false">IF(OR(D14="",E14=""),"",D14*E14)</f>
        <v/>
      </c>
      <c r="G14" s="23" t="n">
        <v>528</v>
      </c>
      <c r="H14" s="24" t="n">
        <v>502.33</v>
      </c>
      <c r="I14" s="23" t="n">
        <f aca="false">IF(OR(G14="",H14=""),"",G14*H14)</f>
        <v>265230.24</v>
      </c>
      <c r="J14" s="23"/>
      <c r="K14" s="24"/>
      <c r="L14" s="23" t="str">
        <f aca="false">IF(OR(J14="",K14=""),"",J14*K14)</f>
        <v/>
      </c>
      <c r="M14" s="25" t="n">
        <f aca="false">SUM(D14,G14,J14)</f>
        <v>528</v>
      </c>
      <c r="N14" s="26" t="n">
        <f aca="false">IF(M14=0,"",O14/M14)</f>
        <v>502.33</v>
      </c>
      <c r="O14" s="27" t="n">
        <f aca="false">SUM(F14,I14,L14)</f>
        <v>265230.24</v>
      </c>
    </row>
    <row r="15" customFormat="false" ht="15" hidden="false" customHeight="true" outlineLevel="0" collapsed="false">
      <c r="A15" s="22" t="s">
        <v>32</v>
      </c>
      <c r="B15" s="21" t="s">
        <v>104</v>
      </c>
      <c r="C15" s="22"/>
      <c r="D15" s="23"/>
      <c r="E15" s="24"/>
      <c r="F15" s="23" t="str">
        <f aca="false">IF(OR(D15="",E15=""),"",D15*E15)</f>
        <v/>
      </c>
      <c r="G15" s="23" t="n">
        <v>480</v>
      </c>
      <c r="H15" s="24" t="n">
        <v>626.89</v>
      </c>
      <c r="I15" s="23" t="n">
        <f aca="false">IF(OR(G15="",H15=""),"",G15*H15)</f>
        <v>300907.2</v>
      </c>
      <c r="J15" s="23"/>
      <c r="K15" s="24"/>
      <c r="L15" s="23" t="str">
        <f aca="false">IF(OR(J15="",K15=""),"",J15*K15)</f>
        <v/>
      </c>
      <c r="M15" s="25" t="n">
        <f aca="false">SUM(D15,G15,J15)</f>
        <v>480</v>
      </c>
      <c r="N15" s="26" t="n">
        <f aca="false">IF(M15=0,"",O15/M15)</f>
        <v>626.89</v>
      </c>
      <c r="O15" s="27" t="n">
        <f aca="false">SUM(F15,I15,L15)</f>
        <v>300907.2</v>
      </c>
    </row>
    <row r="16" customFormat="false" ht="23.25" hidden="false" customHeight="true" outlineLevel="0" collapsed="false">
      <c r="A16" s="22" t="s">
        <v>32</v>
      </c>
      <c r="B16" s="21" t="s">
        <v>105</v>
      </c>
      <c r="C16" s="22"/>
      <c r="D16" s="23"/>
      <c r="E16" s="24"/>
      <c r="F16" s="23" t="str">
        <f aca="false">IF(OR(D16="",E16=""),"",D16*E16)</f>
        <v/>
      </c>
      <c r="G16" s="23" t="n">
        <v>468</v>
      </c>
      <c r="H16" s="24" t="n">
        <v>527.08</v>
      </c>
      <c r="I16" s="23" t="n">
        <f aca="false">IF(OR(G16="",H16=""),"",G16*H16)</f>
        <v>246673.44</v>
      </c>
      <c r="J16" s="23"/>
      <c r="K16" s="24"/>
      <c r="L16" s="23" t="str">
        <f aca="false">IF(OR(J16="",K16=""),"",J16*K16)</f>
        <v/>
      </c>
      <c r="M16" s="25" t="n">
        <f aca="false">SUM(D16,G16,J16)</f>
        <v>468</v>
      </c>
      <c r="N16" s="26" t="n">
        <f aca="false">IF(M16=0,"",O16/M16)</f>
        <v>527.08</v>
      </c>
      <c r="O16" s="27" t="n">
        <f aca="false">SUM(F16,I16,L16)</f>
        <v>246673.44</v>
      </c>
    </row>
    <row r="17" customFormat="false" ht="15" hidden="false" customHeight="true" outlineLevel="0" collapsed="false">
      <c r="A17" s="22" t="s">
        <v>32</v>
      </c>
      <c r="B17" s="21" t="s">
        <v>106</v>
      </c>
      <c r="C17" s="22"/>
      <c r="D17" s="23"/>
      <c r="E17" s="24"/>
      <c r="F17" s="23" t="str">
        <f aca="false">IF(OR(D17="",E17=""),"",D17*E17)</f>
        <v/>
      </c>
      <c r="G17" s="23" t="n">
        <v>448</v>
      </c>
      <c r="H17" s="24" t="n">
        <v>445.42</v>
      </c>
      <c r="I17" s="23" t="n">
        <f aca="false">IF(OR(G17="",H17=""),"",G17*H17)</f>
        <v>199548.16</v>
      </c>
      <c r="J17" s="23"/>
      <c r="K17" s="24"/>
      <c r="L17" s="23" t="str">
        <f aca="false">IF(OR(J17="",K17=""),"",J17*K17)</f>
        <v/>
      </c>
      <c r="M17" s="25" t="n">
        <f aca="false">SUM(D17,G17,J17)</f>
        <v>448</v>
      </c>
      <c r="N17" s="26" t="n">
        <f aca="false">IF(M17=0,"",O17/M17)</f>
        <v>445.42</v>
      </c>
      <c r="O17" s="27" t="n">
        <f aca="false">SUM(F17,I17,L17)</f>
        <v>199548.16</v>
      </c>
    </row>
    <row r="18" customFormat="false" ht="15" hidden="false" customHeight="true" outlineLevel="0" collapsed="false">
      <c r="A18" s="22" t="s">
        <v>32</v>
      </c>
      <c r="B18" s="21" t="s">
        <v>107</v>
      </c>
      <c r="C18" s="22"/>
      <c r="D18" s="23"/>
      <c r="E18" s="24"/>
      <c r="F18" s="23" t="str">
        <f aca="false">IF(OR(D18="",E18=""),"",D18*E18)</f>
        <v/>
      </c>
      <c r="G18" s="23" t="n">
        <v>408</v>
      </c>
      <c r="H18" s="24" t="n">
        <v>545.23</v>
      </c>
      <c r="I18" s="23" t="n">
        <f aca="false">IF(OR(G18="",H18=""),"",G18*H18)</f>
        <v>222453.84</v>
      </c>
      <c r="J18" s="23"/>
      <c r="K18" s="24"/>
      <c r="L18" s="23" t="str">
        <f aca="false">IF(OR(J18="",K18=""),"",J18*K18)</f>
        <v/>
      </c>
      <c r="M18" s="25" t="n">
        <f aca="false">SUM(D18,G18,J18)</f>
        <v>408</v>
      </c>
      <c r="N18" s="26" t="n">
        <f aca="false">IF(M18=0,"",O18/M18)</f>
        <v>545.23</v>
      </c>
      <c r="O18" s="27" t="n">
        <f aca="false">SUM(F18,I18,L18)</f>
        <v>222453.84</v>
      </c>
    </row>
    <row r="19" customFormat="false" ht="23.25" hidden="false" customHeight="true" outlineLevel="0" collapsed="false">
      <c r="A19" s="22" t="s">
        <v>32</v>
      </c>
      <c r="B19" s="21" t="s">
        <v>108</v>
      </c>
      <c r="C19" s="22" t="s">
        <v>109</v>
      </c>
      <c r="D19" s="23" t="n">
        <v>353</v>
      </c>
      <c r="E19" s="24" t="n">
        <v>950.52</v>
      </c>
      <c r="F19" s="23" t="n">
        <f aca="false">IF(OR(D19="",E19=""),"",D19*E19)</f>
        <v>335533.56</v>
      </c>
      <c r="G19" s="23"/>
      <c r="H19" s="24"/>
      <c r="I19" s="23" t="str">
        <f aca="false">IF(OR(G19="",H19=""),"",G19*H19)</f>
        <v/>
      </c>
      <c r="J19" s="23"/>
      <c r="K19" s="24"/>
      <c r="L19" s="23" t="str">
        <f aca="false">IF(OR(J19="",K19=""),"",J19*K19)</f>
        <v/>
      </c>
      <c r="M19" s="25" t="n">
        <f aca="false">SUM(D19,G19,J19)</f>
        <v>353</v>
      </c>
      <c r="N19" s="26" t="n">
        <f aca="false">IF(M19=0,"",O19/M19)</f>
        <v>950.52</v>
      </c>
      <c r="O19" s="27" t="n">
        <f aca="false">SUM(F19,I19,L19)</f>
        <v>335533.56</v>
      </c>
    </row>
    <row r="20" customFormat="false" ht="23.25" hidden="false" customHeight="true" outlineLevel="0" collapsed="false">
      <c r="A20" s="22" t="s">
        <v>32</v>
      </c>
      <c r="B20" s="21" t="s">
        <v>110</v>
      </c>
      <c r="C20" s="22"/>
      <c r="D20" s="23"/>
      <c r="E20" s="24"/>
      <c r="F20" s="23" t="str">
        <f aca="false">IF(OR(D20="",E20=""),"",D20*E20)</f>
        <v/>
      </c>
      <c r="G20" s="23" t="n">
        <v>352</v>
      </c>
      <c r="H20" s="24" t="n">
        <v>565.85</v>
      </c>
      <c r="I20" s="23" t="n">
        <f aca="false">IF(OR(G20="",H20=""),"",G20*H20)</f>
        <v>199179.2</v>
      </c>
      <c r="J20" s="23"/>
      <c r="K20" s="24"/>
      <c r="L20" s="23" t="str">
        <f aca="false">IF(OR(J20="",K20=""),"",J20*K20)</f>
        <v/>
      </c>
      <c r="M20" s="25" t="n">
        <f aca="false">SUM(D20,G20,J20)</f>
        <v>352</v>
      </c>
      <c r="N20" s="26" t="n">
        <f aca="false">IF(M20=0,"",O20/M20)</f>
        <v>565.85</v>
      </c>
      <c r="O20" s="27" t="n">
        <f aca="false">SUM(F20,I20,L20)</f>
        <v>199179.2</v>
      </c>
    </row>
    <row r="21" customFormat="false" ht="23.25" hidden="false" customHeight="true" outlineLevel="0" collapsed="false">
      <c r="A21" s="22" t="s">
        <v>32</v>
      </c>
      <c r="B21" s="21" t="s">
        <v>111</v>
      </c>
      <c r="C21" s="22"/>
      <c r="D21" s="23"/>
      <c r="E21" s="24"/>
      <c r="F21" s="23" t="str">
        <f aca="false">IF(OR(D21="",E21=""),"",D21*E21)</f>
        <v/>
      </c>
      <c r="G21" s="23" t="n">
        <v>320</v>
      </c>
      <c r="H21" s="24" t="n">
        <v>423.97</v>
      </c>
      <c r="I21" s="23" t="n">
        <f aca="false">IF(OR(G21="",H21=""),"",G21*H21)</f>
        <v>135670.4</v>
      </c>
      <c r="J21" s="23"/>
      <c r="K21" s="24"/>
      <c r="L21" s="23" t="str">
        <f aca="false">IF(OR(J21="",K21=""),"",J21*K21)</f>
        <v/>
      </c>
      <c r="M21" s="25" t="n">
        <f aca="false">SUM(D21,G21,J21)</f>
        <v>320</v>
      </c>
      <c r="N21" s="26" t="n">
        <f aca="false">IF(M21=0,"",O21/M21)</f>
        <v>423.97</v>
      </c>
      <c r="O21" s="27" t="n">
        <f aca="false">SUM(F21,I21,L21)</f>
        <v>135670.4</v>
      </c>
    </row>
    <row r="22" customFormat="false" ht="23.25" hidden="false" customHeight="true" outlineLevel="0" collapsed="false">
      <c r="A22" s="22" t="s">
        <v>32</v>
      </c>
      <c r="B22" s="21" t="s">
        <v>112</v>
      </c>
      <c r="C22" s="22"/>
      <c r="D22" s="23"/>
      <c r="E22" s="24"/>
      <c r="F22" s="23" t="str">
        <f aca="false">IF(OR(D22="",E22=""),"",D22*E22)</f>
        <v/>
      </c>
      <c r="G22" s="23" t="n">
        <v>315</v>
      </c>
      <c r="H22" s="24" t="n">
        <v>585.64</v>
      </c>
      <c r="I22" s="23" t="n">
        <f aca="false">IF(OR(G22="",H22=""),"",G22*H22)</f>
        <v>184476.6</v>
      </c>
      <c r="J22" s="23"/>
      <c r="K22" s="24"/>
      <c r="L22" s="23" t="str">
        <f aca="false">IF(OR(J22="",K22=""),"",J22*K22)</f>
        <v/>
      </c>
      <c r="M22" s="25" t="n">
        <f aca="false">SUM(D22,G22,J22)</f>
        <v>315</v>
      </c>
      <c r="N22" s="26" t="n">
        <f aca="false">IF(M22=0,"",O22/M22)</f>
        <v>585.64</v>
      </c>
      <c r="O22" s="27" t="n">
        <f aca="false">SUM(F22,I22,L22)</f>
        <v>184476.6</v>
      </c>
    </row>
    <row r="23" customFormat="false" ht="23.25" hidden="false" customHeight="true" outlineLevel="0" collapsed="false">
      <c r="A23" s="22" t="s">
        <v>32</v>
      </c>
      <c r="B23" s="21" t="s">
        <v>113</v>
      </c>
      <c r="C23" s="22"/>
      <c r="D23" s="23"/>
      <c r="E23" s="24"/>
      <c r="F23" s="23" t="str">
        <f aca="false">IF(OR(D23="",E23=""),"",D23*E23)</f>
        <v/>
      </c>
      <c r="G23" s="23" t="n">
        <v>312</v>
      </c>
      <c r="H23" s="24" t="n">
        <v>540.28</v>
      </c>
      <c r="I23" s="23" t="n">
        <f aca="false">IF(OR(G23="",H23=""),"",G23*H23)</f>
        <v>168567.36</v>
      </c>
      <c r="J23" s="23"/>
      <c r="K23" s="24"/>
      <c r="L23" s="23" t="str">
        <f aca="false">IF(OR(J23="",K23=""),"",J23*K23)</f>
        <v/>
      </c>
      <c r="M23" s="25" t="n">
        <f aca="false">SUM(D23,G23,J23)</f>
        <v>312</v>
      </c>
      <c r="N23" s="26" t="n">
        <f aca="false">IF(M23=0,"",O23/M23)</f>
        <v>540.28</v>
      </c>
      <c r="O23" s="27" t="n">
        <f aca="false">SUM(F23,I23,L23)</f>
        <v>168567.36</v>
      </c>
    </row>
    <row r="24" customFormat="false" ht="15" hidden="false" customHeight="true" outlineLevel="0" collapsed="false">
      <c r="A24" s="22" t="s">
        <v>32</v>
      </c>
      <c r="B24" s="21" t="s">
        <v>114</v>
      </c>
      <c r="C24" s="22"/>
      <c r="D24" s="23"/>
      <c r="E24" s="24"/>
      <c r="F24" s="23" t="str">
        <f aca="false">IF(OR(D24="",E24=""),"",D24*E24)</f>
        <v/>
      </c>
      <c r="G24" s="23" t="n">
        <v>288</v>
      </c>
      <c r="H24" s="24" t="n">
        <v>661.53</v>
      </c>
      <c r="I24" s="23" t="n">
        <f aca="false">IF(OR(G24="",H24=""),"",G24*H24)</f>
        <v>190520.64</v>
      </c>
      <c r="J24" s="23"/>
      <c r="K24" s="24"/>
      <c r="L24" s="23" t="str">
        <f aca="false">IF(OR(J24="",K24=""),"",J24*K24)</f>
        <v/>
      </c>
      <c r="M24" s="25" t="n">
        <f aca="false">SUM(D24,G24,J24)</f>
        <v>288</v>
      </c>
      <c r="N24" s="26" t="n">
        <f aca="false">IF(M24=0,"",O24/M24)</f>
        <v>661.53</v>
      </c>
      <c r="O24" s="27" t="n">
        <f aca="false">SUM(F24,I24,L24)</f>
        <v>190520.64</v>
      </c>
    </row>
    <row r="25" customFormat="false" ht="23.25" hidden="false" customHeight="true" outlineLevel="0" collapsed="false">
      <c r="A25" s="22" t="s">
        <v>32</v>
      </c>
      <c r="B25" s="21" t="s">
        <v>115</v>
      </c>
      <c r="C25" s="22" t="s">
        <v>116</v>
      </c>
      <c r="D25" s="23" t="n">
        <v>77</v>
      </c>
      <c r="E25" s="24" t="n">
        <v>756.34</v>
      </c>
      <c r="F25" s="23" t="n">
        <f aca="false">IF(OR(D25="",E25=""),"",D25*E25)</f>
        <v>58238.18</v>
      </c>
      <c r="G25" s="23"/>
      <c r="H25" s="24"/>
      <c r="I25" s="23" t="str">
        <f aca="false">IF(OR(G25="",H25=""),"",G25*H25)</f>
        <v/>
      </c>
      <c r="J25" s="23"/>
      <c r="K25" s="24"/>
      <c r="L25" s="23" t="str">
        <f aca="false">IF(OR(J25="",K25=""),"",J25*K25)</f>
        <v/>
      </c>
      <c r="M25" s="25" t="n">
        <f aca="false">SUM(D25,G25,J25)</f>
        <v>77</v>
      </c>
      <c r="N25" s="26" t="n">
        <f aca="false">IF(M25=0,"",O25/M25)</f>
        <v>756.34</v>
      </c>
      <c r="O25" s="27" t="n">
        <f aca="false">SUM(F25,I25,L25)</f>
        <v>58238.18</v>
      </c>
    </row>
    <row r="26" customFormat="false" ht="23.25" hidden="false" customHeight="true" outlineLevel="0" collapsed="false">
      <c r="A26" s="22" t="s">
        <v>32</v>
      </c>
      <c r="B26" s="21" t="s">
        <v>117</v>
      </c>
      <c r="C26" s="22" t="s">
        <v>118</v>
      </c>
      <c r="D26" s="23" t="n">
        <v>57</v>
      </c>
      <c r="E26" s="24" t="n">
        <v>840.21</v>
      </c>
      <c r="F26" s="23" t="n">
        <f aca="false">IF(OR(D26="",E26=""),"",D26*E26)</f>
        <v>47891.97</v>
      </c>
      <c r="G26" s="23"/>
      <c r="H26" s="24"/>
      <c r="I26" s="23" t="str">
        <f aca="false">IF(OR(G26="",H26=""),"",G26*H26)</f>
        <v/>
      </c>
      <c r="J26" s="23"/>
      <c r="K26" s="24"/>
      <c r="L26" s="23" t="str">
        <f aca="false">IF(OR(J26="",K26=""),"",J26*K26)</f>
        <v/>
      </c>
      <c r="M26" s="25" t="n">
        <f aca="false">SUM(D26,G26,J26)</f>
        <v>57</v>
      </c>
      <c r="N26" s="26" t="n">
        <f aca="false">IF(M26=0,"",O26/M26)</f>
        <v>840.21</v>
      </c>
      <c r="O26" s="27" t="n">
        <f aca="false">SUM(F26,I26,L26)</f>
        <v>47891.97</v>
      </c>
    </row>
    <row r="27" customFormat="false" ht="23.25" hidden="false" customHeight="true" outlineLevel="0" collapsed="false">
      <c r="A27" s="22" t="s">
        <v>32</v>
      </c>
      <c r="B27" s="21" t="s">
        <v>119</v>
      </c>
      <c r="C27" s="22" t="s">
        <v>120</v>
      </c>
      <c r="D27" s="23" t="n">
        <v>24</v>
      </c>
      <c r="E27" s="24" t="n">
        <v>791.54</v>
      </c>
      <c r="F27" s="23" t="n">
        <f aca="false">IF(OR(D27="",E27=""),"",D27*E27)</f>
        <v>18996.96</v>
      </c>
      <c r="G27" s="23"/>
      <c r="H27" s="24"/>
      <c r="I27" s="23" t="str">
        <f aca="false">IF(OR(G27="",H27=""),"",G27*H27)</f>
        <v/>
      </c>
      <c r="J27" s="23"/>
      <c r="K27" s="24"/>
      <c r="L27" s="23" t="str">
        <f aca="false">IF(OR(J27="",K27=""),"",J27*K27)</f>
        <v/>
      </c>
      <c r="M27" s="25" t="n">
        <f aca="false">SUM(D27,G27,J27)</f>
        <v>24</v>
      </c>
      <c r="N27" s="26" t="n">
        <f aca="false">IF(M27=0,"",O27/M27)</f>
        <v>791.54</v>
      </c>
      <c r="O27" s="27" t="n">
        <f aca="false">SUM(F27,I27,L27)</f>
        <v>18996.96</v>
      </c>
    </row>
    <row r="28" customFormat="false" ht="23.25" hidden="false" customHeight="true" outlineLevel="0" collapsed="false">
      <c r="A28" s="22" t="s">
        <v>32</v>
      </c>
      <c r="B28" s="21" t="s">
        <v>121</v>
      </c>
      <c r="C28" s="22" t="s">
        <v>122</v>
      </c>
      <c r="D28" s="23" t="n">
        <v>13</v>
      </c>
      <c r="E28" s="24" t="n">
        <v>685.77</v>
      </c>
      <c r="F28" s="23" t="n">
        <f aca="false">IF(OR(D28="",E28=""),"",D28*E28)</f>
        <v>8915.01</v>
      </c>
      <c r="G28" s="23"/>
      <c r="H28" s="24"/>
      <c r="I28" s="23" t="str">
        <f aca="false">IF(OR(G28="",H28=""),"",G28*H28)</f>
        <v/>
      </c>
      <c r="J28" s="23"/>
      <c r="K28" s="24"/>
      <c r="L28" s="23" t="str">
        <f aca="false">IF(OR(J28="",K28=""),"",J28*K28)</f>
        <v/>
      </c>
      <c r="M28" s="25" t="n">
        <f aca="false">SUM(D28,G28,J28)</f>
        <v>13</v>
      </c>
      <c r="N28" s="26" t="n">
        <f aca="false">IF(M28=0,"",O28/M28)</f>
        <v>685.77</v>
      </c>
      <c r="O28" s="27" t="n">
        <f aca="false">SUM(F28,I28,L28)</f>
        <v>8915.01</v>
      </c>
    </row>
    <row r="29" customFormat="false" ht="15" hidden="false" customHeight="true" outlineLevel="0" collapsed="false">
      <c r="A29" s="35"/>
      <c r="B29" s="35" t="s">
        <v>327</v>
      </c>
      <c r="C29" s="35"/>
      <c r="D29" s="36" t="n">
        <f aca="false">SUM(D2:D28)</f>
        <v>21820</v>
      </c>
      <c r="E29" s="37"/>
      <c r="F29" s="36" t="n">
        <f aca="false">SUM(F2:F28)</f>
        <v>13087569.08</v>
      </c>
      <c r="G29" s="36" t="n">
        <f aca="false">SUM(G2:G28)</f>
        <v>35071</v>
      </c>
      <c r="H29" s="37"/>
      <c r="I29" s="36" t="n">
        <f aca="false">SUM(I2:I28)</f>
        <v>24919488.2</v>
      </c>
      <c r="J29" s="36" t="n">
        <f aca="false">SUM(J2:J28)</f>
        <v>15000</v>
      </c>
      <c r="K29" s="37"/>
      <c r="L29" s="36" t="n">
        <f aca="false">SUM(L2:L28)</f>
        <v>11048850</v>
      </c>
      <c r="M29" s="36" t="n">
        <f aca="false">SUM(M2:M28)</f>
        <v>71891</v>
      </c>
      <c r="N29" s="38" t="n">
        <f aca="false">IF(M29=0,"",O29/M29)</f>
        <v>682.365070453882</v>
      </c>
      <c r="O29" s="36" t="n">
        <f aca="false">SUM(O2:O28)</f>
        <v>49055907.28</v>
      </c>
    </row>
    <row r="31" customFormat="false" ht="23.25" hidden="false" customHeight="true" outlineLevel="0" collapsed="false">
      <c r="A31" s="22" t="s">
        <v>34</v>
      </c>
      <c r="B31" s="21" t="s">
        <v>143</v>
      </c>
      <c r="C31" s="22" t="s">
        <v>144</v>
      </c>
      <c r="D31" s="23" t="n">
        <v>7126</v>
      </c>
      <c r="E31" s="24" t="n">
        <v>509.51</v>
      </c>
      <c r="F31" s="23" t="n">
        <f aca="false">IF(OR(D31="",E31=""),"",D31*E31)</f>
        <v>3630768.26</v>
      </c>
      <c r="G31" s="23" t="n">
        <v>25020</v>
      </c>
      <c r="H31" s="24" t="n">
        <v>513.06</v>
      </c>
      <c r="I31" s="23" t="n">
        <f aca="false">IF(OR(G31="",H31=""),"",G31*H31)</f>
        <v>12836761.2</v>
      </c>
      <c r="J31" s="23"/>
      <c r="K31" s="24"/>
      <c r="L31" s="23" t="str">
        <f aca="false">IF(OR(J31="",K31=""),"",J31*K31)</f>
        <v/>
      </c>
      <c r="M31" s="25" t="n">
        <f aca="false">SUM(D31,G31,J31)</f>
        <v>32146</v>
      </c>
      <c r="N31" s="26" t="n">
        <f aca="false">IF(M31=0,"",O31/M31)</f>
        <v>512.273049835127</v>
      </c>
      <c r="O31" s="27" t="n">
        <f aca="false">SUM(F31,I31,L31)</f>
        <v>16467529.46</v>
      </c>
    </row>
    <row r="32" customFormat="false" ht="23.25" hidden="false" customHeight="true" outlineLevel="0" collapsed="false">
      <c r="A32" s="22" t="s">
        <v>34</v>
      </c>
      <c r="B32" s="21" t="s">
        <v>145</v>
      </c>
      <c r="C32" s="22" t="s">
        <v>146</v>
      </c>
      <c r="D32" s="23" t="n">
        <v>1422</v>
      </c>
      <c r="E32" s="24" t="n">
        <v>563.55</v>
      </c>
      <c r="F32" s="23" t="n">
        <f aca="false">IF(OR(D32="",E32=""),"",D32*E32)</f>
        <v>801368.1</v>
      </c>
      <c r="G32" s="23"/>
      <c r="H32" s="24"/>
      <c r="I32" s="23" t="str">
        <f aca="false">IF(OR(G32="",H32=""),"",G32*H32)</f>
        <v/>
      </c>
      <c r="J32" s="23"/>
      <c r="K32" s="24"/>
      <c r="L32" s="23" t="str">
        <f aca="false">IF(OR(J32="",K32=""),"",J32*K32)</f>
        <v/>
      </c>
      <c r="M32" s="25" t="n">
        <f aca="false">SUM(D32,G32,J32)</f>
        <v>1422</v>
      </c>
      <c r="N32" s="26" t="n">
        <f aca="false">IF(M32=0,"",O32/M32)</f>
        <v>563.55</v>
      </c>
      <c r="O32" s="27" t="n">
        <f aca="false">SUM(F32,I32,L32)</f>
        <v>801368.1</v>
      </c>
    </row>
    <row r="33" customFormat="false" ht="23.25" hidden="false" customHeight="true" outlineLevel="0" collapsed="false">
      <c r="A33" s="22" t="s">
        <v>34</v>
      </c>
      <c r="B33" s="21" t="s">
        <v>147</v>
      </c>
      <c r="C33" s="22" t="s">
        <v>148</v>
      </c>
      <c r="D33" s="23" t="n">
        <v>966</v>
      </c>
      <c r="E33" s="24" t="n">
        <v>533.42</v>
      </c>
      <c r="F33" s="23" t="n">
        <f aca="false">IF(OR(D33="",E33=""),"",D33*E33)</f>
        <v>515283.72</v>
      </c>
      <c r="G33" s="23" t="n">
        <v>360</v>
      </c>
      <c r="H33" s="24" t="n">
        <v>624.82</v>
      </c>
      <c r="I33" s="23" t="n">
        <f aca="false">IF(OR(G33="",H33=""),"",G33*H33)</f>
        <v>224935.2</v>
      </c>
      <c r="J33" s="23"/>
      <c r="K33" s="24"/>
      <c r="L33" s="23" t="str">
        <f aca="false">IF(OR(J33="",K33=""),"",J33*K33)</f>
        <v/>
      </c>
      <c r="M33" s="25" t="n">
        <f aca="false">SUM(D33,G33,J33)</f>
        <v>1326</v>
      </c>
      <c r="N33" s="26" t="n">
        <f aca="false">IF(M33=0,"",O33/M33)</f>
        <v>558.234479638009</v>
      </c>
      <c r="O33" s="27" t="n">
        <f aca="false">SUM(F33,I33,L33)</f>
        <v>740218.92</v>
      </c>
    </row>
    <row r="34" customFormat="false" ht="15" hidden="false" customHeight="true" outlineLevel="0" collapsed="false">
      <c r="A34" s="22" t="s">
        <v>34</v>
      </c>
      <c r="B34" s="21" t="s">
        <v>149</v>
      </c>
      <c r="C34" s="22"/>
      <c r="D34" s="23"/>
      <c r="E34" s="24"/>
      <c r="F34" s="23" t="str">
        <f aca="false">IF(OR(D34="",E34=""),"",D34*E34)</f>
        <v/>
      </c>
      <c r="G34" s="23" t="n">
        <v>600</v>
      </c>
      <c r="H34" s="24" t="n">
        <v>589.77</v>
      </c>
      <c r="I34" s="23" t="n">
        <f aca="false">IF(OR(G34="",H34=""),"",G34*H34)</f>
        <v>353862</v>
      </c>
      <c r="J34" s="23"/>
      <c r="K34" s="24"/>
      <c r="L34" s="23" t="str">
        <f aca="false">IF(OR(J34="",K34=""),"",J34*K34)</f>
        <v/>
      </c>
      <c r="M34" s="25" t="n">
        <f aca="false">SUM(D34,G34,J34)</f>
        <v>600</v>
      </c>
      <c r="N34" s="26" t="n">
        <f aca="false">IF(M34=0,"",O34/M34)</f>
        <v>589.77</v>
      </c>
      <c r="O34" s="27" t="n">
        <f aca="false">SUM(F34,I34,L34)</f>
        <v>353862</v>
      </c>
    </row>
    <row r="35" customFormat="false" ht="15" hidden="false" customHeight="true" outlineLevel="0" collapsed="false">
      <c r="A35" s="22" t="s">
        <v>34</v>
      </c>
      <c r="B35" s="21" t="s">
        <v>150</v>
      </c>
      <c r="C35" s="22"/>
      <c r="D35" s="23"/>
      <c r="E35" s="24"/>
      <c r="F35" s="23" t="str">
        <f aca="false">IF(OR(D35="",E35=""),"",D35*E35)</f>
        <v/>
      </c>
      <c r="G35" s="23" t="n">
        <v>600</v>
      </c>
      <c r="H35" s="24" t="n">
        <v>526.25</v>
      </c>
      <c r="I35" s="23" t="n">
        <f aca="false">IF(OR(G35="",H35=""),"",G35*H35)</f>
        <v>315750</v>
      </c>
      <c r="J35" s="23"/>
      <c r="K35" s="24"/>
      <c r="L35" s="23" t="str">
        <f aca="false">IF(OR(J35="",K35=""),"",J35*K35)</f>
        <v/>
      </c>
      <c r="M35" s="25" t="n">
        <f aca="false">SUM(D35,G35,J35)</f>
        <v>600</v>
      </c>
      <c r="N35" s="26" t="n">
        <f aca="false">IF(M35=0,"",O35/M35)</f>
        <v>526.25</v>
      </c>
      <c r="O35" s="27" t="n">
        <f aca="false">SUM(F35,I35,L35)</f>
        <v>315750</v>
      </c>
    </row>
    <row r="36" customFormat="false" ht="15" hidden="false" customHeight="true" outlineLevel="0" collapsed="false">
      <c r="A36" s="22" t="s">
        <v>34</v>
      </c>
      <c r="B36" s="21" t="s">
        <v>151</v>
      </c>
      <c r="C36" s="22"/>
      <c r="D36" s="23"/>
      <c r="E36" s="24"/>
      <c r="F36" s="23" t="str">
        <f aca="false">IF(OR(D36="",E36=""),"",D36*E36)</f>
        <v/>
      </c>
      <c r="G36" s="23" t="n">
        <v>400</v>
      </c>
      <c r="H36" s="24" t="n">
        <v>626.06</v>
      </c>
      <c r="I36" s="23" t="n">
        <f aca="false">IF(OR(G36="",H36=""),"",G36*H36)</f>
        <v>250424</v>
      </c>
      <c r="J36" s="23"/>
      <c r="K36" s="24"/>
      <c r="L36" s="23" t="str">
        <f aca="false">IF(OR(J36="",K36=""),"",J36*K36)</f>
        <v/>
      </c>
      <c r="M36" s="25" t="n">
        <f aca="false">SUM(D36,G36,J36)</f>
        <v>400</v>
      </c>
      <c r="N36" s="26" t="n">
        <f aca="false">IF(M36=0,"",O36/M36)</f>
        <v>626.06</v>
      </c>
      <c r="O36" s="27" t="n">
        <f aca="false">SUM(F36,I36,L36)</f>
        <v>250424</v>
      </c>
    </row>
    <row r="37" customFormat="false" ht="23.25" hidden="false" customHeight="true" outlineLevel="0" collapsed="false">
      <c r="A37" s="22" t="s">
        <v>34</v>
      </c>
      <c r="B37" s="21" t="s">
        <v>152</v>
      </c>
      <c r="C37" s="22"/>
      <c r="D37" s="23"/>
      <c r="E37" s="24"/>
      <c r="F37" s="23" t="str">
        <f aca="false">IF(OR(D37="",E37=""),"",D37*E37)</f>
        <v/>
      </c>
      <c r="G37" s="23" t="n">
        <v>400</v>
      </c>
      <c r="H37" s="24" t="n">
        <v>987.35</v>
      </c>
      <c r="I37" s="23" t="n">
        <f aca="false">IF(OR(G37="",H37=""),"",G37*H37)</f>
        <v>394940</v>
      </c>
      <c r="J37" s="23"/>
      <c r="K37" s="24"/>
      <c r="L37" s="23" t="str">
        <f aca="false">IF(OR(J37="",K37=""),"",J37*K37)</f>
        <v/>
      </c>
      <c r="M37" s="25" t="n">
        <f aca="false">SUM(D37,G37,J37)</f>
        <v>400</v>
      </c>
      <c r="N37" s="26" t="n">
        <f aca="false">IF(M37=0,"",O37/M37)</f>
        <v>987.35</v>
      </c>
      <c r="O37" s="27" t="n">
        <f aca="false">SUM(F37,I37,L37)</f>
        <v>394940</v>
      </c>
    </row>
    <row r="38" customFormat="false" ht="15" hidden="false" customHeight="true" outlineLevel="0" collapsed="false">
      <c r="A38" s="22" t="s">
        <v>34</v>
      </c>
      <c r="B38" s="21" t="s">
        <v>153</v>
      </c>
      <c r="C38" s="22"/>
      <c r="D38" s="23"/>
      <c r="E38" s="24"/>
      <c r="F38" s="23" t="str">
        <f aca="false">IF(OR(D38="",E38=""),"",D38*E38)</f>
        <v/>
      </c>
      <c r="G38" s="23" t="n">
        <v>300</v>
      </c>
      <c r="H38" s="24" t="n">
        <v>490.79</v>
      </c>
      <c r="I38" s="23" t="n">
        <f aca="false">IF(OR(G38="",H38=""),"",G38*H38)</f>
        <v>147237</v>
      </c>
      <c r="J38" s="23"/>
      <c r="K38" s="24"/>
      <c r="L38" s="23" t="str">
        <f aca="false">IF(OR(J38="",K38=""),"",J38*K38)</f>
        <v/>
      </c>
      <c r="M38" s="25" t="n">
        <f aca="false">SUM(D38,G38,J38)</f>
        <v>300</v>
      </c>
      <c r="N38" s="26" t="n">
        <f aca="false">IF(M38=0,"",O38/M38)</f>
        <v>490.79</v>
      </c>
      <c r="O38" s="27" t="n">
        <f aca="false">SUM(F38,I38,L38)</f>
        <v>147237</v>
      </c>
    </row>
    <row r="39" customFormat="false" ht="15" hidden="false" customHeight="true" outlineLevel="0" collapsed="false">
      <c r="A39" s="22" t="s">
        <v>34</v>
      </c>
      <c r="B39" s="21" t="s">
        <v>154</v>
      </c>
      <c r="C39" s="22"/>
      <c r="D39" s="23"/>
      <c r="E39" s="24"/>
      <c r="F39" s="23" t="str">
        <f aca="false">IF(OR(D39="",E39=""),"",D39*E39)</f>
        <v/>
      </c>
      <c r="G39" s="23" t="n">
        <v>270</v>
      </c>
      <c r="H39" s="24" t="n">
        <v>824.85</v>
      </c>
      <c r="I39" s="23" t="n">
        <f aca="false">IF(OR(G39="",H39=""),"",G39*H39)</f>
        <v>222709.5</v>
      </c>
      <c r="J39" s="23"/>
      <c r="K39" s="24"/>
      <c r="L39" s="23" t="str">
        <f aca="false">IF(OR(J39="",K39=""),"",J39*K39)</f>
        <v/>
      </c>
      <c r="M39" s="25" t="n">
        <f aca="false">SUM(D39,G39,J39)</f>
        <v>270</v>
      </c>
      <c r="N39" s="26" t="n">
        <f aca="false">IF(M39=0,"",O39/M39)</f>
        <v>824.85</v>
      </c>
      <c r="O39" s="27" t="n">
        <f aca="false">SUM(F39,I39,L39)</f>
        <v>222709.5</v>
      </c>
    </row>
    <row r="40" customFormat="false" ht="23.25" hidden="false" customHeight="true" outlineLevel="0" collapsed="false">
      <c r="A40" s="22" t="s">
        <v>34</v>
      </c>
      <c r="B40" s="21" t="s">
        <v>155</v>
      </c>
      <c r="C40" s="22" t="s">
        <v>156</v>
      </c>
      <c r="D40" s="23" t="n">
        <v>259</v>
      </c>
      <c r="E40" s="24" t="n">
        <v>1202.26</v>
      </c>
      <c r="F40" s="23" t="n">
        <f aca="false">IF(OR(D40="",E40=""),"",D40*E40)</f>
        <v>311385.34</v>
      </c>
      <c r="G40" s="23"/>
      <c r="H40" s="24"/>
      <c r="I40" s="23" t="str">
        <f aca="false">IF(OR(G40="",H40=""),"",G40*H40)</f>
        <v/>
      </c>
      <c r="J40" s="23"/>
      <c r="K40" s="24"/>
      <c r="L40" s="23" t="str">
        <f aca="false">IF(OR(J40="",K40=""),"",J40*K40)</f>
        <v/>
      </c>
      <c r="M40" s="25" t="n">
        <f aca="false">SUM(D40,G40,J40)</f>
        <v>259</v>
      </c>
      <c r="N40" s="26" t="n">
        <f aca="false">IF(M40=0,"",O40/M40)</f>
        <v>1202.26</v>
      </c>
      <c r="O40" s="27" t="n">
        <f aca="false">SUM(F40,I40,L40)</f>
        <v>311385.34</v>
      </c>
    </row>
    <row r="41" customFormat="false" ht="15" hidden="false" customHeight="true" outlineLevel="0" collapsed="false">
      <c r="A41" s="22" t="s">
        <v>34</v>
      </c>
      <c r="B41" s="21" t="s">
        <v>157</v>
      </c>
      <c r="C41" s="22"/>
      <c r="D41" s="23"/>
      <c r="E41" s="24"/>
      <c r="F41" s="23" t="str">
        <f aca="false">IF(OR(D41="",E41=""),"",D41*E41)</f>
        <v/>
      </c>
      <c r="G41" s="23" t="n">
        <v>240</v>
      </c>
      <c r="H41" s="24" t="n">
        <v>923.83</v>
      </c>
      <c r="I41" s="23" t="n">
        <f aca="false">IF(OR(G41="",H41=""),"",G41*H41)</f>
        <v>221719.2</v>
      </c>
      <c r="J41" s="23"/>
      <c r="K41" s="24"/>
      <c r="L41" s="23" t="str">
        <f aca="false">IF(OR(J41="",K41=""),"",J41*K41)</f>
        <v/>
      </c>
      <c r="M41" s="25" t="n">
        <f aca="false">SUM(D41,G41,J41)</f>
        <v>240</v>
      </c>
      <c r="N41" s="26" t="n">
        <f aca="false">IF(M41=0,"",O41/M41)</f>
        <v>923.83</v>
      </c>
      <c r="O41" s="27" t="n">
        <f aca="false">SUM(F41,I41,L41)</f>
        <v>221719.2</v>
      </c>
    </row>
    <row r="42" customFormat="false" ht="15" hidden="false" customHeight="true" outlineLevel="0" collapsed="false">
      <c r="A42" s="22" t="s">
        <v>34</v>
      </c>
      <c r="B42" s="21" t="s">
        <v>158</v>
      </c>
      <c r="C42" s="22"/>
      <c r="D42" s="23"/>
      <c r="E42" s="24"/>
      <c r="F42" s="23" t="str">
        <f aca="false">IF(OR(D42="",E42=""),"",D42*E42)</f>
        <v/>
      </c>
      <c r="G42" s="23" t="n">
        <v>210</v>
      </c>
      <c r="H42" s="24" t="n">
        <v>866.09</v>
      </c>
      <c r="I42" s="23" t="n">
        <f aca="false">IF(OR(G42="",H42=""),"",G42*H42)</f>
        <v>181878.9</v>
      </c>
      <c r="J42" s="23"/>
      <c r="K42" s="24"/>
      <c r="L42" s="23" t="str">
        <f aca="false">IF(OR(J42="",K42=""),"",J42*K42)</f>
        <v/>
      </c>
      <c r="M42" s="25" t="n">
        <f aca="false">SUM(D42,G42,J42)</f>
        <v>210</v>
      </c>
      <c r="N42" s="26" t="n">
        <f aca="false">IF(M42=0,"",O42/M42)</f>
        <v>866.09</v>
      </c>
      <c r="O42" s="27" t="n">
        <f aca="false">SUM(F42,I42,L42)</f>
        <v>181878.9</v>
      </c>
    </row>
    <row r="43" customFormat="false" ht="23.25" hidden="false" customHeight="true" outlineLevel="0" collapsed="false">
      <c r="A43" s="22" t="s">
        <v>34</v>
      </c>
      <c r="B43" s="21" t="s">
        <v>159</v>
      </c>
      <c r="C43" s="22" t="s">
        <v>160</v>
      </c>
      <c r="D43" s="23" t="n">
        <v>32</v>
      </c>
      <c r="E43" s="24" t="n">
        <v>901.69</v>
      </c>
      <c r="F43" s="23" t="n">
        <f aca="false">IF(OR(D43="",E43=""),"",D43*E43)</f>
        <v>28854.08</v>
      </c>
      <c r="G43" s="23"/>
      <c r="H43" s="24"/>
      <c r="I43" s="23" t="str">
        <f aca="false">IF(OR(G43="",H43=""),"",G43*H43)</f>
        <v/>
      </c>
      <c r="J43" s="23"/>
      <c r="K43" s="24"/>
      <c r="L43" s="23" t="str">
        <f aca="false">IF(OR(J43="",K43=""),"",J43*K43)</f>
        <v/>
      </c>
      <c r="M43" s="25" t="n">
        <f aca="false">SUM(D43,G43,J43)</f>
        <v>32</v>
      </c>
      <c r="N43" s="26" t="n">
        <f aca="false">IF(M43=0,"",O43/M43)</f>
        <v>901.69</v>
      </c>
      <c r="O43" s="27" t="n">
        <f aca="false">SUM(F43,I43,L43)</f>
        <v>28854.08</v>
      </c>
    </row>
    <row r="44" customFormat="false" ht="15" hidden="false" customHeight="true" outlineLevel="0" collapsed="false">
      <c r="A44" s="35"/>
      <c r="B44" s="35" t="s">
        <v>328</v>
      </c>
      <c r="C44" s="35"/>
      <c r="D44" s="36" t="n">
        <f aca="false">SUM(D31:D43)</f>
        <v>9805</v>
      </c>
      <c r="E44" s="37"/>
      <c r="F44" s="36" t="n">
        <f aca="false">SUM(F31:F43)</f>
        <v>5287659.5</v>
      </c>
      <c r="G44" s="36" t="n">
        <f aca="false">SUM(G31:G43)</f>
        <v>28400</v>
      </c>
      <c r="H44" s="37"/>
      <c r="I44" s="36" t="n">
        <f aca="false">SUM(I31:I43)</f>
        <v>15150217</v>
      </c>
      <c r="J44" s="36" t="n">
        <f aca="false">SUM(J31:J43)</f>
        <v>0</v>
      </c>
      <c r="K44" s="37"/>
      <c r="L44" s="36" t="n">
        <f aca="false">SUM(L31:L43)</f>
        <v>0</v>
      </c>
      <c r="M44" s="36" t="n">
        <f aca="false">SUM(M31:M43)</f>
        <v>38205</v>
      </c>
      <c r="N44" s="38" t="n">
        <f aca="false">IF(M44=0,"",O44/M44)</f>
        <v>534.952925009815</v>
      </c>
      <c r="O44" s="36" t="n">
        <f aca="false">SUM(O31:O43)</f>
        <v>20437876.5</v>
      </c>
    </row>
    <row r="46" customFormat="false" ht="23.25" hidden="false" customHeight="true" outlineLevel="0" collapsed="false">
      <c r="A46" s="22" t="s">
        <v>36</v>
      </c>
      <c r="B46" s="21" t="s">
        <v>123</v>
      </c>
      <c r="C46" s="22" t="s">
        <v>124</v>
      </c>
      <c r="D46" s="23" t="n">
        <v>6179</v>
      </c>
      <c r="E46" s="24" t="n">
        <v>382.54</v>
      </c>
      <c r="F46" s="23" t="n">
        <f aca="false">IF(OR(D46="",E46=""),"",D46*E46)</f>
        <v>2363714.66</v>
      </c>
      <c r="G46" s="23"/>
      <c r="H46" s="24"/>
      <c r="I46" s="23" t="str">
        <f aca="false">IF(OR(G46="",H46=""),"",G46*H46)</f>
        <v/>
      </c>
      <c r="J46" s="23"/>
      <c r="K46" s="24"/>
      <c r="L46" s="23" t="str">
        <f aca="false">IF(OR(J46="",K46=""),"",J46*K46)</f>
        <v/>
      </c>
      <c r="M46" s="25" t="n">
        <f aca="false">SUM(D46,G46,J46)</f>
        <v>6179</v>
      </c>
      <c r="N46" s="26" t="n">
        <f aca="false">IF(M46=0,"",O46/M46)</f>
        <v>382.54</v>
      </c>
      <c r="O46" s="27" t="n">
        <f aca="false">SUM(F46,I46,L46)</f>
        <v>2363714.66</v>
      </c>
    </row>
    <row r="47" customFormat="false" ht="23.25" hidden="false" customHeight="true" outlineLevel="0" collapsed="false">
      <c r="A47" s="22" t="s">
        <v>36</v>
      </c>
      <c r="B47" s="21" t="s">
        <v>125</v>
      </c>
      <c r="C47" s="22" t="s">
        <v>126</v>
      </c>
      <c r="D47" s="23" t="n">
        <v>3493</v>
      </c>
      <c r="E47" s="24" t="n">
        <v>436.39</v>
      </c>
      <c r="F47" s="23" t="n">
        <f aca="false">IF(OR(D47="",E47=""),"",D47*E47)</f>
        <v>1524310.27</v>
      </c>
      <c r="G47" s="23"/>
      <c r="H47" s="24"/>
      <c r="I47" s="23" t="str">
        <f aca="false">IF(OR(G47="",H47=""),"",G47*H47)</f>
        <v/>
      </c>
      <c r="J47" s="23"/>
      <c r="K47" s="24"/>
      <c r="L47" s="23" t="str">
        <f aca="false">IF(OR(J47="",K47=""),"",J47*K47)</f>
        <v/>
      </c>
      <c r="M47" s="25" t="n">
        <f aca="false">SUM(D47,G47,J47)</f>
        <v>3493</v>
      </c>
      <c r="N47" s="26" t="n">
        <f aca="false">IF(M47=0,"",O47/M47)</f>
        <v>436.39</v>
      </c>
      <c r="O47" s="27" t="n">
        <f aca="false">SUM(F47,I47,L47)</f>
        <v>1524310.27</v>
      </c>
    </row>
    <row r="48" customFormat="false" ht="23.25" hidden="false" customHeight="true" outlineLevel="0" collapsed="false">
      <c r="A48" s="22" t="s">
        <v>36</v>
      </c>
      <c r="B48" s="21" t="s">
        <v>127</v>
      </c>
      <c r="C48" s="22" t="s">
        <v>128</v>
      </c>
      <c r="D48" s="23" t="n">
        <v>3239</v>
      </c>
      <c r="E48" s="24" t="n">
        <v>436.39</v>
      </c>
      <c r="F48" s="23" t="n">
        <f aca="false">IF(OR(D48="",E48=""),"",D48*E48)</f>
        <v>1413467.21</v>
      </c>
      <c r="G48" s="23"/>
      <c r="H48" s="24"/>
      <c r="I48" s="23" t="str">
        <f aca="false">IF(OR(G48="",H48=""),"",G48*H48)</f>
        <v/>
      </c>
      <c r="J48" s="23"/>
      <c r="K48" s="24"/>
      <c r="L48" s="23" t="str">
        <f aca="false">IF(OR(J48="",K48=""),"",J48*K48)</f>
        <v/>
      </c>
      <c r="M48" s="25" t="n">
        <f aca="false">SUM(D48,G48,J48)</f>
        <v>3239</v>
      </c>
      <c r="N48" s="26" t="n">
        <f aca="false">IF(M48=0,"",O48/M48)</f>
        <v>436.39</v>
      </c>
      <c r="O48" s="27" t="n">
        <f aca="false">SUM(F48,I48,L48)</f>
        <v>1413467.21</v>
      </c>
    </row>
    <row r="49" customFormat="false" ht="23.25" hidden="false" customHeight="true" outlineLevel="0" collapsed="false">
      <c r="A49" s="22" t="s">
        <v>36</v>
      </c>
      <c r="B49" s="21" t="s">
        <v>129</v>
      </c>
      <c r="C49" s="22" t="s">
        <v>130</v>
      </c>
      <c r="D49" s="23" t="n">
        <v>2435</v>
      </c>
      <c r="E49" s="24" t="n">
        <v>440.84</v>
      </c>
      <c r="F49" s="23" t="n">
        <f aca="false">IF(OR(D49="",E49=""),"",D49*E49)</f>
        <v>1073445.4</v>
      </c>
      <c r="G49" s="23"/>
      <c r="H49" s="24"/>
      <c r="I49" s="23" t="str">
        <f aca="false">IF(OR(G49="",H49=""),"",G49*H49)</f>
        <v/>
      </c>
      <c r="J49" s="23"/>
      <c r="K49" s="24"/>
      <c r="L49" s="23" t="str">
        <f aca="false">IF(OR(J49="",K49=""),"",J49*K49)</f>
        <v/>
      </c>
      <c r="M49" s="25" t="n">
        <f aca="false">SUM(D49,G49,J49)</f>
        <v>2435</v>
      </c>
      <c r="N49" s="26" t="n">
        <f aca="false">IF(M49=0,"",O49/M49)</f>
        <v>440.84</v>
      </c>
      <c r="O49" s="27" t="n">
        <f aca="false">SUM(F49,I49,L49)</f>
        <v>1073445.4</v>
      </c>
    </row>
    <row r="50" customFormat="false" ht="23.25" hidden="false" customHeight="true" outlineLevel="0" collapsed="false">
      <c r="A50" s="22" t="s">
        <v>36</v>
      </c>
      <c r="B50" s="21" t="s">
        <v>131</v>
      </c>
      <c r="C50" s="22" t="s">
        <v>132</v>
      </c>
      <c r="D50" s="23" t="n">
        <v>901</v>
      </c>
      <c r="E50" s="24" t="n">
        <v>429.51</v>
      </c>
      <c r="F50" s="23" t="n">
        <f aca="false">IF(OR(D50="",E50=""),"",D50*E50)</f>
        <v>386988.51</v>
      </c>
      <c r="G50" s="23"/>
      <c r="H50" s="24"/>
      <c r="I50" s="23" t="str">
        <f aca="false">IF(OR(G50="",H50=""),"",G50*H50)</f>
        <v/>
      </c>
      <c r="J50" s="23"/>
      <c r="K50" s="24"/>
      <c r="L50" s="23" t="str">
        <f aca="false">IF(OR(J50="",K50=""),"",J50*K50)</f>
        <v/>
      </c>
      <c r="M50" s="25" t="n">
        <f aca="false">SUM(D50,G50,J50)</f>
        <v>901</v>
      </c>
      <c r="N50" s="26" t="n">
        <f aca="false">IF(M50=0,"",O50/M50)</f>
        <v>429.51</v>
      </c>
      <c r="O50" s="27" t="n">
        <f aca="false">SUM(F50,I50,L50)</f>
        <v>386988.51</v>
      </c>
    </row>
    <row r="51" customFormat="false" ht="23.25" hidden="false" customHeight="true" outlineLevel="0" collapsed="false">
      <c r="A51" s="22" t="s">
        <v>36</v>
      </c>
      <c r="B51" s="21" t="s">
        <v>133</v>
      </c>
      <c r="C51" s="22" t="s">
        <v>134</v>
      </c>
      <c r="D51" s="23" t="n">
        <v>900</v>
      </c>
      <c r="E51" s="24" t="n">
        <v>474.15</v>
      </c>
      <c r="F51" s="23" t="n">
        <f aca="false">IF(OR(D51="",E51=""),"",D51*E51)</f>
        <v>426735</v>
      </c>
      <c r="G51" s="23"/>
      <c r="H51" s="24"/>
      <c r="I51" s="23" t="str">
        <f aca="false">IF(OR(G51="",H51=""),"",G51*H51)</f>
        <v/>
      </c>
      <c r="J51" s="23"/>
      <c r="K51" s="24"/>
      <c r="L51" s="23" t="str">
        <f aca="false">IF(OR(J51="",K51=""),"",J51*K51)</f>
        <v/>
      </c>
      <c r="M51" s="25" t="n">
        <f aca="false">SUM(D51,G51,J51)</f>
        <v>900</v>
      </c>
      <c r="N51" s="26" t="n">
        <f aca="false">IF(M51=0,"",O51/M51)</f>
        <v>474.15</v>
      </c>
      <c r="O51" s="27" t="n">
        <f aca="false">SUM(F51,I51,L51)</f>
        <v>426735</v>
      </c>
    </row>
    <row r="52" customFormat="false" ht="23.25" hidden="false" customHeight="true" outlineLevel="0" collapsed="false">
      <c r="A52" s="22" t="s">
        <v>36</v>
      </c>
      <c r="B52" s="21" t="s">
        <v>135</v>
      </c>
      <c r="C52" s="22" t="s">
        <v>136</v>
      </c>
      <c r="D52" s="23" t="n">
        <v>860</v>
      </c>
      <c r="E52" s="24" t="n">
        <v>345.22</v>
      </c>
      <c r="F52" s="23" t="n">
        <f aca="false">IF(OR(D52="",E52=""),"",D52*E52)</f>
        <v>296889.2</v>
      </c>
      <c r="G52" s="23"/>
      <c r="H52" s="24"/>
      <c r="I52" s="23" t="str">
        <f aca="false">IF(OR(G52="",H52=""),"",G52*H52)</f>
        <v/>
      </c>
      <c r="J52" s="23"/>
      <c r="K52" s="24"/>
      <c r="L52" s="23" t="str">
        <f aca="false">IF(OR(J52="",K52=""),"",J52*K52)</f>
        <v/>
      </c>
      <c r="M52" s="25" t="n">
        <f aca="false">SUM(D52,G52,J52)</f>
        <v>860</v>
      </c>
      <c r="N52" s="26" t="n">
        <f aca="false">IF(M52=0,"",O52/M52)</f>
        <v>345.22</v>
      </c>
      <c r="O52" s="27" t="n">
        <f aca="false">SUM(F52,I52,L52)</f>
        <v>296889.2</v>
      </c>
    </row>
    <row r="53" customFormat="false" ht="23.25" hidden="false" customHeight="true" outlineLevel="0" collapsed="false">
      <c r="A53" s="22" t="s">
        <v>36</v>
      </c>
      <c r="B53" s="21" t="s">
        <v>137</v>
      </c>
      <c r="C53" s="22" t="s">
        <v>138</v>
      </c>
      <c r="D53" s="23" t="n">
        <v>404</v>
      </c>
      <c r="E53" s="24" t="n">
        <v>177.62</v>
      </c>
      <c r="F53" s="23" t="n">
        <f aca="false">IF(OR(D53="",E53=""),"",D53*E53)</f>
        <v>71758.48</v>
      </c>
      <c r="G53" s="23"/>
      <c r="H53" s="24"/>
      <c r="I53" s="23" t="str">
        <f aca="false">IF(OR(G53="",H53=""),"",G53*H53)</f>
        <v/>
      </c>
      <c r="J53" s="23"/>
      <c r="K53" s="24"/>
      <c r="L53" s="23" t="str">
        <f aca="false">IF(OR(J53="",K53=""),"",J53*K53)</f>
        <v/>
      </c>
      <c r="M53" s="25" t="n">
        <f aca="false">SUM(D53,G53,J53)</f>
        <v>404</v>
      </c>
      <c r="N53" s="26" t="n">
        <f aca="false">IF(M53=0,"",O53/M53)</f>
        <v>177.62</v>
      </c>
      <c r="O53" s="27" t="n">
        <f aca="false">SUM(F53,I53,L53)</f>
        <v>71758.48</v>
      </c>
    </row>
    <row r="54" customFormat="false" ht="23.25" hidden="false" customHeight="true" outlineLevel="0" collapsed="false">
      <c r="A54" s="22" t="s">
        <v>36</v>
      </c>
      <c r="B54" s="21" t="s">
        <v>139</v>
      </c>
      <c r="C54" s="22" t="s">
        <v>140</v>
      </c>
      <c r="D54" s="23" t="n">
        <v>250</v>
      </c>
      <c r="E54" s="24" t="n">
        <v>532.86</v>
      </c>
      <c r="F54" s="23" t="n">
        <f aca="false">IF(OR(D54="",E54=""),"",D54*E54)</f>
        <v>133215</v>
      </c>
      <c r="G54" s="23"/>
      <c r="H54" s="24"/>
      <c r="I54" s="23" t="str">
        <f aca="false">IF(OR(G54="",H54=""),"",G54*H54)</f>
        <v/>
      </c>
      <c r="J54" s="23"/>
      <c r="K54" s="24"/>
      <c r="L54" s="23" t="str">
        <f aca="false">IF(OR(J54="",K54=""),"",J54*K54)</f>
        <v/>
      </c>
      <c r="M54" s="25" t="n">
        <f aca="false">SUM(D54,G54,J54)</f>
        <v>250</v>
      </c>
      <c r="N54" s="26" t="n">
        <f aca="false">IF(M54=0,"",O54/M54)</f>
        <v>532.86</v>
      </c>
      <c r="O54" s="27" t="n">
        <f aca="false">SUM(F54,I54,L54)</f>
        <v>133215</v>
      </c>
    </row>
    <row r="55" customFormat="false" ht="23.25" hidden="false" customHeight="true" outlineLevel="0" collapsed="false">
      <c r="A55" s="22" t="s">
        <v>36</v>
      </c>
      <c r="B55" s="21" t="s">
        <v>141</v>
      </c>
      <c r="C55" s="22" t="s">
        <v>142</v>
      </c>
      <c r="D55" s="23" t="n">
        <v>156</v>
      </c>
      <c r="E55" s="24" t="n">
        <v>254.9</v>
      </c>
      <c r="F55" s="23" t="n">
        <f aca="false">IF(OR(D55="",E55=""),"",D55*E55)</f>
        <v>39764.4</v>
      </c>
      <c r="G55" s="23"/>
      <c r="H55" s="24"/>
      <c r="I55" s="23" t="str">
        <f aca="false">IF(OR(G55="",H55=""),"",G55*H55)</f>
        <v/>
      </c>
      <c r="J55" s="23"/>
      <c r="K55" s="24"/>
      <c r="L55" s="23" t="str">
        <f aca="false">IF(OR(J55="",K55=""),"",J55*K55)</f>
        <v/>
      </c>
      <c r="M55" s="25" t="n">
        <f aca="false">SUM(D55,G55,J55)</f>
        <v>156</v>
      </c>
      <c r="N55" s="26" t="n">
        <f aca="false">IF(M55=0,"",O55/M55)</f>
        <v>254.9</v>
      </c>
      <c r="O55" s="27" t="n">
        <f aca="false">SUM(F55,I55,L55)</f>
        <v>39764.4</v>
      </c>
    </row>
    <row r="56" customFormat="false" ht="15" hidden="false" customHeight="true" outlineLevel="0" collapsed="false">
      <c r="A56" s="35"/>
      <c r="B56" s="35" t="s">
        <v>329</v>
      </c>
      <c r="C56" s="35"/>
      <c r="D56" s="36" t="n">
        <f aca="false">SUM(D46:D55)</f>
        <v>18817</v>
      </c>
      <c r="E56" s="37"/>
      <c r="F56" s="36" t="n">
        <f aca="false">SUM(F46:F55)</f>
        <v>7730288.13</v>
      </c>
      <c r="G56" s="36" t="n">
        <f aca="false">SUM(G46:G55)</f>
        <v>0</v>
      </c>
      <c r="H56" s="37"/>
      <c r="I56" s="36" t="n">
        <f aca="false">SUM(I46:I55)</f>
        <v>0</v>
      </c>
      <c r="J56" s="36" t="n">
        <f aca="false">SUM(J46:J55)</f>
        <v>0</v>
      </c>
      <c r="K56" s="37"/>
      <c r="L56" s="36" t="n">
        <f aca="false">SUM(L46:L55)</f>
        <v>0</v>
      </c>
      <c r="M56" s="36" t="n">
        <f aca="false">SUM(M46:M55)</f>
        <v>18817</v>
      </c>
      <c r="N56" s="38" t="n">
        <f aca="false">IF(M56=0,"",O56/M56)</f>
        <v>410.81405803263</v>
      </c>
      <c r="O56" s="36" t="n">
        <f aca="false">SUM(O46:O55)</f>
        <v>7730288.13</v>
      </c>
    </row>
    <row r="58" customFormat="false" ht="23.25" hidden="false" customHeight="true" outlineLevel="0" collapsed="false">
      <c r="A58" s="22" t="s">
        <v>40</v>
      </c>
      <c r="B58" s="21" t="s">
        <v>174</v>
      </c>
      <c r="C58" s="22" t="s">
        <v>175</v>
      </c>
      <c r="D58" s="23" t="n">
        <v>7463</v>
      </c>
      <c r="E58" s="24" t="n">
        <v>222.5</v>
      </c>
      <c r="F58" s="23" t="n">
        <f aca="false">IF(OR(D58="",E58=""),"",D58*E58)</f>
        <v>1660517.5</v>
      </c>
      <c r="G58" s="23"/>
      <c r="H58" s="24"/>
      <c r="I58" s="23" t="str">
        <f aca="false">IF(OR(G58="",H58=""),"",G58*H58)</f>
        <v/>
      </c>
      <c r="J58" s="23"/>
      <c r="K58" s="24"/>
      <c r="L58" s="23" t="str">
        <f aca="false">IF(OR(J58="",K58=""),"",J58*K58)</f>
        <v/>
      </c>
      <c r="M58" s="25" t="n">
        <f aca="false">SUM(D58,G58,J58)</f>
        <v>7463</v>
      </c>
      <c r="N58" s="26" t="n">
        <f aca="false">IF(M58=0,"",O58/M58)</f>
        <v>222.5</v>
      </c>
      <c r="O58" s="27" t="n">
        <f aca="false">SUM(F58,I58,L58)</f>
        <v>1660517.5</v>
      </c>
    </row>
    <row r="59" customFormat="false" ht="23.25" hidden="false" customHeight="true" outlineLevel="0" collapsed="false">
      <c r="A59" s="22" t="s">
        <v>40</v>
      </c>
      <c r="B59" s="21" t="s">
        <v>176</v>
      </c>
      <c r="C59" s="22" t="s">
        <v>177</v>
      </c>
      <c r="D59" s="23" t="n">
        <v>1614</v>
      </c>
      <c r="E59" s="24" t="n">
        <v>222.5</v>
      </c>
      <c r="F59" s="23" t="n">
        <f aca="false">IF(OR(D59="",E59=""),"",D59*E59)</f>
        <v>359115</v>
      </c>
      <c r="G59" s="23"/>
      <c r="H59" s="24"/>
      <c r="I59" s="23" t="str">
        <f aca="false">IF(OR(G59="",H59=""),"",G59*H59)</f>
        <v/>
      </c>
      <c r="J59" s="23"/>
      <c r="K59" s="24"/>
      <c r="L59" s="23" t="str">
        <f aca="false">IF(OR(J59="",K59=""),"",J59*K59)</f>
        <v/>
      </c>
      <c r="M59" s="25" t="n">
        <f aca="false">SUM(D59,G59,J59)</f>
        <v>1614</v>
      </c>
      <c r="N59" s="26" t="n">
        <f aca="false">IF(M59=0,"",O59/M59)</f>
        <v>222.5</v>
      </c>
      <c r="O59" s="27" t="n">
        <f aca="false">SUM(F59,I59,L59)</f>
        <v>359115</v>
      </c>
    </row>
    <row r="60" customFormat="false" ht="23.25" hidden="false" customHeight="true" outlineLevel="0" collapsed="false">
      <c r="A60" s="22" t="s">
        <v>40</v>
      </c>
      <c r="B60" s="21" t="s">
        <v>178</v>
      </c>
      <c r="C60" s="22" t="s">
        <v>179</v>
      </c>
      <c r="D60" s="23" t="n">
        <v>1414</v>
      </c>
      <c r="E60" s="24" t="n">
        <v>291.9</v>
      </c>
      <c r="F60" s="23" t="n">
        <f aca="false">IF(OR(D60="",E60=""),"",D60*E60)</f>
        <v>412746.6</v>
      </c>
      <c r="G60" s="23"/>
      <c r="H60" s="24"/>
      <c r="I60" s="23" t="str">
        <f aca="false">IF(OR(G60="",H60=""),"",G60*H60)</f>
        <v/>
      </c>
      <c r="J60" s="23"/>
      <c r="K60" s="24"/>
      <c r="L60" s="23" t="str">
        <f aca="false">IF(OR(J60="",K60=""),"",J60*K60)</f>
        <v/>
      </c>
      <c r="M60" s="25" t="n">
        <f aca="false">SUM(D60,G60,J60)</f>
        <v>1414</v>
      </c>
      <c r="N60" s="26" t="n">
        <f aca="false">IF(M60=0,"",O60/M60)</f>
        <v>291.9</v>
      </c>
      <c r="O60" s="27" t="n">
        <f aca="false">SUM(F60,I60,L60)</f>
        <v>412746.6</v>
      </c>
    </row>
    <row r="61" customFormat="false" ht="15" hidden="false" customHeight="true" outlineLevel="0" collapsed="false">
      <c r="A61" s="22" t="s">
        <v>40</v>
      </c>
      <c r="B61" s="21" t="s">
        <v>180</v>
      </c>
      <c r="C61" s="22" t="s">
        <v>181</v>
      </c>
      <c r="D61" s="23" t="n">
        <v>1350</v>
      </c>
      <c r="E61" s="24" t="n">
        <v>334.05</v>
      </c>
      <c r="F61" s="23" t="n">
        <f aca="false">IF(OR(D61="",E61=""),"",D61*E61)</f>
        <v>450967.5</v>
      </c>
      <c r="G61" s="23"/>
      <c r="H61" s="24"/>
      <c r="I61" s="23" t="str">
        <f aca="false">IF(OR(G61="",H61=""),"",G61*H61)</f>
        <v/>
      </c>
      <c r="J61" s="23"/>
      <c r="K61" s="24"/>
      <c r="L61" s="23" t="str">
        <f aca="false">IF(OR(J61="",K61=""),"",J61*K61)</f>
        <v/>
      </c>
      <c r="M61" s="25" t="n">
        <f aca="false">SUM(D61,G61,J61)</f>
        <v>1350</v>
      </c>
      <c r="N61" s="26" t="n">
        <f aca="false">IF(M61=0,"",O61/M61)</f>
        <v>334.05</v>
      </c>
      <c r="O61" s="27" t="n">
        <f aca="false">SUM(F61,I61,L61)</f>
        <v>450967.5</v>
      </c>
    </row>
    <row r="62" customFormat="false" ht="23.25" hidden="false" customHeight="true" outlineLevel="0" collapsed="false">
      <c r="A62" s="22" t="s">
        <v>40</v>
      </c>
      <c r="B62" s="21" t="s">
        <v>182</v>
      </c>
      <c r="C62" s="22" t="s">
        <v>183</v>
      </c>
      <c r="D62" s="23" t="n">
        <v>1296</v>
      </c>
      <c r="E62" s="24" t="n">
        <v>291.9</v>
      </c>
      <c r="F62" s="23" t="n">
        <f aca="false">IF(OR(D62="",E62=""),"",D62*E62)</f>
        <v>378302.4</v>
      </c>
      <c r="G62" s="23"/>
      <c r="H62" s="24"/>
      <c r="I62" s="23" t="str">
        <f aca="false">IF(OR(G62="",H62=""),"",G62*H62)</f>
        <v/>
      </c>
      <c r="J62" s="23"/>
      <c r="K62" s="24"/>
      <c r="L62" s="23" t="str">
        <f aca="false">IF(OR(J62="",K62=""),"",J62*K62)</f>
        <v/>
      </c>
      <c r="M62" s="25" t="n">
        <f aca="false">SUM(D62,G62,J62)</f>
        <v>1296</v>
      </c>
      <c r="N62" s="26" t="n">
        <f aca="false">IF(M62=0,"",O62/M62)</f>
        <v>291.9</v>
      </c>
      <c r="O62" s="27" t="n">
        <f aca="false">SUM(F62,I62,L62)</f>
        <v>378302.4</v>
      </c>
    </row>
    <row r="63" customFormat="false" ht="23.25" hidden="false" customHeight="true" outlineLevel="0" collapsed="false">
      <c r="A63" s="22" t="s">
        <v>40</v>
      </c>
      <c r="B63" s="21" t="s">
        <v>184</v>
      </c>
      <c r="C63" s="22" t="s">
        <v>185</v>
      </c>
      <c r="D63" s="23" t="n">
        <v>934</v>
      </c>
      <c r="E63" s="24" t="n">
        <v>204.45</v>
      </c>
      <c r="F63" s="23" t="n">
        <f aca="false">IF(OR(D63="",E63=""),"",D63*E63)</f>
        <v>190956.3</v>
      </c>
      <c r="G63" s="23"/>
      <c r="H63" s="24"/>
      <c r="I63" s="23" t="str">
        <f aca="false">IF(OR(G63="",H63=""),"",G63*H63)</f>
        <v/>
      </c>
      <c r="J63" s="23"/>
      <c r="K63" s="24"/>
      <c r="L63" s="23" t="str">
        <f aca="false">IF(OR(J63="",K63=""),"",J63*K63)</f>
        <v/>
      </c>
      <c r="M63" s="25" t="n">
        <f aca="false">SUM(D63,G63,J63)</f>
        <v>934</v>
      </c>
      <c r="N63" s="26" t="n">
        <f aca="false">IF(M63=0,"",O63/M63)</f>
        <v>204.45</v>
      </c>
      <c r="O63" s="27" t="n">
        <f aca="false">SUM(F63,I63,L63)</f>
        <v>190956.3</v>
      </c>
    </row>
    <row r="64" customFormat="false" ht="23.25" hidden="false" customHeight="true" outlineLevel="0" collapsed="false">
      <c r="A64" s="22" t="s">
        <v>40</v>
      </c>
      <c r="B64" s="21" t="s">
        <v>186</v>
      </c>
      <c r="C64" s="22" t="s">
        <v>187</v>
      </c>
      <c r="D64" s="23" t="n">
        <v>372</v>
      </c>
      <c r="E64" s="24" t="n">
        <v>162.13</v>
      </c>
      <c r="F64" s="23" t="n">
        <f aca="false">IF(OR(D64="",E64=""),"",D64*E64)</f>
        <v>60312.36</v>
      </c>
      <c r="G64" s="23"/>
      <c r="H64" s="24"/>
      <c r="I64" s="23" t="str">
        <f aca="false">IF(OR(G64="",H64=""),"",G64*H64)</f>
        <v/>
      </c>
      <c r="J64" s="23"/>
      <c r="K64" s="24"/>
      <c r="L64" s="23" t="str">
        <f aca="false">IF(OR(J64="",K64=""),"",J64*K64)</f>
        <v/>
      </c>
      <c r="M64" s="25" t="n">
        <f aca="false">SUM(D64,G64,J64)</f>
        <v>372</v>
      </c>
      <c r="N64" s="26" t="n">
        <f aca="false">IF(M64=0,"",O64/M64)</f>
        <v>162.13</v>
      </c>
      <c r="O64" s="27" t="n">
        <f aca="false">SUM(F64,I64,L64)</f>
        <v>60312.36</v>
      </c>
    </row>
    <row r="65" customFormat="false" ht="23.25" hidden="false" customHeight="true" outlineLevel="0" collapsed="false">
      <c r="A65" s="22" t="s">
        <v>40</v>
      </c>
      <c r="B65" s="21" t="s">
        <v>188</v>
      </c>
      <c r="C65" s="22" t="s">
        <v>189</v>
      </c>
      <c r="D65" s="23" t="n">
        <v>356</v>
      </c>
      <c r="E65" s="24" t="n">
        <v>291.9</v>
      </c>
      <c r="F65" s="23" t="n">
        <f aca="false">IF(OR(D65="",E65=""),"",D65*E65)</f>
        <v>103916.4</v>
      </c>
      <c r="G65" s="23"/>
      <c r="H65" s="24"/>
      <c r="I65" s="23" t="str">
        <f aca="false">IF(OR(G65="",H65=""),"",G65*H65)</f>
        <v/>
      </c>
      <c r="J65" s="23"/>
      <c r="K65" s="24"/>
      <c r="L65" s="23" t="str">
        <f aca="false">IF(OR(J65="",K65=""),"",J65*K65)</f>
        <v/>
      </c>
      <c r="M65" s="25" t="n">
        <f aca="false">SUM(D65,G65,J65)</f>
        <v>356</v>
      </c>
      <c r="N65" s="26" t="n">
        <f aca="false">IF(M65=0,"",O65/M65)</f>
        <v>291.9</v>
      </c>
      <c r="O65" s="27" t="n">
        <f aca="false">SUM(F65,I65,L65)</f>
        <v>103916.4</v>
      </c>
    </row>
    <row r="66" customFormat="false" ht="15" hidden="false" customHeight="true" outlineLevel="0" collapsed="false">
      <c r="A66" s="35"/>
      <c r="B66" s="35" t="s">
        <v>330</v>
      </c>
      <c r="C66" s="35"/>
      <c r="D66" s="36" t="n">
        <f aca="false">SUM(D58:D65)</f>
        <v>14799</v>
      </c>
      <c r="E66" s="37"/>
      <c r="F66" s="36" t="n">
        <f aca="false">SUM(F58:F65)</f>
        <v>3616834.06</v>
      </c>
      <c r="G66" s="36" t="n">
        <f aca="false">SUM(G58:G65)</f>
        <v>0</v>
      </c>
      <c r="H66" s="37"/>
      <c r="I66" s="36" t="n">
        <f aca="false">SUM(I58:I65)</f>
        <v>0</v>
      </c>
      <c r="J66" s="36" t="n">
        <f aca="false">SUM(J58:J65)</f>
        <v>0</v>
      </c>
      <c r="K66" s="37"/>
      <c r="L66" s="36" t="n">
        <f aca="false">SUM(L58:L65)</f>
        <v>0</v>
      </c>
      <c r="M66" s="36" t="n">
        <f aca="false">SUM(M58:M65)</f>
        <v>14799</v>
      </c>
      <c r="N66" s="38" t="n">
        <f aca="false">IF(M66=0,"",O66/M66)</f>
        <v>244.397193053585</v>
      </c>
      <c r="O66" s="36" t="n">
        <f aca="false">SUM(O58:O65)</f>
        <v>3616834.06</v>
      </c>
    </row>
    <row r="68" customFormat="false" ht="23.25" hidden="false" customHeight="true" outlineLevel="0" collapsed="false">
      <c r="A68" s="22" t="s">
        <v>47</v>
      </c>
      <c r="B68" s="21" t="s">
        <v>228</v>
      </c>
      <c r="C68" s="22" t="s">
        <v>229</v>
      </c>
      <c r="D68" s="23" t="n">
        <v>7340</v>
      </c>
      <c r="E68" s="24" t="n">
        <v>177.43</v>
      </c>
      <c r="F68" s="23" t="n">
        <f aca="false">IF(OR(D68="",E68=""),"",D68*E68)</f>
        <v>1302336.2</v>
      </c>
      <c r="G68" s="23"/>
      <c r="H68" s="24"/>
      <c r="I68" s="23" t="str">
        <f aca="false">IF(OR(G68="",H68=""),"",G68*H68)</f>
        <v/>
      </c>
      <c r="J68" s="23"/>
      <c r="K68" s="24"/>
      <c r="L68" s="23" t="str">
        <f aca="false">IF(OR(J68="",K68=""),"",J68*K68)</f>
        <v/>
      </c>
      <c r="M68" s="25" t="n">
        <f aca="false">SUM(D68,G68,J68)</f>
        <v>7340</v>
      </c>
      <c r="N68" s="26" t="n">
        <f aca="false">IF(M68=0,"",O68/M68)</f>
        <v>177.43</v>
      </c>
      <c r="O68" s="27" t="n">
        <f aca="false">SUM(F68,I68,L68)</f>
        <v>1302336.2</v>
      </c>
    </row>
    <row r="69" customFormat="false" ht="15" hidden="false" customHeight="true" outlineLevel="0" collapsed="false">
      <c r="A69" s="22" t="s">
        <v>47</v>
      </c>
      <c r="B69" s="21" t="s">
        <v>230</v>
      </c>
      <c r="C69" s="22"/>
      <c r="D69" s="23"/>
      <c r="E69" s="24"/>
      <c r="F69" s="23" t="str">
        <f aca="false">IF(OR(D69="",E69=""),"",D69*E69)</f>
        <v/>
      </c>
      <c r="G69" s="23"/>
      <c r="H69" s="24"/>
      <c r="I69" s="23" t="str">
        <f aca="false">IF(OR(G69="",H69=""),"",G69*H69)</f>
        <v/>
      </c>
      <c r="J69" s="23" t="n">
        <v>1000</v>
      </c>
      <c r="K69" s="24" t="n">
        <v>320.04</v>
      </c>
      <c r="L69" s="23" t="n">
        <f aca="false">IF(OR(J69="",K69=""),"",J69*K69)</f>
        <v>320040</v>
      </c>
      <c r="M69" s="25" t="n">
        <f aca="false">SUM(D69,G69,J69)</f>
        <v>1000</v>
      </c>
      <c r="N69" s="26" t="n">
        <f aca="false">IF(M69=0,"",O69/M69)</f>
        <v>320.04</v>
      </c>
      <c r="O69" s="27" t="n">
        <f aca="false">SUM(F69,I69,L69)</f>
        <v>320040</v>
      </c>
    </row>
    <row r="70" customFormat="false" ht="23.25" hidden="false" customHeight="true" outlineLevel="0" collapsed="false">
      <c r="A70" s="22" t="s">
        <v>47</v>
      </c>
      <c r="B70" s="21" t="s">
        <v>231</v>
      </c>
      <c r="C70" s="22" t="s">
        <v>232</v>
      </c>
      <c r="D70" s="23" t="n">
        <v>95</v>
      </c>
      <c r="E70" s="24" t="n">
        <v>245.65</v>
      </c>
      <c r="F70" s="23" t="n">
        <f aca="false">IF(OR(D70="",E70=""),"",D70*E70)</f>
        <v>23336.75</v>
      </c>
      <c r="G70" s="23"/>
      <c r="H70" s="24"/>
      <c r="I70" s="23" t="str">
        <f aca="false">IF(OR(G70="",H70=""),"",G70*H70)</f>
        <v/>
      </c>
      <c r="J70" s="23" t="n">
        <v>700</v>
      </c>
      <c r="K70" s="24" t="n">
        <v>263.13</v>
      </c>
      <c r="L70" s="23" t="n">
        <f aca="false">IF(OR(J70="",K70=""),"",J70*K70)</f>
        <v>184191</v>
      </c>
      <c r="M70" s="25" t="n">
        <f aca="false">SUM(D70,G70,J70)</f>
        <v>795</v>
      </c>
      <c r="N70" s="26" t="n">
        <f aca="false">IF(M70=0,"",O70/M70)</f>
        <v>261.041194968553</v>
      </c>
      <c r="O70" s="27" t="n">
        <f aca="false">SUM(F70,I70,L70)</f>
        <v>207527.75</v>
      </c>
    </row>
    <row r="71" customFormat="false" ht="23.25" hidden="false" customHeight="true" outlineLevel="0" collapsed="false">
      <c r="A71" s="22" t="s">
        <v>47</v>
      </c>
      <c r="B71" s="21" t="s">
        <v>233</v>
      </c>
      <c r="C71" s="22" t="s">
        <v>234</v>
      </c>
      <c r="D71" s="23" t="n">
        <v>715</v>
      </c>
      <c r="E71" s="24"/>
      <c r="F71" s="23" t="str">
        <f aca="false">IF(OR(D71="",E71=""),"",D71*E71)</f>
        <v/>
      </c>
      <c r="G71" s="23"/>
      <c r="H71" s="24"/>
      <c r="I71" s="23" t="str">
        <f aca="false">IF(OR(G71="",H71=""),"",G71*H71)</f>
        <v/>
      </c>
      <c r="J71" s="23"/>
      <c r="K71" s="24"/>
      <c r="L71" s="23" t="str">
        <f aca="false">IF(OR(J71="",K71=""),"",J71*K71)</f>
        <v/>
      </c>
      <c r="M71" s="25" t="n">
        <f aca="false">SUM(D71,G71,J71)</f>
        <v>715</v>
      </c>
      <c r="N71" s="26" t="n">
        <f aca="false">IF(M71=0,"",O71/M71)</f>
        <v>0</v>
      </c>
      <c r="O71" s="27" t="n">
        <f aca="false">SUM(F71,I71,L71)</f>
        <v>0</v>
      </c>
    </row>
    <row r="72" customFormat="false" ht="23.25" hidden="false" customHeight="true" outlineLevel="0" collapsed="false">
      <c r="A72" s="22" t="s">
        <v>47</v>
      </c>
      <c r="B72" s="21" t="s">
        <v>235</v>
      </c>
      <c r="C72" s="22" t="s">
        <v>236</v>
      </c>
      <c r="D72" s="23" t="n">
        <v>707</v>
      </c>
      <c r="E72" s="24" t="n">
        <v>201.56</v>
      </c>
      <c r="F72" s="23" t="n">
        <f aca="false">IF(OR(D72="",E72=""),"",D72*E72)</f>
        <v>142502.92</v>
      </c>
      <c r="G72" s="23"/>
      <c r="H72" s="24"/>
      <c r="I72" s="23" t="str">
        <f aca="false">IF(OR(G72="",H72=""),"",G72*H72)</f>
        <v/>
      </c>
      <c r="J72" s="23"/>
      <c r="K72" s="24"/>
      <c r="L72" s="23" t="str">
        <f aca="false">IF(OR(J72="",K72=""),"",J72*K72)</f>
        <v/>
      </c>
      <c r="M72" s="25" t="n">
        <f aca="false">SUM(D72,G72,J72)</f>
        <v>707</v>
      </c>
      <c r="N72" s="26" t="n">
        <f aca="false">IF(M72=0,"",O72/M72)</f>
        <v>201.56</v>
      </c>
      <c r="O72" s="27" t="n">
        <f aca="false">SUM(F72,I72,L72)</f>
        <v>142502.92</v>
      </c>
    </row>
    <row r="73" customFormat="false" ht="23.25" hidden="false" customHeight="true" outlineLevel="0" collapsed="false">
      <c r="A73" s="22" t="s">
        <v>47</v>
      </c>
      <c r="B73" s="21" t="s">
        <v>237</v>
      </c>
      <c r="C73" s="22" t="s">
        <v>238</v>
      </c>
      <c r="D73" s="23" t="n">
        <v>651</v>
      </c>
      <c r="E73" s="24" t="n">
        <v>201.56</v>
      </c>
      <c r="F73" s="23" t="n">
        <f aca="false">IF(OR(D73="",E73=""),"",D73*E73)</f>
        <v>131215.56</v>
      </c>
      <c r="G73" s="23"/>
      <c r="H73" s="24"/>
      <c r="I73" s="23" t="str">
        <f aca="false">IF(OR(G73="",H73=""),"",G73*H73)</f>
        <v/>
      </c>
      <c r="J73" s="23"/>
      <c r="K73" s="24"/>
      <c r="L73" s="23" t="str">
        <f aca="false">IF(OR(J73="",K73=""),"",J73*K73)</f>
        <v/>
      </c>
      <c r="M73" s="25" t="n">
        <f aca="false">SUM(D73,G73,J73)</f>
        <v>651</v>
      </c>
      <c r="N73" s="26" t="n">
        <f aca="false">IF(M73=0,"",O73/M73)</f>
        <v>201.56</v>
      </c>
      <c r="O73" s="27" t="n">
        <f aca="false">SUM(F73,I73,L73)</f>
        <v>131215.56</v>
      </c>
    </row>
    <row r="74" customFormat="false" ht="23.25" hidden="false" customHeight="true" outlineLevel="0" collapsed="false">
      <c r="A74" s="22" t="s">
        <v>47</v>
      </c>
      <c r="B74" s="21" t="s">
        <v>239</v>
      </c>
      <c r="C74" s="22" t="s">
        <v>240</v>
      </c>
      <c r="D74" s="23" t="n">
        <v>82</v>
      </c>
      <c r="E74" s="24" t="n">
        <v>270.81</v>
      </c>
      <c r="F74" s="23" t="n">
        <f aca="false">IF(OR(D74="",E74=""),"",D74*E74)</f>
        <v>22206.42</v>
      </c>
      <c r="G74" s="23"/>
      <c r="H74" s="24"/>
      <c r="I74" s="23" t="str">
        <f aca="false">IF(OR(G74="",H74=""),"",G74*H74)</f>
        <v/>
      </c>
      <c r="J74" s="23" t="n">
        <v>400</v>
      </c>
      <c r="K74" s="24" t="n">
        <v>255.21</v>
      </c>
      <c r="L74" s="23" t="n">
        <f aca="false">IF(OR(J74="",K74=""),"",J74*K74)</f>
        <v>102084</v>
      </c>
      <c r="M74" s="25" t="n">
        <f aca="false">SUM(D74,G74,J74)</f>
        <v>482</v>
      </c>
      <c r="N74" s="26" t="n">
        <f aca="false">IF(M74=0,"",O74/M74)</f>
        <v>257.863941908714</v>
      </c>
      <c r="O74" s="27" t="n">
        <f aca="false">SUM(F74,I74,L74)</f>
        <v>124290.42</v>
      </c>
    </row>
    <row r="75" customFormat="false" ht="23.25" hidden="false" customHeight="true" outlineLevel="0" collapsed="false">
      <c r="A75" s="22" t="s">
        <v>47</v>
      </c>
      <c r="B75" s="21" t="s">
        <v>241</v>
      </c>
      <c r="C75" s="22" t="s">
        <v>242</v>
      </c>
      <c r="D75" s="23" t="n">
        <v>476</v>
      </c>
      <c r="E75" s="24" t="n">
        <v>201.56</v>
      </c>
      <c r="F75" s="23" t="n">
        <f aca="false">IF(OR(D75="",E75=""),"",D75*E75)</f>
        <v>95942.56</v>
      </c>
      <c r="G75" s="23"/>
      <c r="H75" s="24"/>
      <c r="I75" s="23" t="str">
        <f aca="false">IF(OR(G75="",H75=""),"",G75*H75)</f>
        <v/>
      </c>
      <c r="J75" s="23"/>
      <c r="K75" s="24"/>
      <c r="L75" s="23" t="str">
        <f aca="false">IF(OR(J75="",K75=""),"",J75*K75)</f>
        <v/>
      </c>
      <c r="M75" s="25" t="n">
        <f aca="false">SUM(D75,G75,J75)</f>
        <v>476</v>
      </c>
      <c r="N75" s="26" t="n">
        <f aca="false">IF(M75=0,"",O75/M75)</f>
        <v>201.56</v>
      </c>
      <c r="O75" s="27" t="n">
        <f aca="false">SUM(F75,I75,L75)</f>
        <v>95942.56</v>
      </c>
    </row>
    <row r="76" customFormat="false" ht="15" hidden="false" customHeight="true" outlineLevel="0" collapsed="false">
      <c r="A76" s="22" t="s">
        <v>47</v>
      </c>
      <c r="B76" s="21" t="s">
        <v>243</v>
      </c>
      <c r="C76" s="22"/>
      <c r="D76" s="23"/>
      <c r="E76" s="24"/>
      <c r="F76" s="23" t="str">
        <f aca="false">IF(OR(D76="",E76=""),"",D76*E76)</f>
        <v/>
      </c>
      <c r="G76" s="23"/>
      <c r="H76" s="24"/>
      <c r="I76" s="23" t="str">
        <f aca="false">IF(OR(G76="",H76=""),"",G76*H76)</f>
        <v/>
      </c>
      <c r="J76" s="23" t="n">
        <v>400</v>
      </c>
      <c r="K76" s="24" t="n">
        <v>330.43</v>
      </c>
      <c r="L76" s="23" t="n">
        <f aca="false">IF(OR(J76="",K76=""),"",J76*K76)</f>
        <v>132172</v>
      </c>
      <c r="M76" s="25" t="n">
        <f aca="false">SUM(D76,G76,J76)</f>
        <v>400</v>
      </c>
      <c r="N76" s="26" t="n">
        <f aca="false">IF(M76=0,"",O76/M76)</f>
        <v>330.43</v>
      </c>
      <c r="O76" s="27" t="n">
        <f aca="false">SUM(F76,I76,L76)</f>
        <v>132172</v>
      </c>
    </row>
    <row r="77" customFormat="false" ht="23.25" hidden="false" customHeight="true" outlineLevel="0" collapsed="false">
      <c r="A77" s="22" t="s">
        <v>47</v>
      </c>
      <c r="B77" s="21" t="s">
        <v>244</v>
      </c>
      <c r="C77" s="22" t="s">
        <v>245</v>
      </c>
      <c r="D77" s="23" t="n">
        <v>344</v>
      </c>
      <c r="E77" s="24" t="n">
        <v>202.27</v>
      </c>
      <c r="F77" s="23" t="n">
        <f aca="false">IF(OR(D77="",E77=""),"",D77*E77)</f>
        <v>69580.88</v>
      </c>
      <c r="G77" s="23"/>
      <c r="H77" s="24"/>
      <c r="I77" s="23" t="str">
        <f aca="false">IF(OR(G77="",H77=""),"",G77*H77)</f>
        <v/>
      </c>
      <c r="J77" s="23"/>
      <c r="K77" s="24"/>
      <c r="L77" s="23" t="str">
        <f aca="false">IF(OR(J77="",K77=""),"",J77*K77)</f>
        <v/>
      </c>
      <c r="M77" s="25" t="n">
        <f aca="false">SUM(D77,G77,J77)</f>
        <v>344</v>
      </c>
      <c r="N77" s="26" t="n">
        <f aca="false">IF(M77=0,"",O77/M77)</f>
        <v>202.27</v>
      </c>
      <c r="O77" s="27" t="n">
        <f aca="false">SUM(F77,I77,L77)</f>
        <v>69580.88</v>
      </c>
    </row>
    <row r="78" customFormat="false" ht="23.25" hidden="false" customHeight="true" outlineLevel="0" collapsed="false">
      <c r="A78" s="22" t="s">
        <v>47</v>
      </c>
      <c r="B78" s="21" t="s">
        <v>246</v>
      </c>
      <c r="C78" s="22" t="s">
        <v>247</v>
      </c>
      <c r="D78" s="23" t="n">
        <v>233</v>
      </c>
      <c r="E78" s="24" t="n">
        <v>216.45</v>
      </c>
      <c r="F78" s="23" t="n">
        <f aca="false">IF(OR(D78="",E78=""),"",D78*E78)</f>
        <v>50432.85</v>
      </c>
      <c r="G78" s="23"/>
      <c r="H78" s="24"/>
      <c r="I78" s="23" t="str">
        <f aca="false">IF(OR(G78="",H78=""),"",G78*H78)</f>
        <v/>
      </c>
      <c r="J78" s="23"/>
      <c r="K78" s="24"/>
      <c r="L78" s="23" t="str">
        <f aca="false">IF(OR(J78="",K78=""),"",J78*K78)</f>
        <v/>
      </c>
      <c r="M78" s="25" t="n">
        <f aca="false">SUM(D78,G78,J78)</f>
        <v>233</v>
      </c>
      <c r="N78" s="26" t="n">
        <f aca="false">IF(M78=0,"",O78/M78)</f>
        <v>216.45</v>
      </c>
      <c r="O78" s="27" t="n">
        <f aca="false">SUM(F78,I78,L78)</f>
        <v>50432.85</v>
      </c>
    </row>
    <row r="79" customFormat="false" ht="23.25" hidden="false" customHeight="true" outlineLevel="0" collapsed="false">
      <c r="A79" s="22" t="s">
        <v>47</v>
      </c>
      <c r="B79" s="21" t="s">
        <v>248</v>
      </c>
      <c r="C79" s="22" t="s">
        <v>249</v>
      </c>
      <c r="D79" s="23" t="n">
        <v>212</v>
      </c>
      <c r="E79" s="24" t="n">
        <v>242.88</v>
      </c>
      <c r="F79" s="23" t="n">
        <f aca="false">IF(OR(D79="",E79=""),"",D79*E79)</f>
        <v>51490.56</v>
      </c>
      <c r="G79" s="23"/>
      <c r="H79" s="24"/>
      <c r="I79" s="23" t="str">
        <f aca="false">IF(OR(G79="",H79=""),"",G79*H79)</f>
        <v/>
      </c>
      <c r="J79" s="23"/>
      <c r="K79" s="24"/>
      <c r="L79" s="23" t="str">
        <f aca="false">IF(OR(J79="",K79=""),"",J79*K79)</f>
        <v/>
      </c>
      <c r="M79" s="25" t="n">
        <f aca="false">SUM(D79,G79,J79)</f>
        <v>212</v>
      </c>
      <c r="N79" s="26" t="n">
        <f aca="false">IF(M79=0,"",O79/M79)</f>
        <v>242.88</v>
      </c>
      <c r="O79" s="27" t="n">
        <f aca="false">SUM(F79,I79,L79)</f>
        <v>51490.56</v>
      </c>
    </row>
    <row r="80" customFormat="false" ht="15" hidden="false" customHeight="true" outlineLevel="0" collapsed="false">
      <c r="A80" s="22" t="s">
        <v>47</v>
      </c>
      <c r="B80" s="21" t="s">
        <v>250</v>
      </c>
      <c r="C80" s="22"/>
      <c r="D80" s="23"/>
      <c r="E80" s="24"/>
      <c r="F80" s="23" t="str">
        <f aca="false">IF(OR(D80="",E80=""),"",D80*E80)</f>
        <v/>
      </c>
      <c r="G80" s="23"/>
      <c r="H80" s="24"/>
      <c r="I80" s="23" t="str">
        <f aca="false">IF(OR(G80="",H80=""),"",G80*H80)</f>
        <v/>
      </c>
      <c r="J80" s="23" t="n">
        <v>200</v>
      </c>
      <c r="K80" s="24" t="n">
        <v>330.43</v>
      </c>
      <c r="L80" s="23" t="n">
        <f aca="false">IF(OR(J80="",K80=""),"",J80*K80)</f>
        <v>66086</v>
      </c>
      <c r="M80" s="25" t="n">
        <f aca="false">SUM(D80,G80,J80)</f>
        <v>200</v>
      </c>
      <c r="N80" s="26" t="n">
        <f aca="false">IF(M80=0,"",O80/M80)</f>
        <v>330.43</v>
      </c>
      <c r="O80" s="27" t="n">
        <f aca="false">SUM(F80,I80,L80)</f>
        <v>66086</v>
      </c>
    </row>
    <row r="81" customFormat="false" ht="23.25" hidden="false" customHeight="true" outlineLevel="0" collapsed="false">
      <c r="A81" s="22" t="s">
        <v>47</v>
      </c>
      <c r="B81" s="21" t="s">
        <v>251</v>
      </c>
      <c r="C81" s="22" t="s">
        <v>252</v>
      </c>
      <c r="D81" s="23" t="n">
        <v>149</v>
      </c>
      <c r="E81" s="24" t="n">
        <v>304.77</v>
      </c>
      <c r="F81" s="23" t="n">
        <f aca="false">IF(OR(D81="",E81=""),"",D81*E81)</f>
        <v>45410.73</v>
      </c>
      <c r="G81" s="23"/>
      <c r="H81" s="24"/>
      <c r="I81" s="23" t="str">
        <f aca="false">IF(OR(G81="",H81=""),"",G81*H81)</f>
        <v/>
      </c>
      <c r="J81" s="23"/>
      <c r="K81" s="24"/>
      <c r="L81" s="23" t="str">
        <f aca="false">IF(OR(J81="",K81=""),"",J81*K81)</f>
        <v/>
      </c>
      <c r="M81" s="25" t="n">
        <f aca="false">SUM(D81,G81,J81)</f>
        <v>149</v>
      </c>
      <c r="N81" s="26" t="n">
        <f aca="false">IF(M81=0,"",O81/M81)</f>
        <v>304.77</v>
      </c>
      <c r="O81" s="27" t="n">
        <f aca="false">SUM(F81,I81,L81)</f>
        <v>45410.73</v>
      </c>
    </row>
    <row r="82" customFormat="false" ht="23.25" hidden="false" customHeight="true" outlineLevel="0" collapsed="false">
      <c r="A82" s="22" t="s">
        <v>47</v>
      </c>
      <c r="B82" s="21" t="s">
        <v>253</v>
      </c>
      <c r="C82" s="22" t="s">
        <v>254</v>
      </c>
      <c r="D82" s="23" t="n">
        <v>78</v>
      </c>
      <c r="E82" s="24" t="n">
        <v>223.35</v>
      </c>
      <c r="F82" s="23" t="n">
        <f aca="false">IF(OR(D82="",E82=""),"",D82*E82)</f>
        <v>17421.3</v>
      </c>
      <c r="G82" s="23"/>
      <c r="H82" s="24"/>
      <c r="I82" s="23" t="str">
        <f aca="false">IF(OR(G82="",H82=""),"",G82*H82)</f>
        <v/>
      </c>
      <c r="J82" s="23"/>
      <c r="K82" s="24"/>
      <c r="L82" s="23" t="str">
        <f aca="false">IF(OR(J82="",K82=""),"",J82*K82)</f>
        <v/>
      </c>
      <c r="M82" s="25" t="n">
        <f aca="false">SUM(D82,G82,J82)</f>
        <v>78</v>
      </c>
      <c r="N82" s="26" t="n">
        <f aca="false">IF(M82=0,"",O82/M82)</f>
        <v>223.35</v>
      </c>
      <c r="O82" s="27" t="n">
        <f aca="false">SUM(F82,I82,L82)</f>
        <v>17421.3</v>
      </c>
    </row>
    <row r="83" customFormat="false" ht="23.25" hidden="false" customHeight="true" outlineLevel="0" collapsed="false">
      <c r="A83" s="22" t="s">
        <v>47</v>
      </c>
      <c r="B83" s="21" t="s">
        <v>255</v>
      </c>
      <c r="C83" s="22" t="s">
        <v>256</v>
      </c>
      <c r="D83" s="23" t="n">
        <v>59</v>
      </c>
      <c r="E83" s="24" t="n">
        <v>238.13</v>
      </c>
      <c r="F83" s="23" t="n">
        <f aca="false">IF(OR(D83="",E83=""),"",D83*E83)</f>
        <v>14049.67</v>
      </c>
      <c r="G83" s="23"/>
      <c r="H83" s="24"/>
      <c r="I83" s="23" t="str">
        <f aca="false">IF(OR(G83="",H83=""),"",G83*H83)</f>
        <v/>
      </c>
      <c r="J83" s="23"/>
      <c r="K83" s="24"/>
      <c r="L83" s="23" t="str">
        <f aca="false">IF(OR(J83="",K83=""),"",J83*K83)</f>
        <v/>
      </c>
      <c r="M83" s="25" t="n">
        <f aca="false">SUM(D83,G83,J83)</f>
        <v>59</v>
      </c>
      <c r="N83" s="26" t="n">
        <f aca="false">IF(M83=0,"",O83/M83)</f>
        <v>238.13</v>
      </c>
      <c r="O83" s="27" t="n">
        <f aca="false">SUM(F83,I83,L83)</f>
        <v>14049.67</v>
      </c>
    </row>
    <row r="84" customFormat="false" ht="23.25" hidden="false" customHeight="true" outlineLevel="0" collapsed="false">
      <c r="A84" s="22" t="s">
        <v>47</v>
      </c>
      <c r="B84" s="21" t="s">
        <v>257</v>
      </c>
      <c r="C84" s="22" t="s">
        <v>258</v>
      </c>
      <c r="D84" s="23" t="n">
        <v>27</v>
      </c>
      <c r="E84" s="24" t="n">
        <v>335.9</v>
      </c>
      <c r="F84" s="23" t="n">
        <f aca="false">IF(OR(D84="",E84=""),"",D84*E84)</f>
        <v>9069.3</v>
      </c>
      <c r="G84" s="23"/>
      <c r="H84" s="24"/>
      <c r="I84" s="23" t="str">
        <f aca="false">IF(OR(G84="",H84=""),"",G84*H84)</f>
        <v/>
      </c>
      <c r="J84" s="23"/>
      <c r="K84" s="24"/>
      <c r="L84" s="23" t="str">
        <f aca="false">IF(OR(J84="",K84=""),"",J84*K84)</f>
        <v/>
      </c>
      <c r="M84" s="25" t="n">
        <f aca="false">SUM(D84,G84,J84)</f>
        <v>27</v>
      </c>
      <c r="N84" s="26" t="n">
        <f aca="false">IF(M84=0,"",O84/M84)</f>
        <v>335.9</v>
      </c>
      <c r="O84" s="27" t="n">
        <f aca="false">SUM(F84,I84,L84)</f>
        <v>9069.3</v>
      </c>
    </row>
    <row r="85" customFormat="false" ht="15" hidden="false" customHeight="true" outlineLevel="0" collapsed="false">
      <c r="A85" s="35"/>
      <c r="B85" s="35" t="s">
        <v>331</v>
      </c>
      <c r="C85" s="35"/>
      <c r="D85" s="36" t="n">
        <f aca="false">SUM(D68:D84)</f>
        <v>11168</v>
      </c>
      <c r="E85" s="37"/>
      <c r="F85" s="36" t="n">
        <f aca="false">SUM(F68:F84)</f>
        <v>1974995.7</v>
      </c>
      <c r="G85" s="36" t="n">
        <f aca="false">SUM(G68:G84)</f>
        <v>0</v>
      </c>
      <c r="H85" s="37"/>
      <c r="I85" s="36" t="n">
        <f aca="false">SUM(I68:I84)</f>
        <v>0</v>
      </c>
      <c r="J85" s="36" t="n">
        <f aca="false">SUM(J68:J84)</f>
        <v>2700</v>
      </c>
      <c r="K85" s="37"/>
      <c r="L85" s="36" t="n">
        <f aca="false">SUM(L68:L84)</f>
        <v>804573</v>
      </c>
      <c r="M85" s="36" t="n">
        <f aca="false">SUM(M68:M84)</f>
        <v>13868</v>
      </c>
      <c r="N85" s="38" t="n">
        <f aca="false">IF(M85=0,"",O85/M85)</f>
        <v>200.430393712143</v>
      </c>
      <c r="O85" s="36" t="n">
        <f aca="false">SUM(O68:O84)</f>
        <v>2779568.7</v>
      </c>
    </row>
    <row r="87" customFormat="false" ht="23.25" hidden="false" customHeight="true" outlineLevel="0" collapsed="false">
      <c r="A87" s="22" t="s">
        <v>44</v>
      </c>
      <c r="B87" s="21" t="s">
        <v>222</v>
      </c>
      <c r="C87" s="22" t="s">
        <v>223</v>
      </c>
      <c r="D87" s="23" t="n">
        <v>7279</v>
      </c>
      <c r="E87" s="24" t="n">
        <v>397.13</v>
      </c>
      <c r="F87" s="23" t="n">
        <f aca="false">IF(OR(D87="",E87=""),"",D87*E87)</f>
        <v>2890709.27</v>
      </c>
      <c r="G87" s="23"/>
      <c r="H87" s="24"/>
      <c r="I87" s="23" t="str">
        <f aca="false">IF(OR(G87="",H87=""),"",G87*H87)</f>
        <v/>
      </c>
      <c r="J87" s="23"/>
      <c r="K87" s="24"/>
      <c r="L87" s="23" t="str">
        <f aca="false">IF(OR(J87="",K87=""),"",J87*K87)</f>
        <v/>
      </c>
      <c r="M87" s="25" t="n">
        <f aca="false">SUM(D87,G87,J87)</f>
        <v>7279</v>
      </c>
      <c r="N87" s="26" t="n">
        <f aca="false">IF(M87=0,"",O87/M87)</f>
        <v>397.13</v>
      </c>
      <c r="O87" s="27" t="n">
        <f aca="false">SUM(F87,I87,L87)</f>
        <v>2890709.27</v>
      </c>
    </row>
    <row r="88" customFormat="false" ht="23.25" hidden="false" customHeight="true" outlineLevel="0" collapsed="false">
      <c r="A88" s="22" t="s">
        <v>44</v>
      </c>
      <c r="B88" s="21" t="s">
        <v>224</v>
      </c>
      <c r="C88" s="22" t="s">
        <v>225</v>
      </c>
      <c r="D88" s="23" t="n">
        <v>178</v>
      </c>
      <c r="E88" s="24" t="n">
        <v>292.89</v>
      </c>
      <c r="F88" s="23" t="n">
        <f aca="false">IF(OR(D88="",E88=""),"",D88*E88)</f>
        <v>52134.42</v>
      </c>
      <c r="G88" s="23"/>
      <c r="H88" s="24"/>
      <c r="I88" s="23" t="str">
        <f aca="false">IF(OR(G88="",H88=""),"",G88*H88)</f>
        <v/>
      </c>
      <c r="J88" s="23"/>
      <c r="K88" s="24"/>
      <c r="L88" s="23" t="str">
        <f aca="false">IF(OR(J88="",K88=""),"",J88*K88)</f>
        <v/>
      </c>
      <c r="M88" s="25" t="n">
        <f aca="false">SUM(D88,G88,J88)</f>
        <v>178</v>
      </c>
      <c r="N88" s="26" t="n">
        <f aca="false">IF(M88=0,"",O88/M88)</f>
        <v>292.89</v>
      </c>
      <c r="O88" s="27" t="n">
        <f aca="false">SUM(F88,I88,L88)</f>
        <v>52134.42</v>
      </c>
    </row>
    <row r="89" customFormat="false" ht="23.25" hidden="false" customHeight="true" outlineLevel="0" collapsed="false">
      <c r="A89" s="22" t="s">
        <v>44</v>
      </c>
      <c r="B89" s="21" t="s">
        <v>226</v>
      </c>
      <c r="C89" s="22" t="s">
        <v>227</v>
      </c>
      <c r="D89" s="23" t="n">
        <v>18</v>
      </c>
      <c r="E89" s="24" t="n">
        <v>389.99</v>
      </c>
      <c r="F89" s="23" t="n">
        <f aca="false">IF(OR(D89="",E89=""),"",D89*E89)</f>
        <v>7019.82</v>
      </c>
      <c r="G89" s="23"/>
      <c r="H89" s="24"/>
      <c r="I89" s="23" t="str">
        <f aca="false">IF(OR(G89="",H89=""),"",G89*H89)</f>
        <v/>
      </c>
      <c r="J89" s="23"/>
      <c r="K89" s="24"/>
      <c r="L89" s="23" t="str">
        <f aca="false">IF(OR(J89="",K89=""),"",J89*K89)</f>
        <v/>
      </c>
      <c r="M89" s="25" t="n">
        <f aca="false">SUM(D89,G89,J89)</f>
        <v>18</v>
      </c>
      <c r="N89" s="26" t="n">
        <f aca="false">IF(M89=0,"",O89/M89)</f>
        <v>389.99</v>
      </c>
      <c r="O89" s="27" t="n">
        <f aca="false">SUM(F89,I89,L89)</f>
        <v>7019.82</v>
      </c>
    </row>
    <row r="90" customFormat="false" ht="15" hidden="false" customHeight="true" outlineLevel="0" collapsed="false">
      <c r="A90" s="35"/>
      <c r="B90" s="35" t="s">
        <v>332</v>
      </c>
      <c r="C90" s="35"/>
      <c r="D90" s="36" t="n">
        <f aca="false">SUM(D87:D89)</f>
        <v>7475</v>
      </c>
      <c r="E90" s="37"/>
      <c r="F90" s="36" t="n">
        <f aca="false">SUM(F87:F89)</f>
        <v>2949863.51</v>
      </c>
      <c r="G90" s="36" t="n">
        <f aca="false">SUM(G87:G89)</f>
        <v>0</v>
      </c>
      <c r="H90" s="37"/>
      <c r="I90" s="36" t="n">
        <f aca="false">SUM(I87:I89)</f>
        <v>0</v>
      </c>
      <c r="J90" s="36" t="n">
        <f aca="false">SUM(J87:J89)</f>
        <v>0</v>
      </c>
      <c r="K90" s="37"/>
      <c r="L90" s="36" t="n">
        <f aca="false">SUM(L87:L89)</f>
        <v>0</v>
      </c>
      <c r="M90" s="36" t="n">
        <f aca="false">SUM(M87:M89)</f>
        <v>7475</v>
      </c>
      <c r="N90" s="38" t="n">
        <f aca="false">IF(M90=0,"",O90/M90)</f>
        <v>394.630569899666</v>
      </c>
      <c r="O90" s="36" t="n">
        <f aca="false">SUM(O87:O89)</f>
        <v>2949863.51</v>
      </c>
    </row>
    <row r="92" customFormat="false" ht="15" hidden="false" customHeight="true" outlineLevel="0" collapsed="false">
      <c r="A92" s="22" t="s">
        <v>46</v>
      </c>
      <c r="B92" s="21" t="s">
        <v>311</v>
      </c>
      <c r="C92" s="22"/>
      <c r="D92" s="23"/>
      <c r="E92" s="24"/>
      <c r="F92" s="23" t="str">
        <f aca="false">IF(OR(D92="",E92=""),"",D92*E92)</f>
        <v/>
      </c>
      <c r="G92" s="23" t="n">
        <v>1530</v>
      </c>
      <c r="H92" s="24" t="n">
        <v>527.9</v>
      </c>
      <c r="I92" s="23" t="n">
        <f aca="false">IF(OR(G92="",H92=""),"",G92*H92)</f>
        <v>807687</v>
      </c>
      <c r="J92" s="23"/>
      <c r="K92" s="24"/>
      <c r="L92" s="23" t="str">
        <f aca="false">IF(OR(J92="",K92=""),"",J92*K92)</f>
        <v/>
      </c>
      <c r="M92" s="25" t="n">
        <f aca="false">SUM(D92,G92,J92)</f>
        <v>1530</v>
      </c>
      <c r="N92" s="26" t="n">
        <f aca="false">IF(M92=0,"",O92/M92)</f>
        <v>527.9</v>
      </c>
      <c r="O92" s="27" t="n">
        <f aca="false">SUM(F92,I92,L92)</f>
        <v>807687</v>
      </c>
    </row>
    <row r="93" customFormat="false" ht="15" hidden="false" customHeight="true" outlineLevel="0" collapsed="false">
      <c r="A93" s="22" t="s">
        <v>46</v>
      </c>
      <c r="B93" s="21" t="s">
        <v>314</v>
      </c>
      <c r="C93" s="22"/>
      <c r="D93" s="23"/>
      <c r="E93" s="24"/>
      <c r="F93" s="23" t="str">
        <f aca="false">IF(OR(D93="",E93=""),"",D93*E93)</f>
        <v/>
      </c>
      <c r="G93" s="23" t="n">
        <v>1344</v>
      </c>
      <c r="H93" s="24" t="n">
        <v>338.19</v>
      </c>
      <c r="I93" s="23" t="n">
        <f aca="false">IF(OR(G93="",H93=""),"",G93*H93)</f>
        <v>454527.36</v>
      </c>
      <c r="J93" s="23"/>
      <c r="K93" s="24"/>
      <c r="L93" s="23" t="str">
        <f aca="false">IF(OR(J93="",K93=""),"",J93*K93)</f>
        <v/>
      </c>
      <c r="M93" s="25" t="n">
        <f aca="false">SUM(D93,G93,J93)</f>
        <v>1344</v>
      </c>
      <c r="N93" s="26" t="n">
        <f aca="false">IF(M93=0,"",O93/M93)</f>
        <v>338.19</v>
      </c>
      <c r="O93" s="27" t="n">
        <f aca="false">SUM(F93,I93,L93)</f>
        <v>454527.36</v>
      </c>
    </row>
    <row r="94" customFormat="false" ht="15" hidden="false" customHeight="true" outlineLevel="0" collapsed="false">
      <c r="A94" s="22" t="s">
        <v>46</v>
      </c>
      <c r="B94" s="21" t="s">
        <v>313</v>
      </c>
      <c r="C94" s="22"/>
      <c r="D94" s="23"/>
      <c r="E94" s="24"/>
      <c r="F94" s="23" t="str">
        <f aca="false">IF(OR(D94="",E94=""),"",D94*E94)</f>
        <v/>
      </c>
      <c r="G94" s="23" t="n">
        <v>1248</v>
      </c>
      <c r="H94" s="24" t="n">
        <v>379.43</v>
      </c>
      <c r="I94" s="23" t="n">
        <f aca="false">IF(OR(G94="",H94=""),"",G94*H94)</f>
        <v>473528.64</v>
      </c>
      <c r="J94" s="23"/>
      <c r="K94" s="24"/>
      <c r="L94" s="23" t="str">
        <f aca="false">IF(OR(J94="",K94=""),"",J94*K94)</f>
        <v/>
      </c>
      <c r="M94" s="25" t="n">
        <f aca="false">SUM(D94,G94,J94)</f>
        <v>1248</v>
      </c>
      <c r="N94" s="26" t="n">
        <f aca="false">IF(M94=0,"",O94/M94)</f>
        <v>379.43</v>
      </c>
      <c r="O94" s="27" t="n">
        <f aca="false">SUM(F94,I94,L94)</f>
        <v>473528.64</v>
      </c>
    </row>
    <row r="95" customFormat="false" ht="15" hidden="false" customHeight="true" outlineLevel="0" collapsed="false">
      <c r="A95" s="22" t="s">
        <v>46</v>
      </c>
      <c r="B95" s="21" t="s">
        <v>312</v>
      </c>
      <c r="C95" s="22"/>
      <c r="D95" s="23"/>
      <c r="E95" s="24"/>
      <c r="F95" s="23" t="str">
        <f aca="false">IF(OR(D95="",E95=""),"",D95*E95)</f>
        <v/>
      </c>
      <c r="G95" s="23" t="n">
        <v>1053</v>
      </c>
      <c r="H95" s="24" t="n">
        <v>470.16</v>
      </c>
      <c r="I95" s="23" t="n">
        <f aca="false">IF(OR(G95="",H95=""),"",G95*H95)</f>
        <v>495078.48</v>
      </c>
      <c r="J95" s="23"/>
      <c r="K95" s="24"/>
      <c r="L95" s="23" t="str">
        <f aca="false">IF(OR(J95="",K95=""),"",J95*K95)</f>
        <v/>
      </c>
      <c r="M95" s="25" t="n">
        <f aca="false">SUM(D95,G95,J95)</f>
        <v>1053</v>
      </c>
      <c r="N95" s="26" t="n">
        <f aca="false">IF(M95=0,"",O95/M95)</f>
        <v>470.16</v>
      </c>
      <c r="O95" s="27" t="n">
        <f aca="false">SUM(F95,I95,L95)</f>
        <v>495078.48</v>
      </c>
    </row>
    <row r="96" customFormat="false" ht="15" hidden="false" customHeight="true" outlineLevel="0" collapsed="false">
      <c r="A96" s="22" t="s">
        <v>46</v>
      </c>
      <c r="B96" s="21" t="s">
        <v>321</v>
      </c>
      <c r="C96" s="22"/>
      <c r="D96" s="23"/>
      <c r="E96" s="24"/>
      <c r="F96" s="23" t="str">
        <f aca="false">IF(OR(D96="",E96=""),"",D96*E96)</f>
        <v/>
      </c>
      <c r="G96" s="23" t="n">
        <v>1020</v>
      </c>
      <c r="H96" s="24" t="n">
        <v>226.83</v>
      </c>
      <c r="I96" s="23" t="n">
        <f aca="false">IF(OR(G96="",H96=""),"",G96*H96)</f>
        <v>231366.6</v>
      </c>
      <c r="J96" s="23"/>
      <c r="K96" s="24"/>
      <c r="L96" s="23" t="str">
        <f aca="false">IF(OR(J96="",K96=""),"",J96*K96)</f>
        <v/>
      </c>
      <c r="M96" s="25" t="n">
        <f aca="false">SUM(D96,G96,J96)</f>
        <v>1020</v>
      </c>
      <c r="N96" s="26" t="n">
        <f aca="false">IF(M96=0,"",O96/M96)</f>
        <v>226.83</v>
      </c>
      <c r="O96" s="27" t="n">
        <f aca="false">SUM(F96,I96,L96)</f>
        <v>231366.6</v>
      </c>
    </row>
    <row r="97" customFormat="false" ht="15" hidden="false" customHeight="true" outlineLevel="0" collapsed="false">
      <c r="A97" s="22" t="s">
        <v>46</v>
      </c>
      <c r="B97" s="21" t="s">
        <v>323</v>
      </c>
      <c r="C97" s="22"/>
      <c r="D97" s="23"/>
      <c r="E97" s="24"/>
      <c r="F97" s="23" t="str">
        <f aca="false">IF(OR(D97="",E97=""),"",D97*E97)</f>
        <v/>
      </c>
      <c r="G97" s="23" t="n">
        <v>480</v>
      </c>
      <c r="H97" s="24" t="n">
        <v>391.8</v>
      </c>
      <c r="I97" s="23" t="n">
        <f aca="false">IF(OR(G97="",H97=""),"",G97*H97)</f>
        <v>188064</v>
      </c>
      <c r="J97" s="23"/>
      <c r="K97" s="24"/>
      <c r="L97" s="23" t="str">
        <f aca="false">IF(OR(J97="",K97=""),"",J97*K97)</f>
        <v/>
      </c>
      <c r="M97" s="25" t="n">
        <f aca="false">SUM(D97,G97,J97)</f>
        <v>480</v>
      </c>
      <c r="N97" s="26" t="n">
        <f aca="false">IF(M97=0,"",O97/M97)</f>
        <v>391.8</v>
      </c>
      <c r="O97" s="27" t="n">
        <f aca="false">SUM(F97,I97,L97)</f>
        <v>188064</v>
      </c>
    </row>
    <row r="98" customFormat="false" ht="15" hidden="false" customHeight="true" outlineLevel="0" collapsed="false">
      <c r="A98" s="22" t="s">
        <v>46</v>
      </c>
      <c r="B98" s="21" t="s">
        <v>320</v>
      </c>
      <c r="C98" s="22"/>
      <c r="D98" s="23"/>
      <c r="E98" s="24"/>
      <c r="F98" s="23" t="str">
        <f aca="false">IF(OR(D98="",E98=""),"",D98*E98)</f>
        <v/>
      </c>
      <c r="G98" s="23" t="n">
        <v>420</v>
      </c>
      <c r="H98" s="24" t="n">
        <v>618.64</v>
      </c>
      <c r="I98" s="23" t="n">
        <f aca="false">IF(OR(G98="",H98=""),"",G98*H98)</f>
        <v>259828.8</v>
      </c>
      <c r="J98" s="23"/>
      <c r="K98" s="24"/>
      <c r="L98" s="23" t="str">
        <f aca="false">IF(OR(J98="",K98=""),"",J98*K98)</f>
        <v/>
      </c>
      <c r="M98" s="25" t="n">
        <f aca="false">SUM(D98,G98,J98)</f>
        <v>420</v>
      </c>
      <c r="N98" s="26" t="n">
        <f aca="false">IF(M98=0,"",O98/M98)</f>
        <v>618.64</v>
      </c>
      <c r="O98" s="27" t="n">
        <f aca="false">SUM(F98,I98,L98)</f>
        <v>259828.8</v>
      </c>
    </row>
    <row r="99" customFormat="false" ht="15" hidden="false" customHeight="true" outlineLevel="0" collapsed="false">
      <c r="A99" s="35"/>
      <c r="B99" s="35" t="s">
        <v>333</v>
      </c>
      <c r="C99" s="35"/>
      <c r="D99" s="36" t="n">
        <f aca="false">SUM(D92:D98)</f>
        <v>0</v>
      </c>
      <c r="E99" s="37"/>
      <c r="F99" s="36" t="n">
        <f aca="false">SUM(F92:F98)</f>
        <v>0</v>
      </c>
      <c r="G99" s="36" t="n">
        <f aca="false">SUM(G92:G98)</f>
        <v>7095</v>
      </c>
      <c r="H99" s="37"/>
      <c r="I99" s="36" t="n">
        <f aca="false">SUM(I92:I98)</f>
        <v>2910080.88</v>
      </c>
      <c r="J99" s="36" t="n">
        <f aca="false">SUM(J92:J98)</f>
        <v>0</v>
      </c>
      <c r="K99" s="37"/>
      <c r="L99" s="36" t="n">
        <f aca="false">SUM(L92:L98)</f>
        <v>0</v>
      </c>
      <c r="M99" s="36" t="n">
        <f aca="false">SUM(M92:M98)</f>
        <v>7095</v>
      </c>
      <c r="N99" s="38" t="n">
        <f aca="false">IF(M99=0,"",O99/M99)</f>
        <v>410.159391120507</v>
      </c>
      <c r="O99" s="36" t="n">
        <f aca="false">SUM(O92:O98)</f>
        <v>2910080.88</v>
      </c>
    </row>
    <row r="101" customFormat="false" ht="23.25" hidden="false" customHeight="true" outlineLevel="0" collapsed="false">
      <c r="A101" s="22" t="s">
        <v>42</v>
      </c>
      <c r="B101" s="21" t="s">
        <v>190</v>
      </c>
      <c r="C101" s="22" t="s">
        <v>191</v>
      </c>
      <c r="D101" s="23" t="n">
        <v>741</v>
      </c>
      <c r="E101" s="24" t="n">
        <v>535.05</v>
      </c>
      <c r="F101" s="23" t="n">
        <f aca="false">IF(OR(D101="",E101=""),"",D101*E101)</f>
        <v>396472.05</v>
      </c>
      <c r="G101" s="23"/>
      <c r="H101" s="24"/>
      <c r="I101" s="23" t="str">
        <f aca="false">IF(OR(G101="",H101=""),"",G101*H101)</f>
        <v/>
      </c>
      <c r="J101" s="23"/>
      <c r="K101" s="24"/>
      <c r="L101" s="23" t="str">
        <f aca="false">IF(OR(J101="",K101=""),"",J101*K101)</f>
        <v/>
      </c>
      <c r="M101" s="25" t="n">
        <f aca="false">SUM(D101,G101,J101)</f>
        <v>741</v>
      </c>
      <c r="N101" s="26" t="n">
        <f aca="false">IF(M101=0,"",O101/M101)</f>
        <v>535.05</v>
      </c>
      <c r="O101" s="27" t="n">
        <f aca="false">SUM(F101,I101,L101)</f>
        <v>396472.05</v>
      </c>
    </row>
    <row r="102" customFormat="false" ht="23.25" hidden="false" customHeight="true" outlineLevel="0" collapsed="false">
      <c r="A102" s="22" t="s">
        <v>42</v>
      </c>
      <c r="B102" s="21" t="s">
        <v>192</v>
      </c>
      <c r="C102" s="22" t="s">
        <v>193</v>
      </c>
      <c r="D102" s="23" t="n">
        <v>641</v>
      </c>
      <c r="E102" s="24" t="n">
        <v>423.56</v>
      </c>
      <c r="F102" s="23" t="n">
        <f aca="false">IF(OR(D102="",E102=""),"",D102*E102)</f>
        <v>271501.96</v>
      </c>
      <c r="G102" s="23"/>
      <c r="H102" s="24"/>
      <c r="I102" s="23" t="str">
        <f aca="false">IF(OR(G102="",H102=""),"",G102*H102)</f>
        <v/>
      </c>
      <c r="J102" s="23"/>
      <c r="K102" s="24"/>
      <c r="L102" s="23" t="str">
        <f aca="false">IF(OR(J102="",K102=""),"",J102*K102)</f>
        <v/>
      </c>
      <c r="M102" s="25" t="n">
        <f aca="false">SUM(D102,G102,J102)</f>
        <v>641</v>
      </c>
      <c r="N102" s="26" t="n">
        <f aca="false">IF(M102=0,"",O102/M102)</f>
        <v>423.56</v>
      </c>
      <c r="O102" s="27" t="n">
        <f aca="false">SUM(F102,I102,L102)</f>
        <v>271501.96</v>
      </c>
    </row>
    <row r="103" customFormat="false" ht="23.25" hidden="false" customHeight="true" outlineLevel="0" collapsed="false">
      <c r="A103" s="22" t="s">
        <v>42</v>
      </c>
      <c r="B103" s="21" t="s">
        <v>194</v>
      </c>
      <c r="C103" s="22" t="s">
        <v>195</v>
      </c>
      <c r="D103" s="23" t="n">
        <v>608</v>
      </c>
      <c r="E103" s="24" t="n">
        <v>457.01</v>
      </c>
      <c r="F103" s="23" t="n">
        <f aca="false">IF(OR(D103="",E103=""),"",D103*E103)</f>
        <v>277862.08</v>
      </c>
      <c r="G103" s="23"/>
      <c r="H103" s="24"/>
      <c r="I103" s="23" t="str">
        <f aca="false">IF(OR(G103="",H103=""),"",G103*H103)</f>
        <v/>
      </c>
      <c r="J103" s="23"/>
      <c r="K103" s="24"/>
      <c r="L103" s="23" t="str">
        <f aca="false">IF(OR(J103="",K103=""),"",J103*K103)</f>
        <v/>
      </c>
      <c r="M103" s="25" t="n">
        <f aca="false">SUM(D103,G103,J103)</f>
        <v>608</v>
      </c>
      <c r="N103" s="26" t="n">
        <f aca="false">IF(M103=0,"",O103/M103)</f>
        <v>457.01</v>
      </c>
      <c r="O103" s="27" t="n">
        <f aca="false">SUM(F103,I103,L103)</f>
        <v>277862.08</v>
      </c>
    </row>
    <row r="104" customFormat="false" ht="23.25" hidden="false" customHeight="true" outlineLevel="0" collapsed="false">
      <c r="A104" s="22" t="s">
        <v>42</v>
      </c>
      <c r="B104" s="21" t="s">
        <v>196</v>
      </c>
      <c r="C104" s="22" t="s">
        <v>197</v>
      </c>
      <c r="D104" s="23" t="n">
        <v>549</v>
      </c>
      <c r="E104" s="24" t="n">
        <v>426.44</v>
      </c>
      <c r="F104" s="23" t="n">
        <f aca="false">IF(OR(D104="",E104=""),"",D104*E104)</f>
        <v>234115.56</v>
      </c>
      <c r="G104" s="23"/>
      <c r="H104" s="24"/>
      <c r="I104" s="23" t="str">
        <f aca="false">IF(OR(G104="",H104=""),"",G104*H104)</f>
        <v/>
      </c>
      <c r="J104" s="23"/>
      <c r="K104" s="24"/>
      <c r="L104" s="23" t="str">
        <f aca="false">IF(OR(J104="",K104=""),"",J104*K104)</f>
        <v/>
      </c>
      <c r="M104" s="25" t="n">
        <f aca="false">SUM(D104,G104,J104)</f>
        <v>549</v>
      </c>
      <c r="N104" s="26" t="n">
        <f aca="false">IF(M104=0,"",O104/M104)</f>
        <v>426.44</v>
      </c>
      <c r="O104" s="27" t="n">
        <f aca="false">SUM(F104,I104,L104)</f>
        <v>234115.56</v>
      </c>
    </row>
    <row r="105" customFormat="false" ht="23.25" hidden="false" customHeight="true" outlineLevel="0" collapsed="false">
      <c r="A105" s="22" t="s">
        <v>42</v>
      </c>
      <c r="B105" s="21" t="s">
        <v>198</v>
      </c>
      <c r="C105" s="22" t="s">
        <v>199</v>
      </c>
      <c r="D105" s="23" t="n">
        <v>529</v>
      </c>
      <c r="E105" s="24" t="n">
        <v>557.88</v>
      </c>
      <c r="F105" s="23" t="n">
        <f aca="false">IF(OR(D105="",E105=""),"",D105*E105)</f>
        <v>295118.52</v>
      </c>
      <c r="G105" s="23"/>
      <c r="H105" s="24"/>
      <c r="I105" s="23" t="str">
        <f aca="false">IF(OR(G105="",H105=""),"",G105*H105)</f>
        <v/>
      </c>
      <c r="J105" s="23"/>
      <c r="K105" s="24"/>
      <c r="L105" s="23" t="str">
        <f aca="false">IF(OR(J105="",K105=""),"",J105*K105)</f>
        <v/>
      </c>
      <c r="M105" s="25" t="n">
        <f aca="false">SUM(D105,G105,J105)</f>
        <v>529</v>
      </c>
      <c r="N105" s="26" t="n">
        <f aca="false">IF(M105=0,"",O105/M105)</f>
        <v>557.88</v>
      </c>
      <c r="O105" s="27" t="n">
        <f aca="false">SUM(F105,I105,L105)</f>
        <v>295118.52</v>
      </c>
    </row>
    <row r="106" customFormat="false" ht="23.25" hidden="false" customHeight="true" outlineLevel="0" collapsed="false">
      <c r="A106" s="22" t="s">
        <v>42</v>
      </c>
      <c r="B106" s="21" t="s">
        <v>200</v>
      </c>
      <c r="C106" s="22" t="s">
        <v>201</v>
      </c>
      <c r="D106" s="23" t="n">
        <v>501</v>
      </c>
      <c r="E106" s="24" t="n">
        <v>457.01</v>
      </c>
      <c r="F106" s="23" t="n">
        <f aca="false">IF(OR(D106="",E106=""),"",D106*E106)</f>
        <v>228962.01</v>
      </c>
      <c r="G106" s="23"/>
      <c r="H106" s="24"/>
      <c r="I106" s="23" t="str">
        <f aca="false">IF(OR(G106="",H106=""),"",G106*H106)</f>
        <v/>
      </c>
      <c r="J106" s="23"/>
      <c r="K106" s="24"/>
      <c r="L106" s="23" t="str">
        <f aca="false">IF(OR(J106="",K106=""),"",J106*K106)</f>
        <v/>
      </c>
      <c r="M106" s="25" t="n">
        <f aca="false">SUM(D106,G106,J106)</f>
        <v>501</v>
      </c>
      <c r="N106" s="26" t="n">
        <f aca="false">IF(M106=0,"",O106/M106)</f>
        <v>457.01</v>
      </c>
      <c r="O106" s="27" t="n">
        <f aca="false">SUM(F106,I106,L106)</f>
        <v>228962.01</v>
      </c>
    </row>
    <row r="107" customFormat="false" ht="23.25" hidden="false" customHeight="true" outlineLevel="0" collapsed="false">
      <c r="A107" s="22" t="s">
        <v>42</v>
      </c>
      <c r="B107" s="21" t="s">
        <v>202</v>
      </c>
      <c r="C107" s="22" t="s">
        <v>203</v>
      </c>
      <c r="D107" s="23" t="n">
        <v>406</v>
      </c>
      <c r="E107" s="24" t="n">
        <v>535.36</v>
      </c>
      <c r="F107" s="23" t="n">
        <f aca="false">IF(OR(D107="",E107=""),"",D107*E107)</f>
        <v>217356.16</v>
      </c>
      <c r="G107" s="23"/>
      <c r="H107" s="24"/>
      <c r="I107" s="23" t="str">
        <f aca="false">IF(OR(G107="",H107=""),"",G107*H107)</f>
        <v/>
      </c>
      <c r="J107" s="23"/>
      <c r="K107" s="24"/>
      <c r="L107" s="23" t="str">
        <f aca="false">IF(OR(J107="",K107=""),"",J107*K107)</f>
        <v/>
      </c>
      <c r="M107" s="25" t="n">
        <f aca="false">SUM(D107,G107,J107)</f>
        <v>406</v>
      </c>
      <c r="N107" s="26" t="n">
        <f aca="false">IF(M107=0,"",O107/M107)</f>
        <v>535.36</v>
      </c>
      <c r="O107" s="27" t="n">
        <f aca="false">SUM(F107,I107,L107)</f>
        <v>217356.16</v>
      </c>
    </row>
    <row r="108" customFormat="false" ht="23.25" hidden="false" customHeight="true" outlineLevel="0" collapsed="false">
      <c r="A108" s="22" t="s">
        <v>42</v>
      </c>
      <c r="B108" s="21" t="s">
        <v>204</v>
      </c>
      <c r="C108" s="22" t="s">
        <v>205</v>
      </c>
      <c r="D108" s="23" t="n">
        <v>405</v>
      </c>
      <c r="E108" s="24" t="n">
        <v>457.01</v>
      </c>
      <c r="F108" s="23" t="n">
        <f aca="false">IF(OR(D108="",E108=""),"",D108*E108)</f>
        <v>185089.05</v>
      </c>
      <c r="G108" s="23"/>
      <c r="H108" s="24"/>
      <c r="I108" s="23" t="str">
        <f aca="false">IF(OR(G108="",H108=""),"",G108*H108)</f>
        <v/>
      </c>
      <c r="J108" s="23"/>
      <c r="K108" s="24"/>
      <c r="L108" s="23" t="str">
        <f aca="false">IF(OR(J108="",K108=""),"",J108*K108)</f>
        <v/>
      </c>
      <c r="M108" s="25" t="n">
        <f aca="false">SUM(D108,G108,J108)</f>
        <v>405</v>
      </c>
      <c r="N108" s="26" t="n">
        <f aca="false">IF(M108=0,"",O108/M108)</f>
        <v>457.01</v>
      </c>
      <c r="O108" s="27" t="n">
        <f aca="false">SUM(F108,I108,L108)</f>
        <v>185089.05</v>
      </c>
    </row>
    <row r="109" customFormat="false" ht="23.25" hidden="false" customHeight="true" outlineLevel="0" collapsed="false">
      <c r="A109" s="22" t="s">
        <v>42</v>
      </c>
      <c r="B109" s="21" t="s">
        <v>206</v>
      </c>
      <c r="C109" s="22" t="s">
        <v>207</v>
      </c>
      <c r="D109" s="23" t="n">
        <v>399</v>
      </c>
      <c r="E109" s="24" t="n">
        <v>546.55</v>
      </c>
      <c r="F109" s="23" t="n">
        <f aca="false">IF(OR(D109="",E109=""),"",D109*E109)</f>
        <v>218073.45</v>
      </c>
      <c r="G109" s="23"/>
      <c r="H109" s="24"/>
      <c r="I109" s="23" t="str">
        <f aca="false">IF(OR(G109="",H109=""),"",G109*H109)</f>
        <v/>
      </c>
      <c r="J109" s="23"/>
      <c r="K109" s="24"/>
      <c r="L109" s="23" t="str">
        <f aca="false">IF(OR(J109="",K109=""),"",J109*K109)</f>
        <v/>
      </c>
      <c r="M109" s="25" t="n">
        <f aca="false">SUM(D109,G109,J109)</f>
        <v>399</v>
      </c>
      <c r="N109" s="26" t="n">
        <f aca="false">IF(M109=0,"",O109/M109)</f>
        <v>546.55</v>
      </c>
      <c r="O109" s="27" t="n">
        <f aca="false">SUM(F109,I109,L109)</f>
        <v>218073.45</v>
      </c>
    </row>
    <row r="110" customFormat="false" ht="23.25" hidden="false" customHeight="true" outlineLevel="0" collapsed="false">
      <c r="A110" s="22" t="s">
        <v>42</v>
      </c>
      <c r="B110" s="21" t="s">
        <v>208</v>
      </c>
      <c r="C110" s="22" t="s">
        <v>209</v>
      </c>
      <c r="D110" s="23" t="n">
        <v>327</v>
      </c>
      <c r="E110" s="24" t="n">
        <v>548.39</v>
      </c>
      <c r="F110" s="23" t="n">
        <f aca="false">IF(OR(D110="",E110=""),"",D110*E110)</f>
        <v>179323.53</v>
      </c>
      <c r="G110" s="23"/>
      <c r="H110" s="24"/>
      <c r="I110" s="23" t="str">
        <f aca="false">IF(OR(G110="",H110=""),"",G110*H110)</f>
        <v/>
      </c>
      <c r="J110" s="23"/>
      <c r="K110" s="24"/>
      <c r="L110" s="23" t="str">
        <f aca="false">IF(OR(J110="",K110=""),"",J110*K110)</f>
        <v/>
      </c>
      <c r="M110" s="25" t="n">
        <f aca="false">SUM(D110,G110,J110)</f>
        <v>327</v>
      </c>
      <c r="N110" s="26" t="n">
        <f aca="false">IF(M110=0,"",O110/M110)</f>
        <v>548.39</v>
      </c>
      <c r="O110" s="27" t="n">
        <f aca="false">SUM(F110,I110,L110)</f>
        <v>179323.53</v>
      </c>
    </row>
    <row r="111" customFormat="false" ht="23.25" hidden="false" customHeight="true" outlineLevel="0" collapsed="false">
      <c r="A111" s="22" t="s">
        <v>42</v>
      </c>
      <c r="B111" s="21" t="s">
        <v>210</v>
      </c>
      <c r="C111" s="22" t="s">
        <v>211</v>
      </c>
      <c r="D111" s="23" t="n">
        <v>292</v>
      </c>
      <c r="E111" s="24" t="n">
        <v>525.86</v>
      </c>
      <c r="F111" s="23" t="n">
        <f aca="false">IF(OR(D111="",E111=""),"",D111*E111)</f>
        <v>153551.12</v>
      </c>
      <c r="G111" s="23"/>
      <c r="H111" s="24"/>
      <c r="I111" s="23" t="str">
        <f aca="false">IF(OR(G111="",H111=""),"",G111*H111)</f>
        <v/>
      </c>
      <c r="J111" s="23"/>
      <c r="K111" s="24"/>
      <c r="L111" s="23" t="str">
        <f aca="false">IF(OR(J111="",K111=""),"",J111*K111)</f>
        <v/>
      </c>
      <c r="M111" s="25" t="n">
        <f aca="false">SUM(D111,G111,J111)</f>
        <v>292</v>
      </c>
      <c r="N111" s="26" t="n">
        <f aca="false">IF(M111=0,"",O111/M111)</f>
        <v>525.86</v>
      </c>
      <c r="O111" s="27" t="n">
        <f aca="false">SUM(F111,I111,L111)</f>
        <v>153551.12</v>
      </c>
    </row>
    <row r="112" customFormat="false" ht="23.25" hidden="false" customHeight="true" outlineLevel="0" collapsed="false">
      <c r="A112" s="22" t="s">
        <v>42</v>
      </c>
      <c r="B112" s="21" t="s">
        <v>212</v>
      </c>
      <c r="C112" s="22" t="s">
        <v>213</v>
      </c>
      <c r="D112" s="23" t="n">
        <v>273</v>
      </c>
      <c r="E112" s="24" t="n">
        <v>525.99</v>
      </c>
      <c r="F112" s="23" t="n">
        <f aca="false">IF(OR(D112="",E112=""),"",D112*E112)</f>
        <v>143595.27</v>
      </c>
      <c r="G112" s="23"/>
      <c r="H112" s="24"/>
      <c r="I112" s="23" t="str">
        <f aca="false">IF(OR(G112="",H112=""),"",G112*H112)</f>
        <v/>
      </c>
      <c r="J112" s="23"/>
      <c r="K112" s="24"/>
      <c r="L112" s="23" t="str">
        <f aca="false">IF(OR(J112="",K112=""),"",J112*K112)</f>
        <v/>
      </c>
      <c r="M112" s="25" t="n">
        <f aca="false">SUM(D112,G112,J112)</f>
        <v>273</v>
      </c>
      <c r="N112" s="26" t="n">
        <f aca="false">IF(M112=0,"",O112/M112)</f>
        <v>525.99</v>
      </c>
      <c r="O112" s="27" t="n">
        <f aca="false">SUM(F112,I112,L112)</f>
        <v>143595.27</v>
      </c>
    </row>
    <row r="113" customFormat="false" ht="23.25" hidden="false" customHeight="true" outlineLevel="0" collapsed="false">
      <c r="A113" s="22" t="s">
        <v>42</v>
      </c>
      <c r="B113" s="21" t="s">
        <v>214</v>
      </c>
      <c r="C113" s="22" t="s">
        <v>215</v>
      </c>
      <c r="D113" s="23" t="n">
        <v>202</v>
      </c>
      <c r="E113" s="24" t="n">
        <v>535.36</v>
      </c>
      <c r="F113" s="23" t="n">
        <f aca="false">IF(OR(D113="",E113=""),"",D113*E113)</f>
        <v>108142.72</v>
      </c>
      <c r="G113" s="23"/>
      <c r="H113" s="24"/>
      <c r="I113" s="23" t="str">
        <f aca="false">IF(OR(G113="",H113=""),"",G113*H113)</f>
        <v/>
      </c>
      <c r="J113" s="23"/>
      <c r="K113" s="24"/>
      <c r="L113" s="23" t="str">
        <f aca="false">IF(OR(J113="",K113=""),"",J113*K113)</f>
        <v/>
      </c>
      <c r="M113" s="25" t="n">
        <f aca="false">SUM(D113,G113,J113)</f>
        <v>202</v>
      </c>
      <c r="N113" s="26" t="n">
        <f aca="false">IF(M113=0,"",O113/M113)</f>
        <v>535.36</v>
      </c>
      <c r="O113" s="27" t="n">
        <f aca="false">SUM(F113,I113,L113)</f>
        <v>108142.72</v>
      </c>
    </row>
    <row r="114" customFormat="false" ht="23.25" hidden="false" customHeight="true" outlineLevel="0" collapsed="false">
      <c r="A114" s="22" t="s">
        <v>42</v>
      </c>
      <c r="B114" s="21" t="s">
        <v>216</v>
      </c>
      <c r="C114" s="22" t="s">
        <v>217</v>
      </c>
      <c r="D114" s="23" t="n">
        <v>156</v>
      </c>
      <c r="E114" s="24" t="n">
        <v>457.01</v>
      </c>
      <c r="F114" s="23" t="n">
        <f aca="false">IF(OR(D114="",E114=""),"",D114*E114)</f>
        <v>71293.56</v>
      </c>
      <c r="G114" s="23"/>
      <c r="H114" s="24"/>
      <c r="I114" s="23" t="str">
        <f aca="false">IF(OR(G114="",H114=""),"",G114*H114)</f>
        <v/>
      </c>
      <c r="J114" s="23"/>
      <c r="K114" s="24"/>
      <c r="L114" s="23" t="str">
        <f aca="false">IF(OR(J114="",K114=""),"",J114*K114)</f>
        <v/>
      </c>
      <c r="M114" s="25" t="n">
        <f aca="false">SUM(D114,G114,J114)</f>
        <v>156</v>
      </c>
      <c r="N114" s="26" t="n">
        <f aca="false">IF(M114=0,"",O114/M114)</f>
        <v>457.01</v>
      </c>
      <c r="O114" s="27" t="n">
        <f aca="false">SUM(F114,I114,L114)</f>
        <v>71293.56</v>
      </c>
    </row>
    <row r="115" customFormat="false" ht="23.25" hidden="false" customHeight="true" outlineLevel="0" collapsed="false">
      <c r="A115" s="22" t="s">
        <v>42</v>
      </c>
      <c r="B115" s="21" t="s">
        <v>218</v>
      </c>
      <c r="C115" s="22" t="s">
        <v>219</v>
      </c>
      <c r="D115" s="23" t="n">
        <v>144</v>
      </c>
      <c r="E115" s="24" t="n">
        <v>457.01</v>
      </c>
      <c r="F115" s="23" t="n">
        <f aca="false">IF(OR(D115="",E115=""),"",D115*E115)</f>
        <v>65809.44</v>
      </c>
      <c r="G115" s="23"/>
      <c r="H115" s="24"/>
      <c r="I115" s="23" t="str">
        <f aca="false">IF(OR(G115="",H115=""),"",G115*H115)</f>
        <v/>
      </c>
      <c r="J115" s="23"/>
      <c r="K115" s="24"/>
      <c r="L115" s="23" t="str">
        <f aca="false">IF(OR(J115="",K115=""),"",J115*K115)</f>
        <v/>
      </c>
      <c r="M115" s="25" t="n">
        <f aca="false">SUM(D115,G115,J115)</f>
        <v>144</v>
      </c>
      <c r="N115" s="26" t="n">
        <f aca="false">IF(M115=0,"",O115/M115)</f>
        <v>457.01</v>
      </c>
      <c r="O115" s="27" t="n">
        <f aca="false">SUM(F115,I115,L115)</f>
        <v>65809.44</v>
      </c>
    </row>
    <row r="116" customFormat="false" ht="15" hidden="false" customHeight="true" outlineLevel="0" collapsed="false">
      <c r="A116" s="22" t="s">
        <v>42</v>
      </c>
      <c r="B116" s="21" t="s">
        <v>220</v>
      </c>
      <c r="C116" s="22" t="s">
        <v>221</v>
      </c>
      <c r="D116" s="23" t="n">
        <v>89</v>
      </c>
      <c r="E116" s="24" t="n">
        <v>650.42</v>
      </c>
      <c r="F116" s="23" t="n">
        <f aca="false">IF(OR(D116="",E116=""),"",D116*E116)</f>
        <v>57887.38</v>
      </c>
      <c r="G116" s="23"/>
      <c r="H116" s="24"/>
      <c r="I116" s="23" t="str">
        <f aca="false">IF(OR(G116="",H116=""),"",G116*H116)</f>
        <v/>
      </c>
      <c r="J116" s="23"/>
      <c r="K116" s="24"/>
      <c r="L116" s="23" t="str">
        <f aca="false">IF(OR(J116="",K116=""),"",J116*K116)</f>
        <v/>
      </c>
      <c r="M116" s="25" t="n">
        <f aca="false">SUM(D116,G116,J116)</f>
        <v>89</v>
      </c>
      <c r="N116" s="26" t="n">
        <f aca="false">IF(M116=0,"",O116/M116)</f>
        <v>650.42</v>
      </c>
      <c r="O116" s="27" t="n">
        <f aca="false">SUM(F116,I116,L116)</f>
        <v>57887.38</v>
      </c>
    </row>
    <row r="117" customFormat="false" ht="15" hidden="false" customHeight="true" outlineLevel="0" collapsed="false">
      <c r="A117" s="35"/>
      <c r="B117" s="35" t="s">
        <v>334</v>
      </c>
      <c r="C117" s="35"/>
      <c r="D117" s="36" t="n">
        <f aca="false">SUM(D101:D116)</f>
        <v>6262</v>
      </c>
      <c r="E117" s="37"/>
      <c r="F117" s="36" t="n">
        <f aca="false">SUM(F101:F116)</f>
        <v>3104153.86</v>
      </c>
      <c r="G117" s="36" t="n">
        <f aca="false">SUM(G101:G116)</f>
        <v>0</v>
      </c>
      <c r="H117" s="37"/>
      <c r="I117" s="36" t="n">
        <f aca="false">SUM(I101:I116)</f>
        <v>0</v>
      </c>
      <c r="J117" s="36" t="n">
        <f aca="false">SUM(J101:J116)</f>
        <v>0</v>
      </c>
      <c r="K117" s="37"/>
      <c r="L117" s="36" t="n">
        <f aca="false">SUM(L101:L116)</f>
        <v>0</v>
      </c>
      <c r="M117" s="36" t="n">
        <f aca="false">SUM(M101:M116)</f>
        <v>6262</v>
      </c>
      <c r="N117" s="38" t="n">
        <f aca="false">IF(M117=0,"",O117/M117)</f>
        <v>495.712848930054</v>
      </c>
      <c r="O117" s="36" t="n">
        <f aca="false">SUM(O101:O116)</f>
        <v>3104153.86</v>
      </c>
    </row>
    <row r="119" customFormat="false" ht="23.25" hidden="false" customHeight="true" outlineLevel="0" collapsed="false">
      <c r="A119" s="22" t="s">
        <v>38</v>
      </c>
      <c r="B119" s="21" t="s">
        <v>161</v>
      </c>
      <c r="C119" s="22" t="s">
        <v>162</v>
      </c>
      <c r="D119" s="23" t="n">
        <v>1355</v>
      </c>
      <c r="E119" s="24" t="n">
        <v>989.76</v>
      </c>
      <c r="F119" s="23" t="n">
        <f aca="false">IF(OR(D119="",E119=""),"",D119*E119)</f>
        <v>1341124.8</v>
      </c>
      <c r="G119" s="23"/>
      <c r="H119" s="24"/>
      <c r="I119" s="23" t="str">
        <f aca="false">IF(OR(G119="",H119=""),"",G119*H119)</f>
        <v/>
      </c>
      <c r="J119" s="23"/>
      <c r="K119" s="24"/>
      <c r="L119" s="23" t="str">
        <f aca="false">IF(OR(J119="",K119=""),"",J119*K119)</f>
        <v/>
      </c>
      <c r="M119" s="25" t="n">
        <f aca="false">SUM(D119,G119,J119)</f>
        <v>1355</v>
      </c>
      <c r="N119" s="26" t="n">
        <f aca="false">IF(M119=0,"",O119/M119)</f>
        <v>989.76</v>
      </c>
      <c r="O119" s="27" t="n">
        <f aca="false">SUM(F119,I119,L119)</f>
        <v>1341124.8</v>
      </c>
    </row>
    <row r="120" customFormat="false" ht="15" hidden="false" customHeight="true" outlineLevel="0" collapsed="false">
      <c r="A120" s="22" t="s">
        <v>38</v>
      </c>
      <c r="B120" s="21" t="s">
        <v>163</v>
      </c>
      <c r="C120" s="22"/>
      <c r="D120" s="23"/>
      <c r="E120" s="24"/>
      <c r="F120" s="23" t="str">
        <f aca="false">IF(OR(D120="",E120=""),"",D120*E120)</f>
        <v/>
      </c>
      <c r="G120" s="23" t="n">
        <v>1200</v>
      </c>
      <c r="H120" s="24" t="n">
        <v>482.54</v>
      </c>
      <c r="I120" s="23" t="n">
        <f aca="false">IF(OR(G120="",H120=""),"",G120*H120)</f>
        <v>579048</v>
      </c>
      <c r="J120" s="23"/>
      <c r="K120" s="24"/>
      <c r="L120" s="23" t="str">
        <f aca="false">IF(OR(J120="",K120=""),"",J120*K120)</f>
        <v/>
      </c>
      <c r="M120" s="25" t="n">
        <f aca="false">SUM(D120,G120,J120)</f>
        <v>1200</v>
      </c>
      <c r="N120" s="26" t="n">
        <f aca="false">IF(M120=0,"",O120/M120)</f>
        <v>482.54</v>
      </c>
      <c r="O120" s="27" t="n">
        <f aca="false">SUM(F120,I120,L120)</f>
        <v>579048</v>
      </c>
    </row>
    <row r="121" customFormat="false" ht="23.25" hidden="false" customHeight="true" outlineLevel="0" collapsed="false">
      <c r="A121" s="22" t="s">
        <v>38</v>
      </c>
      <c r="B121" s="21" t="s">
        <v>164</v>
      </c>
      <c r="C121" s="22" t="s">
        <v>165</v>
      </c>
      <c r="D121" s="23" t="n">
        <v>759</v>
      </c>
      <c r="E121" s="24" t="n">
        <v>711.51</v>
      </c>
      <c r="F121" s="23" t="n">
        <f aca="false">IF(OR(D121="",E121=""),"",D121*E121)</f>
        <v>540036.09</v>
      </c>
      <c r="G121" s="23"/>
      <c r="H121" s="24"/>
      <c r="I121" s="23" t="str">
        <f aca="false">IF(OR(G121="",H121=""),"",G121*H121)</f>
        <v/>
      </c>
      <c r="J121" s="23"/>
      <c r="K121" s="24"/>
      <c r="L121" s="23" t="str">
        <f aca="false">IF(OR(J121="",K121=""),"",J121*K121)</f>
        <v/>
      </c>
      <c r="M121" s="25" t="n">
        <f aca="false">SUM(D121,G121,J121)</f>
        <v>759</v>
      </c>
      <c r="N121" s="26" t="n">
        <f aca="false">IF(M121=0,"",O121/M121)</f>
        <v>711.51</v>
      </c>
      <c r="O121" s="27" t="n">
        <f aca="false">SUM(F121,I121,L121)</f>
        <v>540036.09</v>
      </c>
    </row>
    <row r="122" customFormat="false" ht="23.25" hidden="false" customHeight="true" outlineLevel="0" collapsed="false">
      <c r="A122" s="22" t="s">
        <v>38</v>
      </c>
      <c r="B122" s="21" t="s">
        <v>166</v>
      </c>
      <c r="C122" s="22" t="s">
        <v>167</v>
      </c>
      <c r="D122" s="23" t="n">
        <v>650</v>
      </c>
      <c r="E122" s="24" t="n">
        <v>813.9</v>
      </c>
      <c r="F122" s="23" t="n">
        <f aca="false">IF(OR(D122="",E122=""),"",D122*E122)</f>
        <v>529035</v>
      </c>
      <c r="G122" s="23"/>
      <c r="H122" s="24"/>
      <c r="I122" s="23" t="str">
        <f aca="false">IF(OR(G122="",H122=""),"",G122*H122)</f>
        <v/>
      </c>
      <c r="J122" s="23"/>
      <c r="K122" s="24"/>
      <c r="L122" s="23" t="str">
        <f aca="false">IF(OR(J122="",K122=""),"",J122*K122)</f>
        <v/>
      </c>
      <c r="M122" s="25" t="n">
        <f aca="false">SUM(D122,G122,J122)</f>
        <v>650</v>
      </c>
      <c r="N122" s="26" t="n">
        <f aca="false">IF(M122=0,"",O122/M122)</f>
        <v>813.9</v>
      </c>
      <c r="O122" s="27" t="n">
        <f aca="false">SUM(F122,I122,L122)</f>
        <v>529035</v>
      </c>
    </row>
    <row r="123" customFormat="false" ht="23.25" hidden="false" customHeight="true" outlineLevel="0" collapsed="false">
      <c r="A123" s="22" t="s">
        <v>38</v>
      </c>
      <c r="B123" s="21" t="s">
        <v>168</v>
      </c>
      <c r="C123" s="22" t="s">
        <v>169</v>
      </c>
      <c r="D123" s="23" t="n">
        <v>624</v>
      </c>
      <c r="E123" s="24" t="n">
        <v>808.87</v>
      </c>
      <c r="F123" s="23" t="n">
        <f aca="false">IF(OR(D123="",E123=""),"",D123*E123)</f>
        <v>504734.88</v>
      </c>
      <c r="G123" s="23"/>
      <c r="H123" s="24"/>
      <c r="I123" s="23" t="str">
        <f aca="false">IF(OR(G123="",H123=""),"",G123*H123)</f>
        <v/>
      </c>
      <c r="J123" s="23"/>
      <c r="K123" s="24"/>
      <c r="L123" s="23" t="str">
        <f aca="false">IF(OR(J123="",K123=""),"",J123*K123)</f>
        <v/>
      </c>
      <c r="M123" s="25" t="n">
        <f aca="false">SUM(D123,G123,J123)</f>
        <v>624</v>
      </c>
      <c r="N123" s="26" t="n">
        <f aca="false">IF(M123=0,"",O123/M123)</f>
        <v>808.87</v>
      </c>
      <c r="O123" s="27" t="n">
        <f aca="false">SUM(F123,I123,L123)</f>
        <v>504734.88</v>
      </c>
    </row>
    <row r="124" customFormat="false" ht="23.25" hidden="false" customHeight="true" outlineLevel="0" collapsed="false">
      <c r="A124" s="22" t="s">
        <v>38</v>
      </c>
      <c r="B124" s="21" t="s">
        <v>170</v>
      </c>
      <c r="C124" s="22" t="s">
        <v>171</v>
      </c>
      <c r="D124" s="23" t="n">
        <v>614</v>
      </c>
      <c r="E124" s="24" t="n">
        <v>1096.42</v>
      </c>
      <c r="F124" s="23" t="n">
        <f aca="false">IF(OR(D124="",E124=""),"",D124*E124)</f>
        <v>673201.88</v>
      </c>
      <c r="G124" s="23"/>
      <c r="H124" s="24"/>
      <c r="I124" s="23" t="str">
        <f aca="false">IF(OR(G124="",H124=""),"",G124*H124)</f>
        <v/>
      </c>
      <c r="J124" s="23"/>
      <c r="K124" s="24"/>
      <c r="L124" s="23" t="str">
        <f aca="false">IF(OR(J124="",K124=""),"",J124*K124)</f>
        <v/>
      </c>
      <c r="M124" s="25" t="n">
        <f aca="false">SUM(D124,G124,J124)</f>
        <v>614</v>
      </c>
      <c r="N124" s="26" t="n">
        <f aca="false">IF(M124=0,"",O124/M124)</f>
        <v>1096.42</v>
      </c>
      <c r="O124" s="27" t="n">
        <f aca="false">SUM(F124,I124,L124)</f>
        <v>673201.88</v>
      </c>
    </row>
    <row r="125" customFormat="false" ht="23.25" hidden="false" customHeight="true" outlineLevel="0" collapsed="false">
      <c r="A125" s="22" t="s">
        <v>38</v>
      </c>
      <c r="B125" s="21" t="s">
        <v>172</v>
      </c>
      <c r="C125" s="22" t="s">
        <v>173</v>
      </c>
      <c r="D125" s="23" t="n">
        <v>160</v>
      </c>
      <c r="E125" s="24" t="n">
        <v>938.3</v>
      </c>
      <c r="F125" s="23" t="n">
        <f aca="false">IF(OR(D125="",E125=""),"",D125*E125)</f>
        <v>150128</v>
      </c>
      <c r="G125" s="23"/>
      <c r="H125" s="24"/>
      <c r="I125" s="23" t="str">
        <f aca="false">IF(OR(G125="",H125=""),"",G125*H125)</f>
        <v/>
      </c>
      <c r="J125" s="23"/>
      <c r="K125" s="24"/>
      <c r="L125" s="23" t="str">
        <f aca="false">IF(OR(J125="",K125=""),"",J125*K125)</f>
        <v/>
      </c>
      <c r="M125" s="25" t="n">
        <f aca="false">SUM(D125,G125,J125)</f>
        <v>160</v>
      </c>
      <c r="N125" s="26" t="n">
        <f aca="false">IF(M125=0,"",O125/M125)</f>
        <v>938.3</v>
      </c>
      <c r="O125" s="27" t="n">
        <f aca="false">SUM(F125,I125,L125)</f>
        <v>150128</v>
      </c>
    </row>
    <row r="126" customFormat="false" ht="15" hidden="false" customHeight="true" outlineLevel="0" collapsed="false">
      <c r="A126" s="35"/>
      <c r="B126" s="35" t="s">
        <v>335</v>
      </c>
      <c r="C126" s="35"/>
      <c r="D126" s="36" t="n">
        <f aca="false">SUM(D119:D125)</f>
        <v>4162</v>
      </c>
      <c r="E126" s="37"/>
      <c r="F126" s="36" t="n">
        <f aca="false">SUM(F119:F125)</f>
        <v>3738260.65</v>
      </c>
      <c r="G126" s="36" t="n">
        <f aca="false">SUM(G119:G125)</f>
        <v>1200</v>
      </c>
      <c r="H126" s="37"/>
      <c r="I126" s="36" t="n">
        <f aca="false">SUM(I119:I125)</f>
        <v>579048</v>
      </c>
      <c r="J126" s="36" t="n">
        <f aca="false">SUM(J119:J125)</f>
        <v>0</v>
      </c>
      <c r="K126" s="37"/>
      <c r="L126" s="36" t="n">
        <f aca="false">SUM(L119:L125)</f>
        <v>0</v>
      </c>
      <c r="M126" s="36" t="n">
        <f aca="false">SUM(M119:M125)</f>
        <v>5362</v>
      </c>
      <c r="N126" s="38" t="n">
        <f aca="false">IF(M126=0,"",O126/M126)</f>
        <v>805.167596046251</v>
      </c>
      <c r="O126" s="36" t="n">
        <f aca="false">SUM(O119:O125)</f>
        <v>4317308.65</v>
      </c>
    </row>
    <row r="128" customFormat="false" ht="23.25" hidden="false" customHeight="true" outlineLevel="0" collapsed="false">
      <c r="A128" s="22" t="s">
        <v>49</v>
      </c>
      <c r="B128" s="21" t="s">
        <v>297</v>
      </c>
      <c r="C128" s="22" t="s">
        <v>298</v>
      </c>
      <c r="D128" s="23" t="n">
        <v>30</v>
      </c>
      <c r="E128" s="24" t="n">
        <v>404.68</v>
      </c>
      <c r="F128" s="23" t="n">
        <f aca="false">IF(OR(D128="",E128=""),"",D128*E128)</f>
        <v>12140.4</v>
      </c>
      <c r="G128" s="23" t="n">
        <v>1500</v>
      </c>
      <c r="H128" s="24" t="n">
        <v>668.13</v>
      </c>
      <c r="I128" s="23" t="n">
        <f aca="false">IF(OR(G128="",H128=""),"",G128*H128)</f>
        <v>1002195</v>
      </c>
      <c r="J128" s="23"/>
      <c r="K128" s="24"/>
      <c r="L128" s="23" t="str">
        <f aca="false">IF(OR(J128="",K128=""),"",J128*K128)</f>
        <v/>
      </c>
      <c r="M128" s="25" t="n">
        <f aca="false">SUM(D128,G128,J128)</f>
        <v>1530</v>
      </c>
      <c r="N128" s="26" t="n">
        <f aca="false">IF(M128=0,"",O128/M128)</f>
        <v>662.96431372549</v>
      </c>
      <c r="O128" s="27" t="n">
        <f aca="false">SUM(F128,I128,L128)</f>
        <v>1014335.4</v>
      </c>
    </row>
    <row r="129" customFormat="false" ht="15" hidden="false" customHeight="true" outlineLevel="0" collapsed="false">
      <c r="A129" s="22" t="s">
        <v>49</v>
      </c>
      <c r="B129" s="21" t="s">
        <v>299</v>
      </c>
      <c r="C129" s="22"/>
      <c r="D129" s="23"/>
      <c r="E129" s="24"/>
      <c r="F129" s="23" t="str">
        <f aca="false">IF(OR(D129="",E129=""),"",D129*E129)</f>
        <v/>
      </c>
      <c r="G129" s="23" t="n">
        <v>920</v>
      </c>
      <c r="H129" s="24" t="n">
        <v>849.6</v>
      </c>
      <c r="I129" s="23" t="n">
        <f aca="false">IF(OR(G129="",H129=""),"",G129*H129)</f>
        <v>781632</v>
      </c>
      <c r="J129" s="23"/>
      <c r="K129" s="24"/>
      <c r="L129" s="23" t="str">
        <f aca="false">IF(OR(J129="",K129=""),"",J129*K129)</f>
        <v/>
      </c>
      <c r="M129" s="25" t="n">
        <f aca="false">SUM(D129,G129,J129)</f>
        <v>920</v>
      </c>
      <c r="N129" s="26" t="n">
        <f aca="false">IF(M129=0,"",O129/M129)</f>
        <v>849.6</v>
      </c>
      <c r="O129" s="27" t="n">
        <f aca="false">SUM(F129,I129,L129)</f>
        <v>781632</v>
      </c>
    </row>
    <row r="130" customFormat="false" ht="23.25" hidden="false" customHeight="true" outlineLevel="0" collapsed="false">
      <c r="A130" s="22" t="s">
        <v>49</v>
      </c>
      <c r="B130" s="21" t="s">
        <v>300</v>
      </c>
      <c r="C130" s="22"/>
      <c r="D130" s="23"/>
      <c r="E130" s="24"/>
      <c r="F130" s="23" t="str">
        <f aca="false">IF(OR(D130="",E130=""),"",D130*E130)</f>
        <v/>
      </c>
      <c r="G130" s="23" t="n">
        <v>900</v>
      </c>
      <c r="H130" s="24" t="n">
        <v>857.84</v>
      </c>
      <c r="I130" s="23" t="n">
        <f aca="false">IF(OR(G130="",H130=""),"",G130*H130)</f>
        <v>772056</v>
      </c>
      <c r="J130" s="23"/>
      <c r="K130" s="24"/>
      <c r="L130" s="23" t="str">
        <f aca="false">IF(OR(J130="",K130=""),"",J130*K130)</f>
        <v/>
      </c>
      <c r="M130" s="25" t="n">
        <f aca="false">SUM(D130,G130,J130)</f>
        <v>900</v>
      </c>
      <c r="N130" s="26" t="n">
        <f aca="false">IF(M130=0,"",O130/M130)</f>
        <v>857.84</v>
      </c>
      <c r="O130" s="27" t="n">
        <f aca="false">SUM(F130,I130,L130)</f>
        <v>772056</v>
      </c>
    </row>
    <row r="131" customFormat="false" ht="23.25" hidden="false" customHeight="true" outlineLevel="0" collapsed="false">
      <c r="A131" s="22" t="s">
        <v>49</v>
      </c>
      <c r="B131" s="21" t="s">
        <v>301</v>
      </c>
      <c r="C131" s="22" t="s">
        <v>302</v>
      </c>
      <c r="D131" s="23" t="n">
        <v>22</v>
      </c>
      <c r="E131" s="24" t="n">
        <v>294.15</v>
      </c>
      <c r="F131" s="23" t="n">
        <f aca="false">IF(OR(D131="",E131=""),"",D131*E131)</f>
        <v>6471.3</v>
      </c>
      <c r="G131" s="23"/>
      <c r="H131" s="24"/>
      <c r="I131" s="23" t="str">
        <f aca="false">IF(OR(G131="",H131=""),"",G131*H131)</f>
        <v/>
      </c>
      <c r="J131" s="23"/>
      <c r="K131" s="24"/>
      <c r="L131" s="23" t="str">
        <f aca="false">IF(OR(J131="",K131=""),"",J131*K131)</f>
        <v/>
      </c>
      <c r="M131" s="25" t="n">
        <f aca="false">SUM(D131,G131,J131)</f>
        <v>22</v>
      </c>
      <c r="N131" s="26" t="n">
        <f aca="false">IF(M131=0,"",O131/M131)</f>
        <v>294.15</v>
      </c>
      <c r="O131" s="27" t="n">
        <f aca="false">SUM(F131,I131,L131)</f>
        <v>6471.3</v>
      </c>
    </row>
    <row r="132" customFormat="false" ht="15" hidden="false" customHeight="true" outlineLevel="0" collapsed="false">
      <c r="A132" s="35"/>
      <c r="B132" s="35" t="s">
        <v>336</v>
      </c>
      <c r="C132" s="35"/>
      <c r="D132" s="36" t="n">
        <f aca="false">SUM(D128:D131)</f>
        <v>52</v>
      </c>
      <c r="E132" s="37"/>
      <c r="F132" s="36" t="n">
        <f aca="false">SUM(F128:F131)</f>
        <v>18611.7</v>
      </c>
      <c r="G132" s="36" t="n">
        <f aca="false">SUM(G128:G131)</f>
        <v>3320</v>
      </c>
      <c r="H132" s="37"/>
      <c r="I132" s="36" t="n">
        <f aca="false">SUM(I128:I131)</f>
        <v>2555883</v>
      </c>
      <c r="J132" s="36" t="n">
        <f aca="false">SUM(J128:J131)</f>
        <v>0</v>
      </c>
      <c r="K132" s="37"/>
      <c r="L132" s="36" t="n">
        <f aca="false">SUM(L128:L131)</f>
        <v>0</v>
      </c>
      <c r="M132" s="36" t="n">
        <f aca="false">SUM(M128:M131)</f>
        <v>3372</v>
      </c>
      <c r="N132" s="38" t="n">
        <f aca="false">IF(M132=0,"",O132/M132)</f>
        <v>763.491903914591</v>
      </c>
      <c r="O132" s="36" t="n">
        <f aca="false">SUM(O128:O131)</f>
        <v>2574494.7</v>
      </c>
    </row>
    <row r="134" customFormat="false" ht="23.25" hidden="false" customHeight="true" outlineLevel="0" collapsed="false">
      <c r="A134" s="22" t="s">
        <v>54</v>
      </c>
      <c r="B134" s="21" t="s">
        <v>263</v>
      </c>
      <c r="C134" s="22" t="s">
        <v>264</v>
      </c>
      <c r="D134" s="23" t="n">
        <v>1039</v>
      </c>
      <c r="E134" s="24" t="n">
        <v>463.2</v>
      </c>
      <c r="F134" s="23" t="n">
        <f aca="false">IF(OR(D134="",E134=""),"",D134*E134)</f>
        <v>481264.8</v>
      </c>
      <c r="G134" s="23"/>
      <c r="H134" s="24"/>
      <c r="I134" s="23" t="str">
        <f aca="false">IF(OR(G134="",H134=""),"",G134*H134)</f>
        <v/>
      </c>
      <c r="J134" s="23"/>
      <c r="K134" s="24"/>
      <c r="L134" s="23" t="str">
        <f aca="false">IF(OR(J134="",K134=""),"",J134*K134)</f>
        <v/>
      </c>
      <c r="M134" s="25" t="n">
        <f aca="false">SUM(D134,G134,J134)</f>
        <v>1039</v>
      </c>
      <c r="N134" s="26" t="n">
        <f aca="false">IF(M134=0,"",O134/M134)</f>
        <v>463.2</v>
      </c>
      <c r="O134" s="27" t="n">
        <f aca="false">SUM(F134,I134,L134)</f>
        <v>481264.8</v>
      </c>
    </row>
    <row r="135" customFormat="false" ht="23.25" hidden="false" customHeight="true" outlineLevel="0" collapsed="false">
      <c r="A135" s="22" t="s">
        <v>54</v>
      </c>
      <c r="B135" s="21" t="s">
        <v>265</v>
      </c>
      <c r="C135" s="22" t="s">
        <v>266</v>
      </c>
      <c r="D135" s="23" t="n">
        <v>832</v>
      </c>
      <c r="E135" s="24" t="n">
        <v>509.52</v>
      </c>
      <c r="F135" s="23" t="n">
        <f aca="false">IF(OR(D135="",E135=""),"",D135*E135)</f>
        <v>423920.64</v>
      </c>
      <c r="G135" s="23"/>
      <c r="H135" s="24"/>
      <c r="I135" s="23" t="str">
        <f aca="false">IF(OR(G135="",H135=""),"",G135*H135)</f>
        <v/>
      </c>
      <c r="J135" s="23"/>
      <c r="K135" s="24"/>
      <c r="L135" s="23" t="str">
        <f aca="false">IF(OR(J135="",K135=""),"",J135*K135)</f>
        <v/>
      </c>
      <c r="M135" s="25" t="n">
        <f aca="false">SUM(D135,G135,J135)</f>
        <v>832</v>
      </c>
      <c r="N135" s="26" t="n">
        <f aca="false">IF(M135=0,"",O135/M135)</f>
        <v>509.52</v>
      </c>
      <c r="O135" s="27" t="n">
        <f aca="false">SUM(F135,I135,L135)</f>
        <v>423920.64</v>
      </c>
    </row>
    <row r="136" customFormat="false" ht="15" hidden="false" customHeight="true" outlineLevel="0" collapsed="false">
      <c r="A136" s="35"/>
      <c r="B136" s="35" t="s">
        <v>337</v>
      </c>
      <c r="C136" s="35"/>
      <c r="D136" s="36" t="n">
        <f aca="false">SUM(D134:D135)</f>
        <v>1871</v>
      </c>
      <c r="E136" s="37"/>
      <c r="F136" s="36" t="n">
        <f aca="false">SUM(F134:F135)</f>
        <v>905185.44</v>
      </c>
      <c r="G136" s="36" t="n">
        <f aca="false">SUM(G134:G135)</f>
        <v>0</v>
      </c>
      <c r="H136" s="37"/>
      <c r="I136" s="36" t="n">
        <f aca="false">SUM(I134:I135)</f>
        <v>0</v>
      </c>
      <c r="J136" s="36" t="n">
        <f aca="false">SUM(J134:J135)</f>
        <v>0</v>
      </c>
      <c r="K136" s="37"/>
      <c r="L136" s="36" t="n">
        <f aca="false">SUM(L134:L135)</f>
        <v>0</v>
      </c>
      <c r="M136" s="36" t="n">
        <f aca="false">SUM(M134:M135)</f>
        <v>1871</v>
      </c>
      <c r="N136" s="38" t="n">
        <f aca="false">IF(M136=0,"",O136/M136)</f>
        <v>483.79766969535</v>
      </c>
      <c r="O136" s="36" t="n">
        <f aca="false">SUM(O134:O135)</f>
        <v>905185.44</v>
      </c>
    </row>
    <row r="138" customFormat="false" ht="15" hidden="false" customHeight="true" outlineLevel="0" collapsed="false">
      <c r="A138" s="22" t="s">
        <v>53</v>
      </c>
      <c r="B138" s="21" t="s">
        <v>315</v>
      </c>
      <c r="C138" s="22"/>
      <c r="D138" s="23"/>
      <c r="E138" s="24"/>
      <c r="F138" s="23" t="str">
        <f aca="false">IF(OR(D138="",E138=""),"",D138*E138)</f>
        <v/>
      </c>
      <c r="G138" s="23" t="n">
        <v>400</v>
      </c>
      <c r="H138" s="24" t="n">
        <v>1080.55</v>
      </c>
      <c r="I138" s="23" t="n">
        <f aca="false">IF(OR(G138="",H138=""),"",G138*H138)</f>
        <v>432220</v>
      </c>
      <c r="J138" s="23"/>
      <c r="K138" s="24"/>
      <c r="L138" s="23" t="str">
        <f aca="false">IF(OR(J138="",K138=""),"",J138*K138)</f>
        <v/>
      </c>
      <c r="M138" s="25" t="n">
        <f aca="false">SUM(D138,G138,J138)</f>
        <v>400</v>
      </c>
      <c r="N138" s="26" t="n">
        <f aca="false">IF(M138=0,"",O138/M138)</f>
        <v>1080.55</v>
      </c>
      <c r="O138" s="27" t="n">
        <f aca="false">SUM(F138,I138,L138)</f>
        <v>432220</v>
      </c>
    </row>
    <row r="139" customFormat="false" ht="15" hidden="false" customHeight="true" outlineLevel="0" collapsed="false">
      <c r="A139" s="22" t="s">
        <v>53</v>
      </c>
      <c r="B139" s="21" t="s">
        <v>319</v>
      </c>
      <c r="C139" s="22"/>
      <c r="D139" s="23"/>
      <c r="E139" s="24"/>
      <c r="F139" s="23" t="str">
        <f aca="false">IF(OR(D139="",E139=""),"",D139*E139)</f>
        <v/>
      </c>
      <c r="G139" s="23" t="n">
        <v>320</v>
      </c>
      <c r="H139" s="24" t="n">
        <v>874.34</v>
      </c>
      <c r="I139" s="23" t="n">
        <f aca="false">IF(OR(G139="",H139=""),"",G139*H139)</f>
        <v>279788.8</v>
      </c>
      <c r="J139" s="23"/>
      <c r="K139" s="24"/>
      <c r="L139" s="23" t="str">
        <f aca="false">IF(OR(J139="",K139=""),"",J139*K139)</f>
        <v/>
      </c>
      <c r="M139" s="25" t="n">
        <f aca="false">SUM(D139,G139,J139)</f>
        <v>320</v>
      </c>
      <c r="N139" s="26" t="n">
        <f aca="false">IF(M139=0,"",O139/M139)</f>
        <v>874.34</v>
      </c>
      <c r="O139" s="27" t="n">
        <f aca="false">SUM(F139,I139,L139)</f>
        <v>279788.8</v>
      </c>
    </row>
    <row r="140" customFormat="false" ht="15" hidden="false" customHeight="true" outlineLevel="0" collapsed="false">
      <c r="A140" s="22" t="s">
        <v>53</v>
      </c>
      <c r="B140" s="21" t="s">
        <v>317</v>
      </c>
      <c r="C140" s="22"/>
      <c r="D140" s="23"/>
      <c r="E140" s="24"/>
      <c r="F140" s="23" t="str">
        <f aca="false">IF(OR(D140="",E140=""),"",D140*E140)</f>
        <v/>
      </c>
      <c r="G140" s="23" t="n">
        <v>300</v>
      </c>
      <c r="H140" s="24" t="n">
        <v>981.57</v>
      </c>
      <c r="I140" s="23" t="n">
        <f aca="false">IF(OR(G140="",H140=""),"",G140*H140)</f>
        <v>294471</v>
      </c>
      <c r="J140" s="23"/>
      <c r="K140" s="24"/>
      <c r="L140" s="23" t="str">
        <f aca="false">IF(OR(J140="",K140=""),"",J140*K140)</f>
        <v/>
      </c>
      <c r="M140" s="25" t="n">
        <f aca="false">SUM(D140,G140,J140)</f>
        <v>300</v>
      </c>
      <c r="N140" s="26" t="n">
        <f aca="false">IF(M140=0,"",O140/M140)</f>
        <v>981.57</v>
      </c>
      <c r="O140" s="27" t="n">
        <f aca="false">SUM(F140,I140,L140)</f>
        <v>294471</v>
      </c>
    </row>
    <row r="141" customFormat="false" ht="15" hidden="false" customHeight="true" outlineLevel="0" collapsed="false">
      <c r="A141" s="22" t="s">
        <v>53</v>
      </c>
      <c r="B141" s="21" t="s">
        <v>318</v>
      </c>
      <c r="C141" s="22"/>
      <c r="D141" s="23"/>
      <c r="E141" s="24"/>
      <c r="F141" s="23" t="str">
        <f aca="false">IF(OR(D141="",E141=""),"",D141*E141)</f>
        <v/>
      </c>
      <c r="G141" s="23" t="n">
        <v>240</v>
      </c>
      <c r="H141" s="24" t="n">
        <v>1195.21</v>
      </c>
      <c r="I141" s="23" t="n">
        <f aca="false">IF(OR(G141="",H141=""),"",G141*H141)</f>
        <v>286850.4</v>
      </c>
      <c r="J141" s="23"/>
      <c r="K141" s="24"/>
      <c r="L141" s="23" t="str">
        <f aca="false">IF(OR(J141="",K141=""),"",J141*K141)</f>
        <v/>
      </c>
      <c r="M141" s="25" t="n">
        <f aca="false">SUM(D141,G141,J141)</f>
        <v>240</v>
      </c>
      <c r="N141" s="26" t="n">
        <f aca="false">IF(M141=0,"",O141/M141)</f>
        <v>1195.21</v>
      </c>
      <c r="O141" s="27" t="n">
        <f aca="false">SUM(F141,I141,L141)</f>
        <v>286850.4</v>
      </c>
    </row>
    <row r="142" customFormat="false" ht="15" hidden="false" customHeight="true" outlineLevel="0" collapsed="false">
      <c r="A142" s="22" t="s">
        <v>53</v>
      </c>
      <c r="B142" s="21" t="s">
        <v>324</v>
      </c>
      <c r="C142" s="22"/>
      <c r="D142" s="23"/>
      <c r="E142" s="24"/>
      <c r="F142" s="23" t="str">
        <f aca="false">IF(OR(D142="",E142=""),"",D142*E142)</f>
        <v/>
      </c>
      <c r="G142" s="23" t="n">
        <v>200</v>
      </c>
      <c r="H142" s="24" t="n">
        <v>868.73</v>
      </c>
      <c r="I142" s="23" t="n">
        <f aca="false">IF(OR(G142="",H142=""),"",G142*H142)</f>
        <v>173746</v>
      </c>
      <c r="J142" s="23"/>
      <c r="K142" s="24"/>
      <c r="L142" s="23" t="str">
        <f aca="false">IF(OR(J142="",K142=""),"",J142*K142)</f>
        <v/>
      </c>
      <c r="M142" s="25" t="n">
        <f aca="false">SUM(D142,G142,J142)</f>
        <v>200</v>
      </c>
      <c r="N142" s="26" t="n">
        <f aca="false">IF(M142=0,"",O142/M142)</f>
        <v>868.73</v>
      </c>
      <c r="O142" s="27" t="n">
        <f aca="false">SUM(F142,I142,L142)</f>
        <v>173746</v>
      </c>
    </row>
    <row r="143" customFormat="false" ht="15" hidden="false" customHeight="true" outlineLevel="0" collapsed="false">
      <c r="A143" s="22" t="s">
        <v>53</v>
      </c>
      <c r="B143" s="21" t="s">
        <v>322</v>
      </c>
      <c r="C143" s="22"/>
      <c r="D143" s="23"/>
      <c r="E143" s="24"/>
      <c r="F143" s="23" t="str">
        <f aca="false">IF(OR(D143="",E143=""),"",D143*E143)</f>
        <v/>
      </c>
      <c r="G143" s="23" t="n">
        <v>160</v>
      </c>
      <c r="H143" s="24" t="n">
        <v>1321.41</v>
      </c>
      <c r="I143" s="23" t="n">
        <f aca="false">IF(OR(G143="",H143=""),"",G143*H143)</f>
        <v>211425.6</v>
      </c>
      <c r="J143" s="23"/>
      <c r="K143" s="24"/>
      <c r="L143" s="23" t="str">
        <f aca="false">IF(OR(J143="",K143=""),"",J143*K143)</f>
        <v/>
      </c>
      <c r="M143" s="25" t="n">
        <f aca="false">SUM(D143,G143,J143)</f>
        <v>160</v>
      </c>
      <c r="N143" s="26" t="n">
        <f aca="false">IF(M143=0,"",O143/M143)</f>
        <v>1321.41</v>
      </c>
      <c r="O143" s="27" t="n">
        <f aca="false">SUM(F143,I143,L143)</f>
        <v>211425.6</v>
      </c>
    </row>
    <row r="144" customFormat="false" ht="15" hidden="false" customHeight="true" outlineLevel="0" collapsed="false">
      <c r="A144" s="35"/>
      <c r="B144" s="35" t="s">
        <v>338</v>
      </c>
      <c r="C144" s="35"/>
      <c r="D144" s="36" t="n">
        <f aca="false">SUM(D138:D143)</f>
        <v>0</v>
      </c>
      <c r="E144" s="37"/>
      <c r="F144" s="36" t="n">
        <f aca="false">SUM(F138:F143)</f>
        <v>0</v>
      </c>
      <c r="G144" s="36" t="n">
        <f aca="false">SUM(G138:G143)</f>
        <v>1620</v>
      </c>
      <c r="H144" s="37"/>
      <c r="I144" s="36" t="n">
        <f aca="false">SUM(I138:I143)</f>
        <v>1678501.8</v>
      </c>
      <c r="J144" s="36" t="n">
        <f aca="false">SUM(J138:J143)</f>
        <v>0</v>
      </c>
      <c r="K144" s="37"/>
      <c r="L144" s="36" t="n">
        <f aca="false">SUM(L138:L143)</f>
        <v>0</v>
      </c>
      <c r="M144" s="36" t="n">
        <f aca="false">SUM(M138:M143)</f>
        <v>1620</v>
      </c>
      <c r="N144" s="38" t="n">
        <f aca="false">IF(M144=0,"",O144/M144)</f>
        <v>1036.11222222222</v>
      </c>
      <c r="O144" s="36" t="n">
        <f aca="false">SUM(O138:O143)</f>
        <v>1678501.8</v>
      </c>
    </row>
    <row r="146" customFormat="false" ht="23.25" hidden="false" customHeight="true" outlineLevel="0" collapsed="false">
      <c r="A146" s="22" t="s">
        <v>51</v>
      </c>
      <c r="B146" s="21" t="s">
        <v>259</v>
      </c>
      <c r="C146" s="22" t="s">
        <v>260</v>
      </c>
      <c r="D146" s="23" t="n">
        <v>1009</v>
      </c>
      <c r="E146" s="24" t="n">
        <v>1469.55</v>
      </c>
      <c r="F146" s="23" t="n">
        <f aca="false">IF(OR(D146="",E146=""),"",D146*E146)</f>
        <v>1482775.95</v>
      </c>
      <c r="G146" s="23"/>
      <c r="H146" s="24"/>
      <c r="I146" s="23" t="str">
        <f aca="false">IF(OR(G146="",H146=""),"",G146*H146)</f>
        <v/>
      </c>
      <c r="J146" s="23"/>
      <c r="K146" s="24"/>
      <c r="L146" s="23" t="str">
        <f aca="false">IF(OR(J146="",K146=""),"",J146*K146)</f>
        <v/>
      </c>
      <c r="M146" s="25" t="n">
        <f aca="false">SUM(D146,G146,J146)</f>
        <v>1009</v>
      </c>
      <c r="N146" s="26" t="n">
        <f aca="false">IF(M146=0,"",O146/M146)</f>
        <v>1469.55</v>
      </c>
      <c r="O146" s="27" t="n">
        <f aca="false">SUM(F146,I146,L146)</f>
        <v>1482775.95</v>
      </c>
    </row>
    <row r="147" customFormat="false" ht="15" hidden="false" customHeight="true" outlineLevel="0" collapsed="false">
      <c r="A147" s="22" t="s">
        <v>51</v>
      </c>
      <c r="B147" s="21" t="s">
        <v>261</v>
      </c>
      <c r="C147" s="22" t="s">
        <v>262</v>
      </c>
      <c r="D147" s="23" t="n">
        <v>397</v>
      </c>
      <c r="E147" s="24" t="n">
        <v>1071.44</v>
      </c>
      <c r="F147" s="23" t="n">
        <f aca="false">IF(OR(D147="",E147=""),"",D147*E147)</f>
        <v>425361.68</v>
      </c>
      <c r="G147" s="23"/>
      <c r="H147" s="24"/>
      <c r="I147" s="23" t="str">
        <f aca="false">IF(OR(G147="",H147=""),"",G147*H147)</f>
        <v/>
      </c>
      <c r="J147" s="23"/>
      <c r="K147" s="24"/>
      <c r="L147" s="23" t="str">
        <f aca="false">IF(OR(J147="",K147=""),"",J147*K147)</f>
        <v/>
      </c>
      <c r="M147" s="25" t="n">
        <f aca="false">SUM(D147,G147,J147)</f>
        <v>397</v>
      </c>
      <c r="N147" s="26" t="n">
        <f aca="false">IF(M147=0,"",O147/M147)</f>
        <v>1071.44</v>
      </c>
      <c r="O147" s="27" t="n">
        <f aca="false">SUM(F147,I147,L147)</f>
        <v>425361.68</v>
      </c>
    </row>
    <row r="148" customFormat="false" ht="15" hidden="false" customHeight="true" outlineLevel="0" collapsed="false">
      <c r="A148" s="35"/>
      <c r="B148" s="35" t="s">
        <v>339</v>
      </c>
      <c r="C148" s="35"/>
      <c r="D148" s="36" t="n">
        <f aca="false">SUM(D146:D147)</f>
        <v>1406</v>
      </c>
      <c r="E148" s="37"/>
      <c r="F148" s="36" t="n">
        <f aca="false">SUM(F146:F147)</f>
        <v>1908137.63</v>
      </c>
      <c r="G148" s="36" t="n">
        <f aca="false">SUM(G146:G147)</f>
        <v>0</v>
      </c>
      <c r="H148" s="37"/>
      <c r="I148" s="36" t="n">
        <f aca="false">SUM(I146:I147)</f>
        <v>0</v>
      </c>
      <c r="J148" s="36" t="n">
        <f aca="false">SUM(J146:J147)</f>
        <v>0</v>
      </c>
      <c r="K148" s="37"/>
      <c r="L148" s="36" t="n">
        <f aca="false">SUM(L146:L147)</f>
        <v>0</v>
      </c>
      <c r="M148" s="36" t="n">
        <f aca="false">SUM(M146:M147)</f>
        <v>1406</v>
      </c>
      <c r="N148" s="38" t="n">
        <f aca="false">IF(M148=0,"",O148/M148)</f>
        <v>1357.13913940256</v>
      </c>
      <c r="O148" s="36" t="n">
        <f aca="false">SUM(O146:O147)</f>
        <v>1908137.63</v>
      </c>
    </row>
    <row r="150" customFormat="false" ht="23.25" hidden="false" customHeight="true" outlineLevel="0" collapsed="false">
      <c r="A150" s="22" t="s">
        <v>56</v>
      </c>
      <c r="B150" s="21" t="s">
        <v>267</v>
      </c>
      <c r="C150" s="22" t="s">
        <v>268</v>
      </c>
      <c r="D150" s="23" t="n">
        <v>941</v>
      </c>
      <c r="E150" s="24" t="n">
        <v>847.53</v>
      </c>
      <c r="F150" s="23" t="n">
        <f aca="false">IF(OR(D150="",E150=""),"",D150*E150)</f>
        <v>797525.73</v>
      </c>
      <c r="G150" s="23"/>
      <c r="H150" s="24"/>
      <c r="I150" s="23" t="str">
        <f aca="false">IF(OR(G150="",H150=""),"",G150*H150)</f>
        <v/>
      </c>
      <c r="J150" s="23"/>
      <c r="K150" s="24"/>
      <c r="L150" s="23" t="str">
        <f aca="false">IF(OR(J150="",K150=""),"",J150*K150)</f>
        <v/>
      </c>
      <c r="M150" s="25" t="n">
        <f aca="false">SUM(D150,G150,J150)</f>
        <v>941</v>
      </c>
      <c r="N150" s="26" t="n">
        <f aca="false">IF(M150=0,"",O150/M150)</f>
        <v>847.53</v>
      </c>
      <c r="O150" s="27" t="n">
        <f aca="false">SUM(F150,I150,L150)</f>
        <v>797525.73</v>
      </c>
    </row>
    <row r="151" customFormat="false" ht="15" hidden="false" customHeight="true" outlineLevel="0" collapsed="false">
      <c r="A151" s="35"/>
      <c r="B151" s="35" t="s">
        <v>340</v>
      </c>
      <c r="C151" s="35"/>
      <c r="D151" s="36" t="n">
        <f aca="false">SUM(D150:D150)</f>
        <v>941</v>
      </c>
      <c r="E151" s="37"/>
      <c r="F151" s="36" t="n">
        <f aca="false">SUM(F150:F150)</f>
        <v>797525.73</v>
      </c>
      <c r="G151" s="36" t="n">
        <f aca="false">SUM(G150:G150)</f>
        <v>0</v>
      </c>
      <c r="H151" s="37"/>
      <c r="I151" s="36" t="n">
        <f aca="false">SUM(I150:I150)</f>
        <v>0</v>
      </c>
      <c r="J151" s="36" t="n">
        <f aca="false">SUM(J150:J150)</f>
        <v>0</v>
      </c>
      <c r="K151" s="37"/>
      <c r="L151" s="36" t="n">
        <f aca="false">SUM(L150:L150)</f>
        <v>0</v>
      </c>
      <c r="M151" s="36" t="n">
        <f aca="false">SUM(M150:M150)</f>
        <v>941</v>
      </c>
      <c r="N151" s="38" t="n">
        <f aca="false">IF(M151=0,"",O151/M151)</f>
        <v>847.53</v>
      </c>
      <c r="O151" s="36" t="n">
        <f aca="false">SUM(O150:O150)</f>
        <v>797525.73</v>
      </c>
    </row>
    <row r="153" customFormat="false" ht="23.25" hidden="false" customHeight="true" outlineLevel="0" collapsed="false">
      <c r="A153" s="22" t="s">
        <v>58</v>
      </c>
      <c r="B153" s="21" t="s">
        <v>269</v>
      </c>
      <c r="C153" s="22" t="s">
        <v>270</v>
      </c>
      <c r="D153" s="23" t="n">
        <v>410</v>
      </c>
      <c r="E153" s="24" t="n">
        <v>726.85</v>
      </c>
      <c r="F153" s="23" t="n">
        <f aca="false">IF(OR(D153="",E153=""),"",D153*E153)</f>
        <v>298008.5</v>
      </c>
      <c r="G153" s="23"/>
      <c r="H153" s="24"/>
      <c r="I153" s="23" t="str">
        <f aca="false">IF(OR(G153="",H153=""),"",G153*H153)</f>
        <v/>
      </c>
      <c r="J153" s="23"/>
      <c r="K153" s="24"/>
      <c r="L153" s="23" t="str">
        <f aca="false">IF(OR(J153="",K153=""),"",J153*K153)</f>
        <v/>
      </c>
      <c r="M153" s="25" t="n">
        <f aca="false">SUM(D153,G153,J153)</f>
        <v>410</v>
      </c>
      <c r="N153" s="26" t="n">
        <f aca="false">IF(M153=0,"",O153/M153)</f>
        <v>726.85</v>
      </c>
      <c r="O153" s="27" t="n">
        <f aca="false">SUM(F153,I153,L153)</f>
        <v>298008.5</v>
      </c>
    </row>
    <row r="154" customFormat="false" ht="23.25" hidden="false" customHeight="true" outlineLevel="0" collapsed="false">
      <c r="A154" s="22" t="s">
        <v>58</v>
      </c>
      <c r="B154" s="21" t="s">
        <v>271</v>
      </c>
      <c r="C154" s="22" t="s">
        <v>272</v>
      </c>
      <c r="D154" s="23" t="n">
        <v>298</v>
      </c>
      <c r="E154" s="24" t="n">
        <v>166.24</v>
      </c>
      <c r="F154" s="23" t="n">
        <f aca="false">IF(OR(D154="",E154=""),"",D154*E154)</f>
        <v>49539.52</v>
      </c>
      <c r="G154" s="23"/>
      <c r="H154" s="24"/>
      <c r="I154" s="23" t="str">
        <f aca="false">IF(OR(G154="",H154=""),"",G154*H154)</f>
        <v/>
      </c>
      <c r="J154" s="23"/>
      <c r="K154" s="24"/>
      <c r="L154" s="23" t="str">
        <f aca="false">IF(OR(J154="",K154=""),"",J154*K154)</f>
        <v/>
      </c>
      <c r="M154" s="25" t="n">
        <f aca="false">SUM(D154,G154,J154)</f>
        <v>298</v>
      </c>
      <c r="N154" s="26" t="n">
        <f aca="false">IF(M154=0,"",O154/M154)</f>
        <v>166.24</v>
      </c>
      <c r="O154" s="27" t="n">
        <f aca="false">SUM(F154,I154,L154)</f>
        <v>49539.52</v>
      </c>
    </row>
    <row r="155" customFormat="false" ht="23.25" hidden="false" customHeight="true" outlineLevel="0" collapsed="false">
      <c r="A155" s="22" t="s">
        <v>58</v>
      </c>
      <c r="B155" s="21" t="s">
        <v>273</v>
      </c>
      <c r="C155" s="22" t="s">
        <v>274</v>
      </c>
      <c r="D155" s="23" t="n">
        <v>60</v>
      </c>
      <c r="E155" s="24" t="n">
        <v>269.87</v>
      </c>
      <c r="F155" s="23" t="n">
        <f aca="false">IF(OR(D155="",E155=""),"",D155*E155)</f>
        <v>16192.2</v>
      </c>
      <c r="G155" s="23"/>
      <c r="H155" s="24"/>
      <c r="I155" s="23" t="str">
        <f aca="false">IF(OR(G155="",H155=""),"",G155*H155)</f>
        <v/>
      </c>
      <c r="J155" s="23"/>
      <c r="K155" s="24"/>
      <c r="L155" s="23" t="str">
        <f aca="false">IF(OR(J155="",K155=""),"",J155*K155)</f>
        <v/>
      </c>
      <c r="M155" s="25" t="n">
        <f aca="false">SUM(D155,G155,J155)</f>
        <v>60</v>
      </c>
      <c r="N155" s="26" t="n">
        <f aca="false">IF(M155=0,"",O155/M155)</f>
        <v>269.87</v>
      </c>
      <c r="O155" s="27" t="n">
        <f aca="false">SUM(F155,I155,L155)</f>
        <v>16192.2</v>
      </c>
    </row>
    <row r="156" customFormat="false" ht="23.25" hidden="false" customHeight="true" outlineLevel="0" collapsed="false">
      <c r="A156" s="22" t="s">
        <v>58</v>
      </c>
      <c r="B156" s="21" t="s">
        <v>275</v>
      </c>
      <c r="C156" s="22" t="s">
        <v>276</v>
      </c>
      <c r="D156" s="23" t="n">
        <v>15</v>
      </c>
      <c r="E156" s="24" t="n">
        <v>314.85</v>
      </c>
      <c r="F156" s="23" t="n">
        <f aca="false">IF(OR(D156="",E156=""),"",D156*E156)</f>
        <v>4722.75</v>
      </c>
      <c r="G156" s="23"/>
      <c r="H156" s="24"/>
      <c r="I156" s="23" t="str">
        <f aca="false">IF(OR(G156="",H156=""),"",G156*H156)</f>
        <v/>
      </c>
      <c r="J156" s="23"/>
      <c r="K156" s="24"/>
      <c r="L156" s="23" t="str">
        <f aca="false">IF(OR(J156="",K156=""),"",J156*K156)</f>
        <v/>
      </c>
      <c r="M156" s="25" t="n">
        <f aca="false">SUM(D156,G156,J156)</f>
        <v>15</v>
      </c>
      <c r="N156" s="26" t="n">
        <f aca="false">IF(M156=0,"",O156/M156)</f>
        <v>314.85</v>
      </c>
      <c r="O156" s="27" t="n">
        <f aca="false">SUM(F156,I156,L156)</f>
        <v>4722.75</v>
      </c>
    </row>
    <row r="157" customFormat="false" ht="15" hidden="false" customHeight="true" outlineLevel="0" collapsed="false">
      <c r="A157" s="35"/>
      <c r="B157" s="35" t="s">
        <v>341</v>
      </c>
      <c r="C157" s="35"/>
      <c r="D157" s="36" t="n">
        <f aca="false">SUM(D153:D156)</f>
        <v>783</v>
      </c>
      <c r="E157" s="37"/>
      <c r="F157" s="36" t="n">
        <f aca="false">SUM(F153:F156)</f>
        <v>368462.97</v>
      </c>
      <c r="G157" s="36" t="n">
        <f aca="false">SUM(G153:G156)</f>
        <v>0</v>
      </c>
      <c r="H157" s="37"/>
      <c r="I157" s="36" t="n">
        <f aca="false">SUM(I153:I156)</f>
        <v>0</v>
      </c>
      <c r="J157" s="36" t="n">
        <f aca="false">SUM(J153:J156)</f>
        <v>0</v>
      </c>
      <c r="K157" s="37"/>
      <c r="L157" s="36" t="n">
        <f aca="false">SUM(L153:L156)</f>
        <v>0</v>
      </c>
      <c r="M157" s="36" t="n">
        <f aca="false">SUM(M153:M156)</f>
        <v>783</v>
      </c>
      <c r="N157" s="38" t="n">
        <f aca="false">IF(M157=0,"",O157/M157)</f>
        <v>470.578505747127</v>
      </c>
      <c r="O157" s="36" t="n">
        <f aca="false">SUM(O153:O156)</f>
        <v>368462.97</v>
      </c>
    </row>
    <row r="159" customFormat="false" ht="23.25" hidden="false" customHeight="true" outlineLevel="0" collapsed="false">
      <c r="A159" s="22" t="s">
        <v>63</v>
      </c>
      <c r="B159" s="21" t="s">
        <v>281</v>
      </c>
      <c r="C159" s="22" t="s">
        <v>282</v>
      </c>
      <c r="D159" s="23" t="n">
        <v>349</v>
      </c>
      <c r="E159" s="24" t="n">
        <v>266.45</v>
      </c>
      <c r="F159" s="23" t="n">
        <f aca="false">IF(OR(D159="",E159=""),"",D159*E159)</f>
        <v>92991.05</v>
      </c>
      <c r="G159" s="23"/>
      <c r="H159" s="24"/>
      <c r="I159" s="23" t="str">
        <f aca="false">IF(OR(G159="",H159=""),"",G159*H159)</f>
        <v/>
      </c>
      <c r="J159" s="23"/>
      <c r="K159" s="24"/>
      <c r="L159" s="23" t="str">
        <f aca="false">IF(OR(J159="",K159=""),"",J159*K159)</f>
        <v/>
      </c>
      <c r="M159" s="25" t="n">
        <f aca="false">SUM(D159,G159,J159)</f>
        <v>349</v>
      </c>
      <c r="N159" s="26" t="n">
        <f aca="false">IF(M159=0,"",O159/M159)</f>
        <v>266.45</v>
      </c>
      <c r="O159" s="27" t="n">
        <f aca="false">SUM(F159,I159,L159)</f>
        <v>92991.05</v>
      </c>
    </row>
    <row r="160" customFormat="false" ht="23.25" hidden="false" customHeight="true" outlineLevel="0" collapsed="false">
      <c r="A160" s="22" t="s">
        <v>63</v>
      </c>
      <c r="B160" s="21" t="s">
        <v>283</v>
      </c>
      <c r="C160" s="22" t="s">
        <v>284</v>
      </c>
      <c r="D160" s="23" t="n">
        <v>200</v>
      </c>
      <c r="E160" s="24" t="n">
        <v>602.18</v>
      </c>
      <c r="F160" s="23" t="n">
        <f aca="false">IF(OR(D160="",E160=""),"",D160*E160)</f>
        <v>120436</v>
      </c>
      <c r="G160" s="23"/>
      <c r="H160" s="24"/>
      <c r="I160" s="23" t="str">
        <f aca="false">IF(OR(G160="",H160=""),"",G160*H160)</f>
        <v/>
      </c>
      <c r="J160" s="23"/>
      <c r="K160" s="24"/>
      <c r="L160" s="23" t="str">
        <f aca="false">IF(OR(J160="",K160=""),"",J160*K160)</f>
        <v/>
      </c>
      <c r="M160" s="25" t="n">
        <f aca="false">SUM(D160,G160,J160)</f>
        <v>200</v>
      </c>
      <c r="N160" s="26" t="n">
        <f aca="false">IF(M160=0,"",O160/M160)</f>
        <v>602.18</v>
      </c>
      <c r="O160" s="27" t="n">
        <f aca="false">SUM(F160,I160,L160)</f>
        <v>120436</v>
      </c>
    </row>
    <row r="161" customFormat="false" ht="23.25" hidden="false" customHeight="true" outlineLevel="0" collapsed="false">
      <c r="A161" s="22" t="s">
        <v>63</v>
      </c>
      <c r="B161" s="21" t="s">
        <v>285</v>
      </c>
      <c r="C161" s="22" t="s">
        <v>286</v>
      </c>
      <c r="D161" s="23" t="n">
        <v>50</v>
      </c>
      <c r="E161" s="24" t="n">
        <v>447.64</v>
      </c>
      <c r="F161" s="23" t="n">
        <f aca="false">IF(OR(D161="",E161=""),"",D161*E161)</f>
        <v>22382</v>
      </c>
      <c r="G161" s="23"/>
      <c r="H161" s="24"/>
      <c r="I161" s="23" t="str">
        <f aca="false">IF(OR(G161="",H161=""),"",G161*H161)</f>
        <v/>
      </c>
      <c r="J161" s="23"/>
      <c r="K161" s="24"/>
      <c r="L161" s="23" t="str">
        <f aca="false">IF(OR(J161="",K161=""),"",J161*K161)</f>
        <v/>
      </c>
      <c r="M161" s="25" t="n">
        <f aca="false">SUM(D161,G161,J161)</f>
        <v>50</v>
      </c>
      <c r="N161" s="26" t="n">
        <f aca="false">IF(M161=0,"",O161/M161)</f>
        <v>447.64</v>
      </c>
      <c r="O161" s="27" t="n">
        <f aca="false">SUM(F161,I161,L161)</f>
        <v>22382</v>
      </c>
    </row>
    <row r="162" customFormat="false" ht="15" hidden="false" customHeight="true" outlineLevel="0" collapsed="false">
      <c r="A162" s="35"/>
      <c r="B162" s="35" t="s">
        <v>342</v>
      </c>
      <c r="C162" s="35"/>
      <c r="D162" s="36" t="n">
        <f aca="false">SUM(D159:D161)</f>
        <v>599</v>
      </c>
      <c r="E162" s="37"/>
      <c r="F162" s="36" t="n">
        <f aca="false">SUM(F159:F161)</f>
        <v>235809.05</v>
      </c>
      <c r="G162" s="36" t="n">
        <f aca="false">SUM(G159:G161)</f>
        <v>0</v>
      </c>
      <c r="H162" s="37"/>
      <c r="I162" s="36" t="n">
        <f aca="false">SUM(I159:I161)</f>
        <v>0</v>
      </c>
      <c r="J162" s="36" t="n">
        <f aca="false">SUM(J159:J161)</f>
        <v>0</v>
      </c>
      <c r="K162" s="37"/>
      <c r="L162" s="36" t="n">
        <f aca="false">SUM(L159:L161)</f>
        <v>0</v>
      </c>
      <c r="M162" s="36" t="n">
        <f aca="false">SUM(M159:M161)</f>
        <v>599</v>
      </c>
      <c r="N162" s="38" t="n">
        <f aca="false">IF(M162=0,"",O162/M162)</f>
        <v>393.671202003339</v>
      </c>
      <c r="O162" s="36" t="n">
        <f aca="false">SUM(O159:O161)</f>
        <v>235809.05</v>
      </c>
    </row>
    <row r="164" customFormat="false" ht="23.25" hidden="false" customHeight="true" outlineLevel="0" collapsed="false">
      <c r="A164" s="22" t="s">
        <v>61</v>
      </c>
      <c r="B164" s="21" t="s">
        <v>277</v>
      </c>
      <c r="C164" s="22" t="s">
        <v>278</v>
      </c>
      <c r="D164" s="23" t="n">
        <v>527</v>
      </c>
      <c r="E164" s="24" t="n">
        <v>549.71</v>
      </c>
      <c r="F164" s="23" t="n">
        <f aca="false">IF(OR(D164="",E164=""),"",D164*E164)</f>
        <v>289697.17</v>
      </c>
      <c r="G164" s="23"/>
      <c r="H164" s="24"/>
      <c r="I164" s="23" t="str">
        <f aca="false">IF(OR(G164="",H164=""),"",G164*H164)</f>
        <v/>
      </c>
      <c r="J164" s="23"/>
      <c r="K164" s="24"/>
      <c r="L164" s="23" t="str">
        <f aca="false">IF(OR(J164="",K164=""),"",J164*K164)</f>
        <v/>
      </c>
      <c r="M164" s="25" t="n">
        <f aca="false">SUM(D164,G164,J164)</f>
        <v>527</v>
      </c>
      <c r="N164" s="26" t="n">
        <f aca="false">IF(M164=0,"",O164/M164)</f>
        <v>549.71</v>
      </c>
      <c r="O164" s="27" t="n">
        <f aca="false">SUM(F164,I164,L164)</f>
        <v>289697.17</v>
      </c>
    </row>
    <row r="165" customFormat="false" ht="23.25" hidden="false" customHeight="true" outlineLevel="0" collapsed="false">
      <c r="A165" s="22" t="s">
        <v>61</v>
      </c>
      <c r="B165" s="21" t="s">
        <v>279</v>
      </c>
      <c r="C165" s="22" t="s">
        <v>280</v>
      </c>
      <c r="D165" s="23" t="n">
        <v>55</v>
      </c>
      <c r="E165" s="24" t="n">
        <v>1162.92</v>
      </c>
      <c r="F165" s="23" t="n">
        <f aca="false">IF(OR(D165="",E165=""),"",D165*E165)</f>
        <v>63960.6</v>
      </c>
      <c r="G165" s="23"/>
      <c r="H165" s="24"/>
      <c r="I165" s="23" t="str">
        <f aca="false">IF(OR(G165="",H165=""),"",G165*H165)</f>
        <v/>
      </c>
      <c r="J165" s="23"/>
      <c r="K165" s="24"/>
      <c r="L165" s="23" t="str">
        <f aca="false">IF(OR(J165="",K165=""),"",J165*K165)</f>
        <v/>
      </c>
      <c r="M165" s="25" t="n">
        <f aca="false">SUM(D165,G165,J165)</f>
        <v>55</v>
      </c>
      <c r="N165" s="26" t="n">
        <f aca="false">IF(M165=0,"",O165/M165)</f>
        <v>1162.92</v>
      </c>
      <c r="O165" s="27" t="n">
        <f aca="false">SUM(F165,I165,L165)</f>
        <v>63960.6</v>
      </c>
    </row>
    <row r="166" customFormat="false" ht="15" hidden="false" customHeight="true" outlineLevel="0" collapsed="false">
      <c r="A166" s="35"/>
      <c r="B166" s="35" t="s">
        <v>343</v>
      </c>
      <c r="C166" s="35"/>
      <c r="D166" s="36" t="n">
        <f aca="false">SUM(D164:D165)</f>
        <v>582</v>
      </c>
      <c r="E166" s="37"/>
      <c r="F166" s="36" t="n">
        <f aca="false">SUM(F164:F165)</f>
        <v>353657.77</v>
      </c>
      <c r="G166" s="36" t="n">
        <f aca="false">SUM(G164:G165)</f>
        <v>0</v>
      </c>
      <c r="H166" s="37"/>
      <c r="I166" s="36" t="n">
        <f aca="false">SUM(I164:I165)</f>
        <v>0</v>
      </c>
      <c r="J166" s="36" t="n">
        <f aca="false">SUM(J164:J165)</f>
        <v>0</v>
      </c>
      <c r="K166" s="37"/>
      <c r="L166" s="36" t="n">
        <f aca="false">SUM(L164:L165)</f>
        <v>0</v>
      </c>
      <c r="M166" s="36" t="n">
        <f aca="false">SUM(M164:M165)</f>
        <v>582</v>
      </c>
      <c r="N166" s="38" t="n">
        <f aca="false">IF(M166=0,"",O166/M166)</f>
        <v>607.65939862543</v>
      </c>
      <c r="O166" s="36" t="n">
        <f aca="false">SUM(O164:O165)</f>
        <v>353657.77</v>
      </c>
    </row>
    <row r="168" customFormat="false" ht="15" hidden="false" customHeight="true" outlineLevel="0" collapsed="false">
      <c r="A168" s="22" t="s">
        <v>60</v>
      </c>
      <c r="B168" s="21" t="s">
        <v>316</v>
      </c>
      <c r="C168" s="22"/>
      <c r="D168" s="23"/>
      <c r="E168" s="24"/>
      <c r="F168" s="23" t="str">
        <f aca="false">IF(OR(D168="",E168=""),"",D168*E168)</f>
        <v/>
      </c>
      <c r="G168" s="23" t="n">
        <v>528</v>
      </c>
      <c r="H168" s="24" t="n">
        <v>684.63</v>
      </c>
      <c r="I168" s="23" t="n">
        <f aca="false">IF(OR(G168="",H168=""),"",G168*H168)</f>
        <v>361484.64</v>
      </c>
      <c r="J168" s="23"/>
      <c r="K168" s="24"/>
      <c r="L168" s="23" t="str">
        <f aca="false">IF(OR(J168="",K168=""),"",J168*K168)</f>
        <v/>
      </c>
      <c r="M168" s="25" t="n">
        <f aca="false">SUM(D168,G168,J168)</f>
        <v>528</v>
      </c>
      <c r="N168" s="26" t="n">
        <f aca="false">IF(M168=0,"",O168/M168)</f>
        <v>684.63</v>
      </c>
      <c r="O168" s="27" t="n">
        <f aca="false">SUM(F168,I168,L168)</f>
        <v>361484.64</v>
      </c>
    </row>
    <row r="169" customFormat="false" ht="15" hidden="false" customHeight="true" outlineLevel="0" collapsed="false">
      <c r="A169" s="35"/>
      <c r="B169" s="35" t="s">
        <v>344</v>
      </c>
      <c r="C169" s="35"/>
      <c r="D169" s="36" t="n">
        <f aca="false">SUM(D168:D168)</f>
        <v>0</v>
      </c>
      <c r="E169" s="37"/>
      <c r="F169" s="36" t="n">
        <f aca="false">SUM(F168:F168)</f>
        <v>0</v>
      </c>
      <c r="G169" s="36" t="n">
        <f aca="false">SUM(G168:G168)</f>
        <v>528</v>
      </c>
      <c r="H169" s="37"/>
      <c r="I169" s="36" t="n">
        <f aca="false">SUM(I168:I168)</f>
        <v>361484.64</v>
      </c>
      <c r="J169" s="36" t="n">
        <f aca="false">SUM(J168:J168)</f>
        <v>0</v>
      </c>
      <c r="K169" s="37"/>
      <c r="L169" s="36" t="n">
        <f aca="false">SUM(L168:L168)</f>
        <v>0</v>
      </c>
      <c r="M169" s="36" t="n">
        <f aca="false">SUM(M168:M168)</f>
        <v>528</v>
      </c>
      <c r="N169" s="38" t="n">
        <f aca="false">IF(M169=0,"",O169/M169)</f>
        <v>684.63</v>
      </c>
      <c r="O169" s="36" t="n">
        <f aca="false">SUM(O168:O168)</f>
        <v>361484.64</v>
      </c>
    </row>
    <row r="171" customFormat="false" ht="23.25" hidden="false" customHeight="true" outlineLevel="0" collapsed="false">
      <c r="A171" s="22" t="s">
        <v>69</v>
      </c>
      <c r="B171" s="21" t="s">
        <v>293</v>
      </c>
      <c r="C171" s="22" t="s">
        <v>294</v>
      </c>
      <c r="D171" s="23" t="n">
        <v>410</v>
      </c>
      <c r="E171" s="24" t="n">
        <v>118.97</v>
      </c>
      <c r="F171" s="23" t="n">
        <f aca="false">IF(OR(D171="",E171=""),"",D171*E171)</f>
        <v>48777.7</v>
      </c>
      <c r="G171" s="23"/>
      <c r="H171" s="24"/>
      <c r="I171" s="23" t="str">
        <f aca="false">IF(OR(G171="",H171=""),"",G171*H171)</f>
        <v/>
      </c>
      <c r="J171" s="23"/>
      <c r="K171" s="24"/>
      <c r="L171" s="23" t="str">
        <f aca="false">IF(OR(J171="",K171=""),"",J171*K171)</f>
        <v/>
      </c>
      <c r="M171" s="25" t="n">
        <f aca="false">SUM(D171,G171,J171)</f>
        <v>410</v>
      </c>
      <c r="N171" s="26" t="n">
        <f aca="false">IF(M171=0,"",O171/M171)</f>
        <v>118.97</v>
      </c>
      <c r="O171" s="27" t="n">
        <f aca="false">SUM(F171,I171,L171)</f>
        <v>48777.7</v>
      </c>
    </row>
    <row r="172" customFormat="false" ht="15" hidden="false" customHeight="true" outlineLevel="0" collapsed="false">
      <c r="A172" s="35"/>
      <c r="B172" s="35" t="s">
        <v>345</v>
      </c>
      <c r="C172" s="35"/>
      <c r="D172" s="36" t="n">
        <f aca="false">SUM(D171:D171)</f>
        <v>410</v>
      </c>
      <c r="E172" s="37"/>
      <c r="F172" s="36" t="n">
        <f aca="false">SUM(F171:F171)</f>
        <v>48777.7</v>
      </c>
      <c r="G172" s="36" t="n">
        <f aca="false">SUM(G171:G171)</f>
        <v>0</v>
      </c>
      <c r="H172" s="37"/>
      <c r="I172" s="36" t="n">
        <f aca="false">SUM(I171:I171)</f>
        <v>0</v>
      </c>
      <c r="J172" s="36" t="n">
        <f aca="false">SUM(J171:J171)</f>
        <v>0</v>
      </c>
      <c r="K172" s="37"/>
      <c r="L172" s="36" t="n">
        <f aca="false">SUM(L171:L171)</f>
        <v>0</v>
      </c>
      <c r="M172" s="36" t="n">
        <f aca="false">SUM(M171:M171)</f>
        <v>410</v>
      </c>
      <c r="N172" s="38" t="n">
        <f aca="false">IF(M172=0,"",O172/M172)</f>
        <v>118.97</v>
      </c>
      <c r="O172" s="36" t="n">
        <f aca="false">SUM(O171:O171)</f>
        <v>48777.7</v>
      </c>
    </row>
    <row r="174" customFormat="false" ht="23.25" hidden="false" customHeight="true" outlineLevel="0" collapsed="false">
      <c r="A174" s="22" t="s">
        <v>65</v>
      </c>
      <c r="B174" s="21" t="s">
        <v>287</v>
      </c>
      <c r="C174" s="22" t="s">
        <v>288</v>
      </c>
      <c r="D174" s="23" t="n">
        <v>361</v>
      </c>
      <c r="E174" s="24" t="n">
        <v>343.82</v>
      </c>
      <c r="F174" s="23" t="n">
        <f aca="false">IF(OR(D174="",E174=""),"",D174*E174)</f>
        <v>124119.02</v>
      </c>
      <c r="G174" s="23"/>
      <c r="H174" s="24"/>
      <c r="I174" s="23" t="str">
        <f aca="false">IF(OR(G174="",H174=""),"",G174*H174)</f>
        <v/>
      </c>
      <c r="J174" s="23"/>
      <c r="K174" s="24"/>
      <c r="L174" s="23" t="str">
        <f aca="false">IF(OR(J174="",K174=""),"",J174*K174)</f>
        <v/>
      </c>
      <c r="M174" s="25" t="n">
        <f aca="false">SUM(D174,G174,J174)</f>
        <v>361</v>
      </c>
      <c r="N174" s="26" t="n">
        <f aca="false">IF(M174=0,"",O174/M174)</f>
        <v>343.82</v>
      </c>
      <c r="O174" s="27" t="n">
        <f aca="false">SUM(F174,I174,L174)</f>
        <v>124119.02</v>
      </c>
    </row>
    <row r="175" customFormat="false" ht="15" hidden="false" customHeight="true" outlineLevel="0" collapsed="false">
      <c r="A175" s="35"/>
      <c r="B175" s="35" t="s">
        <v>346</v>
      </c>
      <c r="C175" s="35"/>
      <c r="D175" s="36" t="n">
        <f aca="false">SUM(D174:D174)</f>
        <v>361</v>
      </c>
      <c r="E175" s="37"/>
      <c r="F175" s="36" t="n">
        <f aca="false">SUM(F174:F174)</f>
        <v>124119.02</v>
      </c>
      <c r="G175" s="36" t="n">
        <f aca="false">SUM(G174:G174)</f>
        <v>0</v>
      </c>
      <c r="H175" s="37"/>
      <c r="I175" s="36" t="n">
        <f aca="false">SUM(I174:I174)</f>
        <v>0</v>
      </c>
      <c r="J175" s="36" t="n">
        <f aca="false">SUM(J174:J174)</f>
        <v>0</v>
      </c>
      <c r="K175" s="37"/>
      <c r="L175" s="36" t="n">
        <f aca="false">SUM(L174:L174)</f>
        <v>0</v>
      </c>
      <c r="M175" s="36" t="n">
        <f aca="false">SUM(M174:M174)</f>
        <v>361</v>
      </c>
      <c r="N175" s="38" t="n">
        <f aca="false">IF(M175=0,"",O175/M175)</f>
        <v>343.82</v>
      </c>
      <c r="O175" s="36" t="n">
        <f aca="false">SUM(O174:O174)</f>
        <v>124119.02</v>
      </c>
    </row>
    <row r="177" customFormat="false" ht="15" hidden="false" customHeight="true" outlineLevel="0" collapsed="false">
      <c r="A177" s="22" t="s">
        <v>71</v>
      </c>
      <c r="B177" s="21" t="s">
        <v>295</v>
      </c>
      <c r="C177" s="22" t="s">
        <v>296</v>
      </c>
      <c r="D177" s="23" t="n">
        <v>235</v>
      </c>
      <c r="E177" s="24" t="n">
        <v>130.86</v>
      </c>
      <c r="F177" s="23" t="n">
        <f aca="false">IF(OR(D177="",E177=""),"",D177*E177)</f>
        <v>30752.1</v>
      </c>
      <c r="G177" s="23"/>
      <c r="H177" s="24"/>
      <c r="I177" s="23" t="str">
        <f aca="false">IF(OR(G177="",H177=""),"",G177*H177)</f>
        <v/>
      </c>
      <c r="J177" s="23"/>
      <c r="K177" s="24"/>
      <c r="L177" s="23" t="str">
        <f aca="false">IF(OR(J177="",K177=""),"",J177*K177)</f>
        <v/>
      </c>
      <c r="M177" s="25" t="n">
        <f aca="false">SUM(D177,G177,J177)</f>
        <v>235</v>
      </c>
      <c r="N177" s="26" t="n">
        <f aca="false">IF(M177=0,"",O177/M177)</f>
        <v>130.86</v>
      </c>
      <c r="O177" s="27" t="n">
        <f aca="false">SUM(F177,I177,L177)</f>
        <v>30752.1</v>
      </c>
    </row>
    <row r="178" customFormat="false" ht="15" hidden="false" customHeight="true" outlineLevel="0" collapsed="false">
      <c r="A178" s="35"/>
      <c r="B178" s="35" t="s">
        <v>347</v>
      </c>
      <c r="C178" s="35"/>
      <c r="D178" s="36" t="n">
        <f aca="false">SUM(D177:D177)</f>
        <v>235</v>
      </c>
      <c r="E178" s="37"/>
      <c r="F178" s="36" t="n">
        <f aca="false">SUM(F177:F177)</f>
        <v>30752.1</v>
      </c>
      <c r="G178" s="36" t="n">
        <f aca="false">SUM(G177:G177)</f>
        <v>0</v>
      </c>
      <c r="H178" s="37"/>
      <c r="I178" s="36" t="n">
        <f aca="false">SUM(I177:I177)</f>
        <v>0</v>
      </c>
      <c r="J178" s="36" t="n">
        <f aca="false">SUM(J177:J177)</f>
        <v>0</v>
      </c>
      <c r="K178" s="37"/>
      <c r="L178" s="36" t="n">
        <f aca="false">SUM(L177:L177)</f>
        <v>0</v>
      </c>
      <c r="M178" s="36" t="n">
        <f aca="false">SUM(M177:M177)</f>
        <v>235</v>
      </c>
      <c r="N178" s="38" t="n">
        <f aca="false">IF(M178=0,"",O178/M178)</f>
        <v>130.86</v>
      </c>
      <c r="O178" s="36" t="n">
        <f aca="false">SUM(O177:O177)</f>
        <v>30752.1</v>
      </c>
    </row>
    <row r="180" customFormat="false" ht="23.25" hidden="false" customHeight="true" outlineLevel="0" collapsed="false">
      <c r="A180" s="22" t="s">
        <v>67</v>
      </c>
      <c r="B180" s="21" t="s">
        <v>289</v>
      </c>
      <c r="C180" s="22" t="s">
        <v>290</v>
      </c>
      <c r="D180" s="23" t="n">
        <v>116</v>
      </c>
      <c r="E180" s="24" t="n">
        <v>722.04</v>
      </c>
      <c r="F180" s="23" t="n">
        <f aca="false">IF(OR(D180="",E180=""),"",D180*E180)</f>
        <v>83756.64</v>
      </c>
      <c r="G180" s="23"/>
      <c r="H180" s="24"/>
      <c r="I180" s="23" t="str">
        <f aca="false">IF(OR(G180="",H180=""),"",G180*H180)</f>
        <v/>
      </c>
      <c r="J180" s="23"/>
      <c r="K180" s="24"/>
      <c r="L180" s="23" t="str">
        <f aca="false">IF(OR(J180="",K180=""),"",J180*K180)</f>
        <v/>
      </c>
      <c r="M180" s="25" t="n">
        <f aca="false">SUM(D180,G180,J180)</f>
        <v>116</v>
      </c>
      <c r="N180" s="26" t="n">
        <f aca="false">IF(M180=0,"",O180/M180)</f>
        <v>722.04</v>
      </c>
      <c r="O180" s="27" t="n">
        <f aca="false">SUM(F180,I180,L180)</f>
        <v>83756.64</v>
      </c>
    </row>
    <row r="181" customFormat="false" ht="23.25" hidden="false" customHeight="true" outlineLevel="0" collapsed="false">
      <c r="A181" s="22" t="s">
        <v>67</v>
      </c>
      <c r="B181" s="21" t="s">
        <v>291</v>
      </c>
      <c r="C181" s="22" t="s">
        <v>292</v>
      </c>
      <c r="D181" s="23" t="n">
        <v>31</v>
      </c>
      <c r="E181" s="24" t="n">
        <v>930.04</v>
      </c>
      <c r="F181" s="23" t="n">
        <f aca="false">IF(OR(D181="",E181=""),"",D181*E181)</f>
        <v>28831.24</v>
      </c>
      <c r="G181" s="23"/>
      <c r="H181" s="24"/>
      <c r="I181" s="23" t="str">
        <f aca="false">IF(OR(G181="",H181=""),"",G181*H181)</f>
        <v/>
      </c>
      <c r="J181" s="23"/>
      <c r="K181" s="24"/>
      <c r="L181" s="23" t="str">
        <f aca="false">IF(OR(J181="",K181=""),"",J181*K181)</f>
        <v/>
      </c>
      <c r="M181" s="25" t="n">
        <f aca="false">SUM(D181,G181,J181)</f>
        <v>31</v>
      </c>
      <c r="N181" s="26" t="n">
        <f aca="false">IF(M181=0,"",O181/M181)</f>
        <v>930.04</v>
      </c>
      <c r="O181" s="27" t="n">
        <f aca="false">SUM(F181,I181,L181)</f>
        <v>28831.24</v>
      </c>
    </row>
    <row r="182" customFormat="false" ht="15" hidden="false" customHeight="true" outlineLevel="0" collapsed="false">
      <c r="A182" s="35"/>
      <c r="B182" s="35" t="s">
        <v>348</v>
      </c>
      <c r="C182" s="35"/>
      <c r="D182" s="36" t="n">
        <f aca="false">SUM(D180:D181)</f>
        <v>147</v>
      </c>
      <c r="E182" s="37"/>
      <c r="F182" s="36" t="n">
        <f aca="false">SUM(F180:F181)</f>
        <v>112587.88</v>
      </c>
      <c r="G182" s="36" t="n">
        <f aca="false">SUM(G180:G181)</f>
        <v>0</v>
      </c>
      <c r="H182" s="37"/>
      <c r="I182" s="36" t="n">
        <f aca="false">SUM(I180:I181)</f>
        <v>0</v>
      </c>
      <c r="J182" s="36" t="n">
        <f aca="false">SUM(J180:J181)</f>
        <v>0</v>
      </c>
      <c r="K182" s="37"/>
      <c r="L182" s="36" t="n">
        <f aca="false">SUM(L180:L181)</f>
        <v>0</v>
      </c>
      <c r="M182" s="36" t="n">
        <f aca="false">SUM(M180:M181)</f>
        <v>147</v>
      </c>
      <c r="N182" s="38" t="n">
        <f aca="false">IF(M182=0,"",O182/M182)</f>
        <v>765.903945578231</v>
      </c>
      <c r="O182" s="36" t="n">
        <f aca="false">SUM(O180:O181)</f>
        <v>112587.88</v>
      </c>
    </row>
    <row r="184" customFormat="false" ht="23.25" hidden="false" customHeight="true" outlineLevel="0" collapsed="false">
      <c r="A184" s="22" t="s">
        <v>77</v>
      </c>
      <c r="B184" s="21" t="s">
        <v>307</v>
      </c>
      <c r="C184" s="22" t="s">
        <v>308</v>
      </c>
      <c r="D184" s="23" t="n">
        <v>109</v>
      </c>
      <c r="E184" s="24" t="n">
        <v>736</v>
      </c>
      <c r="F184" s="23" t="n">
        <f aca="false">IF(OR(D184="",E184=""),"",D184*E184)</f>
        <v>80224</v>
      </c>
      <c r="G184" s="23"/>
      <c r="H184" s="24"/>
      <c r="I184" s="23" t="str">
        <f aca="false">IF(OR(G184="",H184=""),"",G184*H184)</f>
        <v/>
      </c>
      <c r="J184" s="23"/>
      <c r="K184" s="24"/>
      <c r="L184" s="23" t="str">
        <f aca="false">IF(OR(J184="",K184=""),"",J184*K184)</f>
        <v/>
      </c>
      <c r="M184" s="25" t="n">
        <f aca="false">SUM(D184,G184,J184)</f>
        <v>109</v>
      </c>
      <c r="N184" s="26" t="n">
        <f aca="false">IF(M184=0,"",O184/M184)</f>
        <v>736</v>
      </c>
      <c r="O184" s="27" t="n">
        <f aca="false">SUM(F184,I184,L184)</f>
        <v>80224</v>
      </c>
    </row>
    <row r="185" customFormat="false" ht="15" hidden="false" customHeight="true" outlineLevel="0" collapsed="false">
      <c r="A185" s="35"/>
      <c r="B185" s="35" t="s">
        <v>349</v>
      </c>
      <c r="C185" s="35"/>
      <c r="D185" s="36" t="n">
        <f aca="false">SUM(D184:D184)</f>
        <v>109</v>
      </c>
      <c r="E185" s="37"/>
      <c r="F185" s="36" t="n">
        <f aca="false">SUM(F184:F184)</f>
        <v>80224</v>
      </c>
      <c r="G185" s="36" t="n">
        <f aca="false">SUM(G184:G184)</f>
        <v>0</v>
      </c>
      <c r="H185" s="37"/>
      <c r="I185" s="36" t="n">
        <f aca="false">SUM(I184:I184)</f>
        <v>0</v>
      </c>
      <c r="J185" s="36" t="n">
        <f aca="false">SUM(J184:J184)</f>
        <v>0</v>
      </c>
      <c r="K185" s="37"/>
      <c r="L185" s="36" t="n">
        <f aca="false">SUM(L184:L184)</f>
        <v>0</v>
      </c>
      <c r="M185" s="36" t="n">
        <f aca="false">SUM(M184:M184)</f>
        <v>109</v>
      </c>
      <c r="N185" s="38" t="n">
        <f aca="false">IF(M185=0,"",O185/M185)</f>
        <v>736</v>
      </c>
      <c r="O185" s="36" t="n">
        <f aca="false">SUM(O184:O184)</f>
        <v>80224</v>
      </c>
    </row>
    <row r="187" customFormat="false" ht="23.25" hidden="false" customHeight="true" outlineLevel="0" collapsed="false">
      <c r="A187" s="22" t="s">
        <v>75</v>
      </c>
      <c r="B187" s="21" t="s">
        <v>305</v>
      </c>
      <c r="C187" s="22" t="s">
        <v>306</v>
      </c>
      <c r="D187" s="23" t="n">
        <v>37</v>
      </c>
      <c r="E187" s="24" t="n">
        <v>700</v>
      </c>
      <c r="F187" s="23" t="n">
        <f aca="false">IF(OR(D187="",E187=""),"",D187*E187)</f>
        <v>25900</v>
      </c>
      <c r="G187" s="23"/>
      <c r="H187" s="24"/>
      <c r="I187" s="23" t="str">
        <f aca="false">IF(OR(G187="",H187=""),"",G187*H187)</f>
        <v/>
      </c>
      <c r="J187" s="23"/>
      <c r="K187" s="24"/>
      <c r="L187" s="23" t="str">
        <f aca="false">IF(OR(J187="",K187=""),"",J187*K187)</f>
        <v/>
      </c>
      <c r="M187" s="25" t="n">
        <f aca="false">SUM(D187,G187,J187)</f>
        <v>37</v>
      </c>
      <c r="N187" s="26" t="n">
        <f aca="false">IF(M187=0,"",O187/M187)</f>
        <v>700</v>
      </c>
      <c r="O187" s="27" t="n">
        <f aca="false">SUM(F187,I187,L187)</f>
        <v>25900</v>
      </c>
    </row>
    <row r="188" customFormat="false" ht="15" hidden="false" customHeight="true" outlineLevel="0" collapsed="false">
      <c r="A188" s="35"/>
      <c r="B188" s="35" t="s">
        <v>350</v>
      </c>
      <c r="C188" s="35"/>
      <c r="D188" s="36" t="n">
        <f aca="false">SUM(D187:D187)</f>
        <v>37</v>
      </c>
      <c r="E188" s="37"/>
      <c r="F188" s="36" t="n">
        <f aca="false">SUM(F187:F187)</f>
        <v>25900</v>
      </c>
      <c r="G188" s="36" t="n">
        <f aca="false">SUM(G187:G187)</f>
        <v>0</v>
      </c>
      <c r="H188" s="37"/>
      <c r="I188" s="36" t="n">
        <f aca="false">SUM(I187:I187)</f>
        <v>0</v>
      </c>
      <c r="J188" s="36" t="n">
        <f aca="false">SUM(J187:J187)</f>
        <v>0</v>
      </c>
      <c r="K188" s="37"/>
      <c r="L188" s="36" t="n">
        <f aca="false">SUM(L187:L187)</f>
        <v>0</v>
      </c>
      <c r="M188" s="36" t="n">
        <f aca="false">SUM(M187:M187)</f>
        <v>37</v>
      </c>
      <c r="N188" s="38" t="n">
        <f aca="false">IF(M188=0,"",O188/M188)</f>
        <v>700</v>
      </c>
      <c r="O188" s="36" t="n">
        <f aca="false">SUM(O187:O187)</f>
        <v>25900</v>
      </c>
    </row>
    <row r="190" customFormat="false" ht="23.25" hidden="false" customHeight="true" outlineLevel="0" collapsed="false">
      <c r="A190" s="22" t="s">
        <v>73</v>
      </c>
      <c r="B190" s="21" t="s">
        <v>303</v>
      </c>
      <c r="C190" s="22" t="s">
        <v>304</v>
      </c>
      <c r="D190" s="23" t="n">
        <v>9</v>
      </c>
      <c r="E190" s="24" t="n">
        <v>142.13</v>
      </c>
      <c r="F190" s="23" t="n">
        <f aca="false">IF(OR(D190="",E190=""),"",D190*E190)</f>
        <v>1279.17</v>
      </c>
      <c r="G190" s="23"/>
      <c r="H190" s="24"/>
      <c r="I190" s="23" t="str">
        <f aca="false">IF(OR(G190="",H190=""),"",G190*H190)</f>
        <v/>
      </c>
      <c r="J190" s="23"/>
      <c r="K190" s="24"/>
      <c r="L190" s="23" t="str">
        <f aca="false">IF(OR(J190="",K190=""),"",J190*K190)</f>
        <v/>
      </c>
      <c r="M190" s="25" t="n">
        <f aca="false">SUM(D190,G190,J190)</f>
        <v>9</v>
      </c>
      <c r="N190" s="26" t="n">
        <f aca="false">IF(M190=0,"",O190/M190)</f>
        <v>142.13</v>
      </c>
      <c r="O190" s="27" t="n">
        <f aca="false">SUM(F190,I190,L190)</f>
        <v>1279.17</v>
      </c>
    </row>
    <row r="191" customFormat="false" ht="15" hidden="false" customHeight="true" outlineLevel="0" collapsed="false">
      <c r="A191" s="35"/>
      <c r="B191" s="35" t="s">
        <v>351</v>
      </c>
      <c r="C191" s="35"/>
      <c r="D191" s="36" t="n">
        <f aca="false">SUM(D190:D190)</f>
        <v>9</v>
      </c>
      <c r="E191" s="37"/>
      <c r="F191" s="36" t="n">
        <f aca="false">SUM(F190:F190)</f>
        <v>1279.17</v>
      </c>
      <c r="G191" s="36" t="n">
        <f aca="false">SUM(G190:G190)</f>
        <v>0</v>
      </c>
      <c r="H191" s="37"/>
      <c r="I191" s="36" t="n">
        <f aca="false">SUM(I190:I190)</f>
        <v>0</v>
      </c>
      <c r="J191" s="36" t="n">
        <f aca="false">SUM(J190:J190)</f>
        <v>0</v>
      </c>
      <c r="K191" s="37"/>
      <c r="L191" s="36" t="n">
        <f aca="false">SUM(L190:L190)</f>
        <v>0</v>
      </c>
      <c r="M191" s="36" t="n">
        <f aca="false">SUM(M190:M190)</f>
        <v>9</v>
      </c>
      <c r="N191" s="38" t="n">
        <f aca="false">IF(M191=0,"",O191/M191)</f>
        <v>142.13</v>
      </c>
      <c r="O191" s="36" t="n">
        <f aca="false">SUM(O190:O190)</f>
        <v>1279.17</v>
      </c>
    </row>
    <row r="193" customFormat="false" ht="15" hidden="false" customHeight="true" outlineLevel="0" collapsed="false">
      <c r="A193" s="39"/>
      <c r="B193" s="39" t="s">
        <v>352</v>
      </c>
      <c r="C193" s="39"/>
      <c r="D193" s="40" t="n">
        <f aca="false">D29+D44+D56+D66+D85+D90+D99+D117+D126+D132+D136+D144+D148+D151+D157+D162+D166+D169+D172+D175+D178+D182+D185+D188+D191</f>
        <v>101850</v>
      </c>
      <c r="E193" s="41"/>
      <c r="F193" s="40" t="n">
        <f aca="false">F29+F44+F56+F66+F85+F90+F99+F117+F126+F132+F136+F144+F148+F151+F157+F162+F166+F169+F172+F175+F178+F182+F185+F188+F191</f>
        <v>46500654.65</v>
      </c>
      <c r="G193" s="40" t="n">
        <f aca="false">G29+G44+G56+G66+G85+G90+G99+G117+G126+G132+G136+G144+G148+G151+G157+G162+G166+G169+G172+G175+G178+G182+G185+G188+G191</f>
        <v>77234</v>
      </c>
      <c r="H193" s="41"/>
      <c r="I193" s="40" t="n">
        <f aca="false">I29+I44+I56+I66+I85+I90+I99+I117+I126+I132+I136+I144+I148+I151+I157+I162+I166+I169+I172+I175+I178+I182+I185+I188+I191</f>
        <v>48154703.52</v>
      </c>
      <c r="J193" s="40" t="n">
        <f aca="false">J29+J44+J56+J66+J85+J90+J99+J117+J126+J132+J136+J144+J148+J151+J157+J162+J166+J169+J172+J175+J178+J182+J185+J188+J191</f>
        <v>17700</v>
      </c>
      <c r="K193" s="41"/>
      <c r="L193" s="40" t="n">
        <f aca="false">L29+L44+L56+L66+L85+L90+L99+L117+L126+L132+L136+L144+L148+L151+L157+L162+L166+L169+L172+L175+L178+L182+L185+L188+L191</f>
        <v>11853423</v>
      </c>
      <c r="M193" s="40" t="n">
        <f aca="false">M29+M44+M56+M66+M85+M90+M99+M117+M126+M132+M136+M144+M148+M151+M157+M162+M166+M169+M172+M175+M178+M182+M185+M188+M191</f>
        <v>196784</v>
      </c>
      <c r="N193" s="42" t="n">
        <f aca="false">O193/M193</f>
        <v>541.247160185787</v>
      </c>
      <c r="O193" s="40" t="n">
        <f aca="false">O29+O44+O56+O66+O85+O90+O99+O117+O126+O132+O136+O144+O148+O151+O157+O162+O166+O169+O172+O175+O178+O182+O185+O188+O191</f>
        <v>106508781.17</v>
      </c>
    </row>
    <row r="195" customFormat="false" ht="15" hidden="false" customHeight="true" outlineLevel="0" collapsed="false">
      <c r="B195" s="9" t="s">
        <v>353</v>
      </c>
    </row>
    <row r="196" customFormat="false" ht="15" hidden="false" customHeight="true" outlineLevel="0" collapsed="false">
      <c r="B196" s="9" t="s">
        <v>354</v>
      </c>
    </row>
    <row r="197" customFormat="false" ht="15" hidden="false" customHeight="true" outlineLevel="0" collapsed="false">
      <c r="B197" s="9" t="s">
        <v>355</v>
      </c>
    </row>
    <row r="198" customFormat="false" ht="15" hidden="false" customHeight="true" outlineLevel="0" collapsed="false">
      <c r="B198" s="9"/>
    </row>
    <row r="199" customFormat="false" ht="15" hidden="false" customHeight="true" outlineLevel="0" collapsed="false">
      <c r="B199" s="9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6"/>
    <col collapsed="false" customWidth="true" hidden="false" outlineLevel="0" max="9" min="9" style="1" width="17"/>
    <col collapsed="false" customWidth="true" hidden="false" outlineLevel="0" max="10" min="10" style="1" width="15"/>
    <col collapsed="false" customWidth="true" hidden="false" outlineLevel="0" max="11" min="11" style="1" width="16"/>
  </cols>
  <sheetData>
    <row r="1" customFormat="false" ht="48" hidden="false" customHeight="true" outlineLevel="0" collapsed="false">
      <c r="A1" s="43" t="s">
        <v>22</v>
      </c>
      <c r="B1" s="43" t="s">
        <v>23</v>
      </c>
      <c r="C1" s="43" t="s">
        <v>4</v>
      </c>
      <c r="D1" s="44" t="s">
        <v>5</v>
      </c>
      <c r="E1" s="44" t="s">
        <v>6</v>
      </c>
      <c r="F1" s="45" t="s">
        <v>7</v>
      </c>
      <c r="G1" s="45" t="s">
        <v>357</v>
      </c>
      <c r="H1" s="43" t="s">
        <v>358</v>
      </c>
      <c r="I1" s="44" t="s">
        <v>359</v>
      </c>
      <c r="J1" s="44" t="s">
        <v>360</v>
      </c>
      <c r="K1" s="45" t="s">
        <v>361</v>
      </c>
    </row>
    <row r="2" customFormat="false" ht="15" hidden="false" customHeight="true" outlineLevel="0" collapsed="false">
      <c r="A2" s="13" t="s">
        <v>32</v>
      </c>
      <c r="B2" s="13" t="n">
        <v>27</v>
      </c>
      <c r="C2" s="14" t="n">
        <v>21820</v>
      </c>
      <c r="D2" s="14" t="n">
        <v>35071</v>
      </c>
      <c r="E2" s="14" t="n">
        <v>15000</v>
      </c>
      <c r="F2" s="4" t="n">
        <f aca="false">C2+D2+E2</f>
        <v>71891</v>
      </c>
      <c r="G2" s="17" t="n">
        <f aca="false">F2/$F$27</f>
        <v>0.365329498333198</v>
      </c>
      <c r="H2" s="14" t="n">
        <v>13087532</v>
      </c>
      <c r="I2" s="14" t="n">
        <v>24919509</v>
      </c>
      <c r="J2" s="14" t="n">
        <v>11048850</v>
      </c>
      <c r="K2" s="4" t="n">
        <f aca="false">H2+I2+J2</f>
        <v>49055891</v>
      </c>
    </row>
    <row r="3" customFormat="false" ht="15" hidden="false" customHeight="true" outlineLevel="0" collapsed="false">
      <c r="A3" s="13" t="s">
        <v>34</v>
      </c>
      <c r="B3" s="13" t="n">
        <v>13</v>
      </c>
      <c r="C3" s="14" t="n">
        <v>9805</v>
      </c>
      <c r="D3" s="14" t="n">
        <v>28400</v>
      </c>
      <c r="E3" s="14"/>
      <c r="F3" s="4" t="n">
        <f aca="false">C3+D3+E3</f>
        <v>38205</v>
      </c>
      <c r="G3" s="17" t="n">
        <f aca="false">F3/$F$27</f>
        <v>0.194146881860314</v>
      </c>
      <c r="H3" s="14" t="n">
        <v>5287657</v>
      </c>
      <c r="I3" s="14" t="n">
        <v>15150135</v>
      </c>
      <c r="J3" s="14"/>
      <c r="K3" s="4" t="n">
        <f aca="false">H3+I3+J3</f>
        <v>20437792</v>
      </c>
    </row>
    <row r="4" customFormat="false" ht="15" hidden="false" customHeight="true" outlineLevel="0" collapsed="false">
      <c r="A4" s="13" t="s">
        <v>36</v>
      </c>
      <c r="B4" s="13" t="n">
        <v>10</v>
      </c>
      <c r="C4" s="14" t="n">
        <v>18817</v>
      </c>
      <c r="D4" s="14"/>
      <c r="E4" s="14"/>
      <c r="F4" s="4" t="n">
        <f aca="false">C4+D4+E4</f>
        <v>18817</v>
      </c>
      <c r="G4" s="17" t="n">
        <f aca="false">F4/$F$27</f>
        <v>0.0956226115944386</v>
      </c>
      <c r="H4" s="14" t="n">
        <v>7730271</v>
      </c>
      <c r="I4" s="14"/>
      <c r="J4" s="14"/>
      <c r="K4" s="4" t="n">
        <f aca="false">H4+I4+J4</f>
        <v>7730271</v>
      </c>
    </row>
    <row r="5" customFormat="false" ht="15" hidden="false" customHeight="true" outlineLevel="0" collapsed="false">
      <c r="A5" s="13" t="s">
        <v>40</v>
      </c>
      <c r="B5" s="13" t="n">
        <v>8</v>
      </c>
      <c r="C5" s="14" t="n">
        <v>14799</v>
      </c>
      <c r="D5" s="14"/>
      <c r="E5" s="14"/>
      <c r="F5" s="4" t="n">
        <f aca="false">C5+D5+E5</f>
        <v>14799</v>
      </c>
      <c r="G5" s="17" t="n">
        <f aca="false">F5/$F$27</f>
        <v>0.0752042849012115</v>
      </c>
      <c r="H5" s="14" t="n">
        <v>3616791</v>
      </c>
      <c r="I5" s="14"/>
      <c r="J5" s="14"/>
      <c r="K5" s="4" t="n">
        <f aca="false">H5+I5+J5</f>
        <v>3616791</v>
      </c>
    </row>
    <row r="6" customFormat="false" ht="15" hidden="false" customHeight="true" outlineLevel="0" collapsed="false">
      <c r="A6" s="13" t="s">
        <v>47</v>
      </c>
      <c r="B6" s="13" t="n">
        <v>17</v>
      </c>
      <c r="C6" s="14" t="n">
        <v>11168</v>
      </c>
      <c r="D6" s="14"/>
      <c r="E6" s="14" t="n">
        <v>2700</v>
      </c>
      <c r="F6" s="4" t="n">
        <f aca="false">C6+D6+E6</f>
        <v>13868</v>
      </c>
      <c r="G6" s="17" t="n">
        <f aca="false">F6/$F$27</f>
        <v>0.0704732092040003</v>
      </c>
      <c r="H6" s="14" t="n">
        <v>1975002</v>
      </c>
      <c r="I6" s="14"/>
      <c r="J6" s="14" t="n">
        <v>804575</v>
      </c>
      <c r="K6" s="4" t="n">
        <f aca="false">H6+I6+J6</f>
        <v>2779577</v>
      </c>
    </row>
    <row r="7" customFormat="false" ht="15" hidden="false" customHeight="true" outlineLevel="0" collapsed="false">
      <c r="A7" s="13" t="s">
        <v>44</v>
      </c>
      <c r="B7" s="13" t="n">
        <v>3</v>
      </c>
      <c r="C7" s="14" t="n">
        <v>7475</v>
      </c>
      <c r="D7" s="14"/>
      <c r="E7" s="14"/>
      <c r="F7" s="4" t="n">
        <f aca="false">C7+D7+E7</f>
        <v>7475</v>
      </c>
      <c r="G7" s="17" t="n">
        <f aca="false">F7/$F$27</f>
        <v>0.0379858118546223</v>
      </c>
      <c r="H7" s="14" t="n">
        <v>2949885</v>
      </c>
      <c r="I7" s="14"/>
      <c r="J7" s="14"/>
      <c r="K7" s="4" t="n">
        <f aca="false">H7+I7+J7</f>
        <v>2949885</v>
      </c>
    </row>
    <row r="8" customFormat="false" ht="15" hidden="false" customHeight="true" outlineLevel="0" collapsed="false">
      <c r="A8" s="13" t="s">
        <v>46</v>
      </c>
      <c r="B8" s="13" t="n">
        <v>7</v>
      </c>
      <c r="C8" s="14"/>
      <c r="D8" s="14" t="n">
        <v>7095</v>
      </c>
      <c r="E8" s="14"/>
      <c r="F8" s="4" t="n">
        <f aca="false">C8+D8+E8</f>
        <v>7095</v>
      </c>
      <c r="G8" s="17" t="n">
        <f aca="false">F8/$F$27</f>
        <v>0.0360547605496382</v>
      </c>
      <c r="H8" s="14"/>
      <c r="I8" s="14" t="n">
        <v>2910096</v>
      </c>
      <c r="J8" s="14"/>
      <c r="K8" s="4" t="n">
        <f aca="false">H8+I8+J8</f>
        <v>2910096</v>
      </c>
    </row>
    <row r="9" customFormat="false" ht="15" hidden="false" customHeight="true" outlineLevel="0" collapsed="false">
      <c r="A9" s="13" t="s">
        <v>42</v>
      </c>
      <c r="B9" s="13" t="n">
        <v>16</v>
      </c>
      <c r="C9" s="14" t="n">
        <v>6262</v>
      </c>
      <c r="D9" s="14"/>
      <c r="E9" s="14"/>
      <c r="F9" s="4" t="n">
        <f aca="false">C9+D9+E9</f>
        <v>6262</v>
      </c>
      <c r="G9" s="17" t="n">
        <f aca="false">F9/$F$27</f>
        <v>0.0318216928205545</v>
      </c>
      <c r="H9" s="14" t="n">
        <v>3104137</v>
      </c>
      <c r="I9" s="14"/>
      <c r="J9" s="14"/>
      <c r="K9" s="4" t="n">
        <f aca="false">H9+I9+J9</f>
        <v>3104137</v>
      </c>
    </row>
    <row r="10" customFormat="false" ht="15" hidden="false" customHeight="true" outlineLevel="0" collapsed="false">
      <c r="A10" s="13" t="s">
        <v>38</v>
      </c>
      <c r="B10" s="13" t="n">
        <v>7</v>
      </c>
      <c r="C10" s="14" t="n">
        <v>4162</v>
      </c>
      <c r="D10" s="14" t="n">
        <v>1200</v>
      </c>
      <c r="E10" s="14"/>
      <c r="F10" s="4" t="n">
        <f aca="false">C10+D10+E10</f>
        <v>5362</v>
      </c>
      <c r="G10" s="17" t="n">
        <f aca="false">F10/$F$27</f>
        <v>0.0272481502561184</v>
      </c>
      <c r="H10" s="14" t="n">
        <v>3738266</v>
      </c>
      <c r="I10" s="14" t="n">
        <v>579045</v>
      </c>
      <c r="J10" s="14"/>
      <c r="K10" s="4" t="n">
        <f aca="false">H10+I10+J10</f>
        <v>4317311</v>
      </c>
    </row>
    <row r="11" customFormat="false" ht="15" hidden="false" customHeight="true" outlineLevel="0" collapsed="false">
      <c r="A11" s="13" t="s">
        <v>49</v>
      </c>
      <c r="B11" s="13" t="n">
        <v>4</v>
      </c>
      <c r="C11" s="14" t="n">
        <v>52</v>
      </c>
      <c r="D11" s="14" t="n">
        <v>3320</v>
      </c>
      <c r="E11" s="14"/>
      <c r="F11" s="4" t="n">
        <f aca="false">C11+D11+E11</f>
        <v>3372</v>
      </c>
      <c r="G11" s="17" t="n">
        <f aca="false">F11/$F$27</f>
        <v>0.017135539474754</v>
      </c>
      <c r="H11" s="14" t="n">
        <v>18612</v>
      </c>
      <c r="I11" s="14" t="n">
        <v>2555880</v>
      </c>
      <c r="J11" s="14"/>
      <c r="K11" s="4" t="n">
        <f aca="false">H11+I11+J11</f>
        <v>2574492</v>
      </c>
    </row>
    <row r="12" customFormat="false" ht="15" hidden="false" customHeight="true" outlineLevel="0" collapsed="false">
      <c r="A12" s="13" t="s">
        <v>54</v>
      </c>
      <c r="B12" s="13" t="n">
        <v>2</v>
      </c>
      <c r="C12" s="14" t="n">
        <v>1871</v>
      </c>
      <c r="D12" s="14"/>
      <c r="E12" s="14"/>
      <c r="F12" s="4" t="n">
        <f aca="false">C12+D12+E12</f>
        <v>1871</v>
      </c>
      <c r="G12" s="17" t="n">
        <f aca="false">F12/$F$27</f>
        <v>0.00950788682006667</v>
      </c>
      <c r="H12" s="14" t="n">
        <v>905185</v>
      </c>
      <c r="I12" s="14"/>
      <c r="J12" s="14"/>
      <c r="K12" s="4" t="n">
        <f aca="false">H12+I12+J12</f>
        <v>905185</v>
      </c>
    </row>
    <row r="13" customFormat="false" ht="15" hidden="false" customHeight="true" outlineLevel="0" collapsed="false">
      <c r="A13" s="13" t="s">
        <v>53</v>
      </c>
      <c r="B13" s="13" t="n">
        <v>6</v>
      </c>
      <c r="C13" s="14"/>
      <c r="D13" s="14" t="n">
        <v>1620</v>
      </c>
      <c r="E13" s="14"/>
      <c r="F13" s="4" t="n">
        <f aca="false">C13+D13+E13</f>
        <v>1620</v>
      </c>
      <c r="G13" s="17" t="n">
        <f aca="false">F13/$F$27</f>
        <v>0.00823237661598504</v>
      </c>
      <c r="H13" s="14"/>
      <c r="I13" s="14" t="n">
        <v>1678504</v>
      </c>
      <c r="J13" s="14"/>
      <c r="K13" s="4" t="n">
        <f aca="false">H13+I13+J13</f>
        <v>1678504</v>
      </c>
    </row>
    <row r="14" customFormat="false" ht="15" hidden="false" customHeight="true" outlineLevel="0" collapsed="false">
      <c r="A14" s="13" t="s">
        <v>51</v>
      </c>
      <c r="B14" s="13" t="n">
        <v>2</v>
      </c>
      <c r="C14" s="14" t="n">
        <v>1406</v>
      </c>
      <c r="D14" s="14"/>
      <c r="E14" s="14"/>
      <c r="F14" s="4" t="n">
        <f aca="false">C14+D14+E14</f>
        <v>1406</v>
      </c>
      <c r="G14" s="17" t="n">
        <f aca="false">F14/$F$27</f>
        <v>0.00714488982844134</v>
      </c>
      <c r="H14" s="14" t="n">
        <v>1908134</v>
      </c>
      <c r="I14" s="14"/>
      <c r="J14" s="14"/>
      <c r="K14" s="4" t="n">
        <f aca="false">H14+I14+J14</f>
        <v>1908134</v>
      </c>
    </row>
    <row r="15" customFormat="false" ht="15" hidden="false" customHeight="true" outlineLevel="0" collapsed="false">
      <c r="A15" s="13" t="s">
        <v>56</v>
      </c>
      <c r="B15" s="13" t="n">
        <v>1</v>
      </c>
      <c r="C15" s="14" t="n">
        <v>941</v>
      </c>
      <c r="D15" s="14"/>
      <c r="E15" s="14"/>
      <c r="F15" s="4" t="n">
        <f aca="false">C15+D15+E15</f>
        <v>941</v>
      </c>
      <c r="G15" s="17" t="n">
        <f aca="false">F15/$F$27</f>
        <v>0.004781892836816</v>
      </c>
      <c r="H15" s="14" t="n">
        <v>797524</v>
      </c>
      <c r="I15" s="14"/>
      <c r="J15" s="14"/>
      <c r="K15" s="4" t="n">
        <f aca="false">H15+I15+J15</f>
        <v>797524</v>
      </c>
    </row>
    <row r="16" customFormat="false" ht="15" hidden="false" customHeight="true" outlineLevel="0" collapsed="false">
      <c r="A16" s="13" t="s">
        <v>58</v>
      </c>
      <c r="B16" s="13" t="n">
        <v>4</v>
      </c>
      <c r="C16" s="14" t="n">
        <v>783</v>
      </c>
      <c r="D16" s="14"/>
      <c r="E16" s="14"/>
      <c r="F16" s="4" t="n">
        <f aca="false">C16+D16+E16</f>
        <v>783</v>
      </c>
      <c r="G16" s="17" t="n">
        <f aca="false">F16/$F$27</f>
        <v>0.00397898203105944</v>
      </c>
      <c r="H16" s="14" t="n">
        <v>368464</v>
      </c>
      <c r="I16" s="14"/>
      <c r="J16" s="14"/>
      <c r="K16" s="4" t="n">
        <f aca="false">H16+I16+J16</f>
        <v>368464</v>
      </c>
    </row>
    <row r="17" customFormat="false" ht="15" hidden="false" customHeight="true" outlineLevel="0" collapsed="false">
      <c r="A17" s="13" t="s">
        <v>63</v>
      </c>
      <c r="B17" s="13" t="n">
        <v>3</v>
      </c>
      <c r="C17" s="14" t="n">
        <v>599</v>
      </c>
      <c r="D17" s="14"/>
      <c r="E17" s="14"/>
      <c r="F17" s="4" t="n">
        <f aca="false">C17+D17+E17</f>
        <v>599</v>
      </c>
      <c r="G17" s="17" t="n">
        <f aca="false">F17/$F$27</f>
        <v>0.00304394666233027</v>
      </c>
      <c r="H17" s="14" t="n">
        <v>235810</v>
      </c>
      <c r="I17" s="14"/>
      <c r="J17" s="14"/>
      <c r="K17" s="4" t="n">
        <f aca="false">H17+I17+J17</f>
        <v>235810</v>
      </c>
    </row>
    <row r="18" customFormat="false" ht="15" hidden="false" customHeight="true" outlineLevel="0" collapsed="false">
      <c r="A18" s="13" t="s">
        <v>61</v>
      </c>
      <c r="B18" s="13" t="n">
        <v>2</v>
      </c>
      <c r="C18" s="14" t="n">
        <v>582</v>
      </c>
      <c r="D18" s="14"/>
      <c r="E18" s="14"/>
      <c r="F18" s="4" t="n">
        <f aca="false">C18+D18+E18</f>
        <v>582</v>
      </c>
      <c r="G18" s="17" t="n">
        <f aca="false">F18/$F$27</f>
        <v>0.00295755752500203</v>
      </c>
      <c r="H18" s="14" t="n">
        <v>353658</v>
      </c>
      <c r="I18" s="14"/>
      <c r="J18" s="14"/>
      <c r="K18" s="4" t="n">
        <f aca="false">H18+I18+J18</f>
        <v>353658</v>
      </c>
    </row>
    <row r="19" customFormat="false" ht="15" hidden="false" customHeight="true" outlineLevel="0" collapsed="false">
      <c r="A19" s="13" t="s">
        <v>60</v>
      </c>
      <c r="B19" s="13" t="n">
        <v>1</v>
      </c>
      <c r="C19" s="14"/>
      <c r="D19" s="14" t="n">
        <v>528</v>
      </c>
      <c r="E19" s="14"/>
      <c r="F19" s="4" t="n">
        <f aca="false">C19+D19+E19</f>
        <v>528</v>
      </c>
      <c r="G19" s="17" t="n">
        <f aca="false">F19/$F$27</f>
        <v>0.00268314497113586</v>
      </c>
      <c r="H19" s="14"/>
      <c r="I19" s="14" t="n">
        <v>361482</v>
      </c>
      <c r="J19" s="14"/>
      <c r="K19" s="4" t="n">
        <f aca="false">H19+I19+J19</f>
        <v>361482</v>
      </c>
    </row>
    <row r="20" customFormat="false" ht="15" hidden="false" customHeight="true" outlineLevel="0" collapsed="false">
      <c r="A20" s="13" t="s">
        <v>69</v>
      </c>
      <c r="B20" s="13" t="n">
        <v>1</v>
      </c>
      <c r="C20" s="14" t="n">
        <v>410</v>
      </c>
      <c r="D20" s="14"/>
      <c r="E20" s="14"/>
      <c r="F20" s="4" t="n">
        <f aca="false">C20+D20+E20</f>
        <v>410</v>
      </c>
      <c r="G20" s="17" t="n">
        <f aca="false">F20/$F$27</f>
        <v>0.00208350272379868</v>
      </c>
      <c r="H20" s="14" t="n">
        <v>48776</v>
      </c>
      <c r="I20" s="14"/>
      <c r="J20" s="14"/>
      <c r="K20" s="4" t="n">
        <f aca="false">H20+I20+J20</f>
        <v>48776</v>
      </c>
    </row>
    <row r="21" customFormat="false" ht="15" hidden="false" customHeight="true" outlineLevel="0" collapsed="false">
      <c r="A21" s="13" t="s">
        <v>65</v>
      </c>
      <c r="B21" s="13" t="n">
        <v>1</v>
      </c>
      <c r="C21" s="14" t="n">
        <v>361</v>
      </c>
      <c r="D21" s="14"/>
      <c r="E21" s="14"/>
      <c r="F21" s="4" t="n">
        <f aca="false">C21+D21+E21</f>
        <v>361</v>
      </c>
      <c r="G21" s="17" t="n">
        <f aca="false">F21/$F$27</f>
        <v>0.00183449873973494</v>
      </c>
      <c r="H21" s="14" t="n">
        <v>124119</v>
      </c>
      <c r="I21" s="14"/>
      <c r="J21" s="14"/>
      <c r="K21" s="4" t="n">
        <f aca="false">H21+I21+J21</f>
        <v>124119</v>
      </c>
    </row>
    <row r="22" customFormat="false" ht="15" hidden="false" customHeight="true" outlineLevel="0" collapsed="false">
      <c r="A22" s="13" t="s">
        <v>71</v>
      </c>
      <c r="B22" s="13" t="n">
        <v>1</v>
      </c>
      <c r="C22" s="14" t="n">
        <v>235</v>
      </c>
      <c r="D22" s="14"/>
      <c r="E22" s="14"/>
      <c r="F22" s="4" t="n">
        <f aca="false">C22+D22+E22</f>
        <v>235</v>
      </c>
      <c r="G22" s="17" t="n">
        <f aca="false">F22/$F$27</f>
        <v>0.00119420278071388</v>
      </c>
      <c r="H22" s="14" t="n">
        <v>30752</v>
      </c>
      <c r="I22" s="14"/>
      <c r="J22" s="14"/>
      <c r="K22" s="4" t="n">
        <f aca="false">H22+I22+J22</f>
        <v>30752</v>
      </c>
    </row>
    <row r="23" customFormat="false" ht="15" hidden="false" customHeight="true" outlineLevel="0" collapsed="false">
      <c r="A23" s="13" t="s">
        <v>67</v>
      </c>
      <c r="B23" s="13" t="n">
        <v>2</v>
      </c>
      <c r="C23" s="14" t="n">
        <v>147</v>
      </c>
      <c r="D23" s="14"/>
      <c r="E23" s="14"/>
      <c r="F23" s="4" t="n">
        <f aca="false">C23+D23+E23</f>
        <v>147</v>
      </c>
      <c r="G23" s="17" t="n">
        <f aca="false">F23/$F$27</f>
        <v>0.000747011952191235</v>
      </c>
      <c r="H23" s="14" t="n">
        <v>112588</v>
      </c>
      <c r="I23" s="14"/>
      <c r="J23" s="14"/>
      <c r="K23" s="4" t="n">
        <f aca="false">H23+I23+J23</f>
        <v>112588</v>
      </c>
    </row>
    <row r="24" customFormat="false" ht="15" hidden="false" customHeight="true" outlineLevel="0" collapsed="false">
      <c r="A24" s="13" t="s">
        <v>77</v>
      </c>
      <c r="B24" s="13" t="n">
        <v>1</v>
      </c>
      <c r="C24" s="14" t="n">
        <v>109</v>
      </c>
      <c r="D24" s="14"/>
      <c r="E24" s="14"/>
      <c r="F24" s="4" t="n">
        <f aca="false">C24+D24+E24</f>
        <v>109</v>
      </c>
      <c r="G24" s="17" t="n">
        <f aca="false">F24/$F$27</f>
        <v>0.000553906821692821</v>
      </c>
      <c r="H24" s="14" t="n">
        <v>80224</v>
      </c>
      <c r="I24" s="14"/>
      <c r="J24" s="14"/>
      <c r="K24" s="4" t="n">
        <f aca="false">H24+I24+J24</f>
        <v>80224</v>
      </c>
    </row>
    <row r="25" customFormat="false" ht="15" hidden="false" customHeight="true" outlineLevel="0" collapsed="false">
      <c r="A25" s="13" t="s">
        <v>75</v>
      </c>
      <c r="B25" s="13" t="n">
        <v>1</v>
      </c>
      <c r="C25" s="14" t="n">
        <v>37</v>
      </c>
      <c r="D25" s="14"/>
      <c r="E25" s="14"/>
      <c r="F25" s="4" t="n">
        <f aca="false">C25+D25+E25</f>
        <v>37</v>
      </c>
      <c r="G25" s="17" t="n">
        <f aca="false">F25/$F$27</f>
        <v>0.00018802341653793</v>
      </c>
      <c r="H25" s="14" t="n">
        <v>25900</v>
      </c>
      <c r="I25" s="14"/>
      <c r="J25" s="14"/>
      <c r="K25" s="4" t="n">
        <f aca="false">H25+I25+J25</f>
        <v>25900</v>
      </c>
    </row>
    <row r="26" customFormat="false" ht="15" hidden="false" customHeight="true" outlineLevel="0" collapsed="false">
      <c r="A26" s="13" t="s">
        <v>73</v>
      </c>
      <c r="B26" s="13" t="n">
        <v>1</v>
      </c>
      <c r="C26" s="14" t="n">
        <v>9</v>
      </c>
      <c r="D26" s="14"/>
      <c r="E26" s="14"/>
      <c r="F26" s="4" t="n">
        <f aca="false">C26+D26+E26</f>
        <v>9</v>
      </c>
      <c r="G26" s="17" t="n">
        <f aca="false">F26/$F$27</f>
        <v>4.57354256443613E-005</v>
      </c>
      <c r="H26" s="14" t="n">
        <v>1279</v>
      </c>
      <c r="I26" s="14"/>
      <c r="J26" s="14"/>
      <c r="K26" s="4" t="n">
        <f aca="false">H26+I26+J26</f>
        <v>1279</v>
      </c>
    </row>
    <row r="27" customFormat="false" ht="15" hidden="false" customHeight="true" outlineLevel="0" collapsed="false">
      <c r="A27" s="18" t="s">
        <v>79</v>
      </c>
      <c r="B27" s="6" t="n">
        <f aca="false">SUM(B2:B26)</f>
        <v>141</v>
      </c>
      <c r="C27" s="6" t="n">
        <f aca="false">SUM(C2:C26)</f>
        <v>101850</v>
      </c>
      <c r="D27" s="6" t="n">
        <f aca="false">SUM(D2:D26)</f>
        <v>77234</v>
      </c>
      <c r="E27" s="6" t="n">
        <f aca="false">SUM(E2:E26)</f>
        <v>17700</v>
      </c>
      <c r="F27" s="6" t="n">
        <f aca="false">SUM(F2:F26)</f>
        <v>196784</v>
      </c>
      <c r="G27" s="20" t="n">
        <v>1</v>
      </c>
      <c r="H27" s="6" t="n">
        <f aca="false">SUM(H2:H26)</f>
        <v>46500566</v>
      </c>
      <c r="I27" s="6" t="n">
        <f aca="false">SUM(I2:I26)</f>
        <v>48154651</v>
      </c>
      <c r="J27" s="6" t="n">
        <f aca="false">SUM(J2:J26)</f>
        <v>11853425</v>
      </c>
      <c r="K27" s="6" t="n">
        <f aca="false">SUM(K2:K26)</f>
        <v>106508642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2026-09-04T19:52:37Z</dcterms:created>
  <dc:creator>ВЕКТОР</dc:creator>
  <dc:description/>
  <dc:language>en-US</dc:language>
  <cp:lastModifiedBy>ВЕКТОР</cp:lastModifiedBy>
  <dcterms:modified xsi:type="dcterms:W3CDTF">2026-09-04T21:59:41Z</dcterms:modified>
  <cp:revision>0</cp:revision>
  <dc:subject/>
  <dc:title>Склад Дедовск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
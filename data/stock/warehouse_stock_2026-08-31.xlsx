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B0CEBF1-B11C-4A10-B81F-24630702170F}" xr6:coauthVersionLast="47" xr6:coauthVersionMax="47" xr10:uidLastSave="{00000000-0000-0000-0000-000000000000}"/>
  <bookViews>
    <workbookView xWindow="-110" yWindow="-110" windowWidth="38620" windowHeight="21220" xr2:uid="{7A4061EE-8742-4D8C-B4CC-369BCF8F049A}"/>
  </bookViews>
  <sheets>
    <sheet name="Лист1" sheetId="1" r:id="rId1"/>
  </sheets>
  <definedNames>
    <definedName name="_xlnm._FilterDatabase" localSheetId="0" hidden="1">Лист1!$A$1:$F$109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8" i="1"/>
  <c r="F4" i="1"/>
  <c r="F5" i="1"/>
  <c r="F6" i="1"/>
  <c r="F97" i="1"/>
  <c r="F3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8" i="1"/>
  <c r="F99" i="1"/>
  <c r="F100" i="1"/>
  <c r="F101" i="1"/>
  <c r="F102" i="1"/>
  <c r="F103" i="1"/>
  <c r="F104" i="1"/>
  <c r="F105" i="1" l="1"/>
</calcChain>
</file>

<file path=xl/sharedStrings.xml><?xml version="1.0" encoding="utf-8"?>
<sst xmlns="http://schemas.openxmlformats.org/spreadsheetml/2006/main" count="127" uniqueCount="126">
  <si>
    <t>Наименование</t>
  </si>
  <si>
    <t>Остаток</t>
  </si>
  <si>
    <t>DEOPROCE SHAMPOO - BLACK GARLIC INTENSME ENERGY [200ml]/ Шампунь с черным чесноком против выпадения волос</t>
  </si>
  <si>
    <t>ELIZAVECCA - CER-100 Collagen Ceramide Coating Protein Treatment [100ml] / Коллагеновая маска для волос</t>
  </si>
  <si>
    <t>ENOUGH - Collagen Moisture Essential Cream [50ml] / Увлажняющий крем для лица с коллагеном</t>
  </si>
  <si>
    <t>ENOUGH - Collagen Whitening Moisture Cream 3in1 [50g] / Антивозрастной отбеливающий крем с коллагеном</t>
  </si>
  <si>
    <t>ENOUGH Collagen whitening cover tip concealer #02 [9g]/Консилер для лица (основная карточка)</t>
  </si>
  <si>
    <t>ENOUGH Collagen whitening cover tip concealer #03 [9g]/ Консилер для лица (основаная карточка)</t>
  </si>
  <si>
    <t>ETUDE - Baking Powder Crunch Pore Scrub [200ml] / Очищающий скраб для лица с содой</t>
  </si>
  <si>
    <t>FARMSTAY - Collagen &amp; Hyaluronic Acid All-In One Ampoule [250ml] / Сыворотка с коллагеном и гиалуроновой кислотой</t>
  </si>
  <si>
    <t>FARMSTAY - Black Garlic Nourishing Shampoo [530ml] / Шампунь-кондиционер 2в1 с экстрактом черного чеснока</t>
  </si>
  <si>
    <t>FARMSTAY - Gold Snail Premium Cream [50ml] / Омолаживающий крем с муцином улитки и коллоидным золотом</t>
  </si>
  <si>
    <t>FARMSTAY - Escargot Noblesse Intensive Cream [50g] / Крем с муцином королевской улитки</t>
  </si>
  <si>
    <t>FARMSTAY ESCARGOT NOBLESSE INTENSIVE AMPOULE/ сыворотка с улиткой</t>
  </si>
  <si>
    <t>FARMSTAY - Argan Oil Complete Volume Up Shampoo &amp; Conditioner [530ml] / Шампунь-кондиционер с аргановым маслом</t>
  </si>
  <si>
    <t>FARMSTAY - Collagen Water Full Shampoo &amp; Conditioner [530ml] / Шампунь-кондиционер 2в1 с коллагеном</t>
  </si>
  <si>
    <t>FARMSTAY - Collagen Water Full Moist Rolling Eye Serum [25ml] / Сыворотка роллер для глаз</t>
  </si>
  <si>
    <t>FARMSTAY - Collagen Water Full Moist Cream [100g] / Увлажняющий крем с коллагеном</t>
  </si>
  <si>
    <t>FARMSTAY - Collagen Pure Cleansing Foam [180ml]/Пенка для умывания</t>
  </si>
  <si>
    <t>HEIMISH - Artless Glow Base SPF50+ PA+++(Renew) [40ml] / База под макияж SPF50+ PA+++</t>
  </si>
  <si>
    <t>JIGOTT - Snail Lifting Cream [70ml] / Крем для лица увлажняющий антивозрастной</t>
  </si>
  <si>
    <t>JIGOTT - Snail Reparing Cream [100ml] / Крем для лица увлажняющий антивозрастной с муцином улитки</t>
  </si>
  <si>
    <t>JIGOTT - Birds Nest Firming Cream [70ml] / Антивозрастной крем с экстрактом ласточкиного гнезда</t>
  </si>
  <si>
    <t>JIGOTT - Ultimate Real Collagen Toner [300ml] / тонер с коллагеном антивозрастной</t>
  </si>
  <si>
    <t>JIGOTT - Daily Real Cica Toner [300ml] / Тонер для лица с центеллой азиатской</t>
  </si>
  <si>
    <t>JIGOTT - Moisture Real Aloe Vera Toner [300ml] / Тонер для лица увлажняющий с экстрактом алоэ</t>
  </si>
  <si>
    <t>JMSOLUTION ACTIVE BLACK CAVIAR MASK [30ml*10ea] / Ультратонкая тканевая маска с черной икрой</t>
  </si>
  <si>
    <t>JMSOLUTION - Active Golden Caviar Nourishing Mask [30ml*10ea] / Ультратонкая тканевая маска с золотом и икрой</t>
  </si>
  <si>
    <t>JMSOLUTION - Active Jellyfish Vital Mask [30ml*10ea] / Ультратонкая тканевая маска с экстрактом медузы</t>
  </si>
  <si>
    <t>JMSOLUTION GLORY AQUA FULLERENE MASK DELUXE</t>
  </si>
  <si>
    <t>JMSOLUTION PANTHELENE INTENSIVE BARRIER MASK</t>
  </si>
  <si>
    <t>JMSOLUTION - The Natural Cordyceps Melitaris Mask Moisture [30ml*10ea] / Тканевая маска для лица с экстрактом кордицепса и комплексом аминокислот</t>
  </si>
  <si>
    <t>JMSOLUTION - Water Luminous S.O.S. Ringer Mask Black [35ml*10ea] / Ультраувлажняющая тканевая маска</t>
  </si>
  <si>
    <t>JMSOLUTION GREEN DEAR TIGER CICA MASK PURE 30ml*10ea / Регенерирующая маска для лица с центеллой</t>
  </si>
  <si>
    <t>JMSOLUTION - MASK PACK DISNEY [30ml*10ea] - ассорти набор из 10шт</t>
  </si>
  <si>
    <t>LEBELAGE - Dr. Peptide Derma Eye Cream [40ml] / Крем для глаз антивозрастной с пептидами</t>
  </si>
  <si>
    <t>MANYO - Bifida Biome Complex Ampoule [50ml] / Антивозрастная сыворотка для лица</t>
  </si>
  <si>
    <t>MANYO - Galac Whitening Vita Serum [50ml] / Осветляющая сыворотка с Витамином C</t>
  </si>
  <si>
    <t>MANYO - Bifida Biome Ampoule Lotion [300ml] / Укрепляющий лосьон с бифидобактериями</t>
  </si>
  <si>
    <t>MANYO - Pure Cleansing Oil [200ml] / Гидрофильное масло для глубокого очищения</t>
  </si>
  <si>
    <t>MANYO BIFIDA COMPLEX AMPOULE GEL CLEANSER [400ml] / Гель для умывания с бифидобактериями</t>
  </si>
  <si>
    <t>MANYO BIFIDA INFUSION SHOT AMPOULE 1DX [50ml] / Сыворотка с микроиглами и пробиотиками</t>
  </si>
  <si>
    <t>PETITFEE - Collagen &amp; CoQ10 Hydrogel Eye Patch [60ea] / Гидрогелевые патчи для глаз с коллагеном и коэнзимом Q10</t>
  </si>
  <si>
    <t>PETITFEE - Bera Glucan Deep Firming Eye Patch [60ea] / Тканевые патчи для век увлажняющие</t>
  </si>
  <si>
    <t>PETITFEE - Artichoke Soothing Hydrogel Eye Patch [60ea] / Смягчающие гидрогелевые патчи для глаз с экстрактом артишока</t>
  </si>
  <si>
    <t>PETITFEE - Aura Quartz Hydrogel Eye Patch [60ea]</t>
  </si>
  <si>
    <t>PETITFEE - Cacao Energizing Hydrogel Eye Patch [60ea] / Тонизирующие гидрогелевые патчи для глаз с экстрактом какао</t>
  </si>
  <si>
    <t>PETITFEE - Chamomile Lightening Hydrogel Eye Patch [60ea] / Успокаивающие гидрогелевые патчи для глаз с экстрактом ромашки</t>
  </si>
  <si>
    <t>PETITFEE - Gold &amp; EGF Hydrogel Eye &amp; Spot Patch [60ea]/ гидрогелевые патчи с золотом и EGF</t>
  </si>
  <si>
    <t>PETITFEE - Pink Vita Brightening Eye Patch [60ea] / Тканевые патчи для век увлажняющие</t>
  </si>
  <si>
    <t>PETITFEE - Black Pearl &amp; Gold Hydrogel Eye Patch [60ea] / Гидрогелевые патчи для глаз с черным жемчугом и золотом</t>
  </si>
  <si>
    <t>PETITFEE - Agave Cooling Hydrogel Eye Patch [60ea] / Охлаждающие гидрогелевые патчи для глаз с экстрактом агавы</t>
  </si>
  <si>
    <t>PETITFEE - Gold &amp; Snail Hydrogel Eye Patch [60ea] / Гидрогелевые патчи для глаз с золотом и улиткой</t>
  </si>
  <si>
    <t>PETITFEE - Gold Hydrogel Eye Patch [60ea] / гидрогелевые патчи для глаз с золотом</t>
  </si>
  <si>
    <t>PETITFEE - Black Pearl &amp; Gold Hydrogel Eye Patch [1 pairs]/ Гидрогелевые патчи для глаз с черным жемчугом и золотом 1 пара</t>
  </si>
  <si>
    <t>PETITFEE - Gold Hydrogel Eye Patch [1 Pairs] / гидрогелевые патчи для глаз с золотом 1 пара</t>
  </si>
  <si>
    <t>PETITFEE - Agave Cooling Hydrogel Face Mask [5pcs] / Охлаждающая гидрогелевая маска для лица с экстрактом агавы</t>
  </si>
  <si>
    <t>PETITFEE - Gold Hydrogel Mask Pack [5pcs] / Гидрогелевая маска для лица с золотом</t>
  </si>
  <si>
    <t>PETITFEE - Cacao Energizing Hydrogel Mask Pack [5pcs] / Тонизирующая гидрогелевая маска для лица с экстрактом какао</t>
  </si>
  <si>
    <t>PETITFEE - Artichoke Soothing Hydrogel Face Mask [5pcs] / Смягчающая гидрогелевая маска для лица с экстрактом артишока</t>
  </si>
  <si>
    <t>PETITFEE - Gold &amp; Snail Hydrogel Mask Pack [5pcs] / Гидрогелевая маска для лица с золотом и экстрактом улитки</t>
  </si>
  <si>
    <t>PETITFEE - Black Pearl &amp; Gold Hydrogel Mask Pack [5pcs] / Гидрогелевая маска для лица с черным жемчугом и золотом</t>
  </si>
  <si>
    <t>ROUND LAB 1025 DOKDO CLEANSER_150ml - Увлажняющая пенка для умывания лица</t>
  </si>
  <si>
    <t>ROUND LAB BIRCH JUICE MOISTURIZING CREAM_80ml -Увлажняющий крем с березовым соком</t>
  </si>
  <si>
    <t>ROUND LAB MUGWORT CALMING CLEANSER_150ml - Очищающая пенка для умывания лица от прыщей и акне</t>
  </si>
  <si>
    <t>1 422</t>
  </si>
  <si>
    <t>ROUND LAB PINE CALMING CICA AMPOULE_30ml - Сыворотка для жирной кожи лица увлажняющая с центеллой</t>
  </si>
  <si>
    <t>ROUND LAB 1025 DOKDO TONER_200ml / Отшелушивающий тоник с морской водой</t>
  </si>
  <si>
    <t>SKIN1004 - Madagascar Centella Ampoule [30ml] / Сыворотка для лица успокаивающая из экстракта центеллы.</t>
  </si>
  <si>
    <t>SOME BY MI - AHA-BHA-PHA 30 Days Miracle Cream [60g] / Крем для лица</t>
  </si>
  <si>
    <t>THE ORDINARY - Glycolic Acid 7% Toning Solution [KOR] [240ml] / Тоник с гликолевой кислотой 7%</t>
  </si>
  <si>
    <t>Celimax Dual Barrier Creamy Toner, тонер 150 мл</t>
  </si>
  <si>
    <t>CELIMAX THE VITA-A RETINAL SHOT TIGHTENING BOOSTER [15ml]/Подтягивающий бустер-крем с ретинолом для лица</t>
  </si>
  <si>
    <t>CELIMAX THE VITA-A RETINOL SHOT TIGHTENING SERUM [30ml]/Сыворотка с ретинолом и микроиглами для лица</t>
  </si>
  <si>
    <t>CELIMAX JI WOO GAE CICA BHA BLEMISH TONER PAD_10EA [30ml]/успокаивающие тонер-пэды</t>
  </si>
  <si>
    <t>CELIMAX PORE+DARK SPOT BRIGHTENING CREAM [35ml]/Крем для выравнивания тона и рельефа кожи лица</t>
  </si>
  <si>
    <t>CELIMAX DUAL BARRIER SKIN WEARABLE CREAM [50ml]/Крем для восстановления защитного барьера кожи лица</t>
  </si>
  <si>
    <t>CELIMAX JI WOO GAE CICA BHA BLEMISH TONER PAD [170ml / 60pads]/Тонер-пэды от воспалений</t>
  </si>
  <si>
    <t>CELIMAX THE REAL NONI ENERGY AMPOULE_30ML (NEW) [30ml]/Восстанавливающая сыворотка с экстрактом нони для лица</t>
  </si>
  <si>
    <t>CELIMAX PORE+DARK SPOT BRIGHTENING PAD [100ml / 40pads]/Тонер-пэды для выравнивания тона и рельефа кожи</t>
  </si>
  <si>
    <t>CELIMAX PORE+DARK SPOT BRIGHTENING SERUM_30ml [30ml]/Сыворотка для выравнивания тона и рельефа кожи лица</t>
  </si>
  <si>
    <t>CELIMAX THE REAL NONI MOISTURE BALANCING TONER (NEW) [150ml]/Восстанавливающий тонер с экстрактом нони</t>
  </si>
  <si>
    <t>VT PDRN ESSENCE 100 / Укрепляющая бустер-эссенция с ПДРН</t>
  </si>
  <si>
    <t>VT REEDLE SHOT 100 / Бустер-сыворотка с микроиглами</t>
  </si>
  <si>
    <t xml:space="preserve">ENOUGH Collagen whitening cover tip concealer #01 [9g]/Консилер для лица (основная карточка) </t>
  </si>
  <si>
    <t>C/c</t>
  </si>
  <si>
    <t>02,2028</t>
  </si>
  <si>
    <t>09,2028</t>
  </si>
  <si>
    <t>12,2026</t>
  </si>
  <si>
    <t>заказ</t>
  </si>
  <si>
    <t>DEOPROCE RINSE - BLACK GARLIC INTENSME ENERGY [1000ml] / Бальзам от выпадения волос Чёрный чеснок</t>
  </si>
  <si>
    <t>7 340</t>
  </si>
  <si>
    <t>7 279</t>
  </si>
  <si>
    <t>6 179</t>
  </si>
  <si>
    <t>3 239</t>
  </si>
  <si>
    <t>2 435</t>
  </si>
  <si>
    <t>3 493</t>
  </si>
  <si>
    <t>7 463</t>
  </si>
  <si>
    <t>1 614</t>
  </si>
  <si>
    <t>JIGOTT - Aloe Real Ampoule Mask [27ml] / Ампульная маска с экстрактом алое</t>
  </si>
  <si>
    <t>JIGOTT - Black Snail Real Ampoule Mask [27ml] / Ампульная маска с экстрактом слизи черной улитки</t>
  </si>
  <si>
    <t>JIGOTT - Camellia Real Ampoule Mask [27ml] / Ампульная маска с экстрактом камелии</t>
  </si>
  <si>
    <t>JIGOTT - Caviar Real Ampoule Mask [27ml] / Ампульная маска с экстрактом икры</t>
  </si>
  <si>
    <t>JIGOTT - Collagen Real Ampoule Mask [27ml] / Ампульная маска с коллагеном</t>
  </si>
  <si>
    <t>JIGOTT - Cucumber Real Ampoule Mask [27ml] / Тканевая маска с экстрактом огурца</t>
  </si>
  <si>
    <t>JIGOTT - Green Tea Real Ampoule Mask [27ml] / Ампульная маска с экстрактом зеленого чая</t>
  </si>
  <si>
    <t>JIGOTT - Honey Real Ampoule Mask [27ml] / Ампульная маска с экстрактом меда</t>
  </si>
  <si>
    <t>JIGOTT - Hyaluronic Acid Real Ampoule Mask [27ml] / Ампульная маска с гиалуроновой кислотой</t>
  </si>
  <si>
    <t>JIGOTT - Lotus Real Ampoule Mask [27ml] / Ампульная маска с экстрактом лотоса</t>
  </si>
  <si>
    <t>JIGOTT - Pearl Real Ampoule Mask [27ml] / ампульная маска для лица с жемчугом</t>
  </si>
  <si>
    <t>JIGOTT - Placenta Real Ampoule Mask [27ml] / Ампульная маска с плацентой</t>
  </si>
  <si>
    <t>JIGOTT - Pomegranate Real Ampoule Mask [27ml] / Ампульная маска с экстрактом граната</t>
  </si>
  <si>
    <t>JIGOTT - Potato Real Ampoule Mask [27ml] / Ампульная маска с экстрактом картофеля</t>
  </si>
  <si>
    <t>JIGOTT - Red Ginseng Real Ampoule Mask [27ml] / Ампульная маска с красным женьшенем</t>
  </si>
  <si>
    <t>JIGOTT - Vitamin Real Ampoule Mask [27ml] / Ампульная маска с витаминами</t>
  </si>
  <si>
    <t>JMSOLUTION - Active Birds Nest Moisture Mask [30ml*10ea] / Ультратонкая тканевая маска с ласточкиным гнездом</t>
  </si>
  <si>
    <t>1 355</t>
  </si>
  <si>
    <t>7 126</t>
  </si>
  <si>
    <t>4 520</t>
  </si>
  <si>
    <t>9 493</t>
  </si>
  <si>
    <t>3 112</t>
  </si>
  <si>
    <t>1 500</t>
  </si>
  <si>
    <t>1 375</t>
  </si>
  <si>
    <t>1 009</t>
  </si>
  <si>
    <t>DEOPROCE SHAMPOO - BLACK GARLIC INTENSME ENERGY [1000ml]/ Шампунь с черным чесноком против выпадения волос</t>
  </si>
  <si>
    <t>JMSOLUTION  JMSOLUTION - Glory Aqua TOCOPHEROL VITAMIN C MASK PLUS [30ml*10ea] / Тканевая маска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</si>
</sst>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3" xfId="0" applyFont="1" applyFill="1" applyBorder="1" applyAlignment="1">
      <alignment wrapText="1"/>
    </xf>
    <xf numFmtId="0" fontId="4" fillId="0" borderId="16" xfId="0" applyFont="1" applyFill="1" applyBorder="1"/>
    <xf numFmtId="0" fontId="5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4" fillId="0" borderId="0" xfId="0" applyFont="1" applyFill="1" applyAlignment="1">
      <alignment horizontal="left"/>
    </xf>
    <xf numFmtId="0" fontId="4" fillId="0" borderId="15" xfId="0" applyFont="1" applyFill="1" applyBorder="1" applyAlignment="1">
      <alignment horizontal="center" vertical="center"/>
    </xf>
    <xf numFmtId="0" fontId="4" fillId="0" borderId="15" xfId="0" applyFont="1" applyFill="1" applyBorder="1"/>
    <xf numFmtId="0" fontId="4" fillId="0" borderId="0" xfId="0" applyFont="1" applyFill="1"/>
    <xf numFmtId="0" fontId="6" fillId="0" borderId="3" xfId="0" applyFont="1" applyFill="1" applyBorder="1" applyAlignment="1">
      <alignment wrapText="1"/>
    </xf>
    <xf numFmtId="0" fontId="6" fillId="0" borderId="4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3" fillId="0" borderId="4" xfId="0" applyFont="1" applyFill="1" applyBorder="1" applyAlignment="1">
      <alignment horizontal="center" wrapText="1"/>
    </xf>
    <xf numFmtId="1" fontId="3" fillId="0" borderId="4" xfId="0" applyNumberFormat="1" applyFont="1" applyFill="1" applyBorder="1" applyAlignment="1">
      <alignment horizontal="center" wrapText="1"/>
    </xf>
    <xf numFmtId="0" fontId="2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horizontal="center" wrapText="1"/>
    </xf>
    <xf numFmtId="1" fontId="3" fillId="0" borderId="6" xfId="0" applyNumberFormat="1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center" wrapText="1"/>
    </xf>
    <xf numFmtId="1" fontId="3" fillId="0" borderId="10" xfId="0" applyNumberFormat="1" applyFont="1" applyFill="1" applyBorder="1" applyAlignment="1">
      <alignment horizontal="center" wrapText="1"/>
    </xf>
    <xf numFmtId="1" fontId="3" fillId="0" borderId="12" xfId="0" applyNumberFormat="1" applyFont="1" applyFill="1" applyBorder="1" applyAlignment="1">
      <alignment horizontal="center" wrapText="1"/>
    </xf>
    <xf numFmtId="1" fontId="3" fillId="0" borderId="14" xfId="0" applyNumberFormat="1" applyFont="1" applyFill="1" applyBorder="1" applyAlignment="1">
      <alignment horizontal="center" wrapText="1"/>
    </xf>
    <xf numFmtId="0" fontId="2" fillId="0" borderId="7" xfId="0" applyFont="1" applyFill="1" applyBorder="1" applyAlignment="1">
      <alignment wrapText="1"/>
    </xf>
    <xf numFmtId="0" fontId="3" fillId="0" borderId="8" xfId="0" applyFont="1" applyFill="1" applyBorder="1" applyAlignment="1">
      <alignment horizontal="center" wrapText="1"/>
    </xf>
    <xf numFmtId="1" fontId="3" fillId="0" borderId="8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BD01-7CA6-45C8-B091-31B7C434CC9B}">
  <dimension ref="A1:F105"/>
  <sheetViews>
    <sheetView tabSelected="1" zoomScale="130" zoomScaleNormal="130" workbookViewId="0">
      <selection activeCell="A11" sqref="A11"/>
    </sheetView>
  </sheetViews>
  <sheetFormatPr defaultRowHeight="14.5" x14ac:dyDescent="0.35"/>
  <cols>
    <col min="1" max="1" width="106.1796875" style="8" customWidth="1"/>
    <col min="2" max="2" width="10.1796875" style="8" customWidth="1"/>
    <col min="3" max="3" width="8.7265625" style="8"/>
    <col min="4" max="4" width="8.7265625" style="5"/>
    <col min="5" max="16384" width="8.7265625" style="8"/>
  </cols>
  <sheetData>
    <row r="1" spans="1:6" ht="15" thickBot="1" x14ac:dyDescent="0.4">
      <c r="A1" s="3" t="s">
        <v>0</v>
      </c>
      <c r="B1" s="4" t="s">
        <v>1</v>
      </c>
      <c r="C1" s="4" t="s">
        <v>85</v>
      </c>
      <c r="E1" s="6" t="s">
        <v>89</v>
      </c>
      <c r="F1" s="7"/>
    </row>
    <row r="2" spans="1:6" ht="15" thickBot="1" x14ac:dyDescent="0.4">
      <c r="A2" s="9"/>
      <c r="B2" s="10"/>
      <c r="C2" s="10"/>
      <c r="E2" s="7"/>
      <c r="F2" s="7"/>
    </row>
    <row r="3" spans="1:6" ht="15" thickBot="1" x14ac:dyDescent="0.4">
      <c r="A3" s="11" t="s">
        <v>2</v>
      </c>
      <c r="B3" s="12">
        <v>240</v>
      </c>
      <c r="C3" s="13">
        <v>166.24299999999999</v>
      </c>
      <c r="D3" s="5">
        <v>2028</v>
      </c>
      <c r="E3" s="7"/>
      <c r="F3" s="7">
        <f t="shared" ref="F3:F67" si="0">C3*E3</f>
        <v>0</v>
      </c>
    </row>
    <row r="4" spans="1:6" ht="15" thickBot="1" x14ac:dyDescent="0.4">
      <c r="A4" s="11" t="s">
        <v>90</v>
      </c>
      <c r="B4" s="12">
        <v>400</v>
      </c>
      <c r="C4" s="13">
        <v>394.82300000000004</v>
      </c>
      <c r="D4" s="5">
        <v>2028</v>
      </c>
      <c r="E4" s="7"/>
      <c r="F4" s="7">
        <f t="shared" si="0"/>
        <v>0</v>
      </c>
    </row>
    <row r="5" spans="1:6" ht="15" thickBot="1" x14ac:dyDescent="0.4">
      <c r="A5" s="11" t="s">
        <v>124</v>
      </c>
      <c r="B5" s="12">
        <v>400</v>
      </c>
      <c r="C5" s="13">
        <v>404.71200000000005</v>
      </c>
      <c r="D5" s="5">
        <v>2028</v>
      </c>
      <c r="E5" s="7"/>
      <c r="F5" s="7">
        <f t="shared" si="0"/>
        <v>0</v>
      </c>
    </row>
    <row r="6" spans="1:6" ht="15" thickBot="1" x14ac:dyDescent="0.4">
      <c r="A6" s="11" t="s">
        <v>3</v>
      </c>
      <c r="B6" s="12">
        <v>300</v>
      </c>
      <c r="C6" s="13">
        <v>266.45299999999997</v>
      </c>
      <c r="D6" s="5">
        <v>2028</v>
      </c>
      <c r="E6" s="7"/>
      <c r="F6" s="7">
        <f t="shared" si="0"/>
        <v>0</v>
      </c>
    </row>
    <row r="7" spans="1:6" ht="15" thickBot="1" x14ac:dyDescent="0.4">
      <c r="A7" s="11" t="s">
        <v>4</v>
      </c>
      <c r="B7" s="12" t="s">
        <v>91</v>
      </c>
      <c r="C7" s="13">
        <v>177.43000000000004</v>
      </c>
      <c r="D7" s="5">
        <v>2028</v>
      </c>
      <c r="E7" s="7"/>
      <c r="F7" s="7">
        <f t="shared" si="0"/>
        <v>0</v>
      </c>
    </row>
    <row r="8" spans="1:6" ht="15" thickBot="1" x14ac:dyDescent="0.4">
      <c r="A8" s="11" t="s">
        <v>5</v>
      </c>
      <c r="B8" s="12">
        <v>344</v>
      </c>
      <c r="C8" s="13">
        <v>202.268</v>
      </c>
      <c r="D8" s="5">
        <v>2028</v>
      </c>
      <c r="E8" s="7"/>
      <c r="F8" s="7">
        <f t="shared" si="0"/>
        <v>0</v>
      </c>
    </row>
    <row r="9" spans="1:6" ht="15" thickBot="1" x14ac:dyDescent="0.4">
      <c r="A9" s="11" t="s">
        <v>84</v>
      </c>
      <c r="B9" s="12">
        <v>200</v>
      </c>
      <c r="C9" s="13">
        <v>201.56399999999999</v>
      </c>
      <c r="D9" s="5">
        <v>6.2027000000000001</v>
      </c>
      <c r="E9" s="7"/>
      <c r="F9" s="7">
        <f t="shared" si="0"/>
        <v>0</v>
      </c>
    </row>
    <row r="10" spans="1:6" ht="15" thickBot="1" x14ac:dyDescent="0.4">
      <c r="A10" s="11" t="s">
        <v>6</v>
      </c>
      <c r="B10" s="12">
        <v>300</v>
      </c>
      <c r="C10" s="13">
        <v>201.56399999999999</v>
      </c>
      <c r="D10" s="5">
        <v>6.2027000000000001</v>
      </c>
      <c r="E10" s="7"/>
      <c r="F10" s="7">
        <f t="shared" si="0"/>
        <v>0</v>
      </c>
    </row>
    <row r="11" spans="1:6" ht="15" thickBot="1" x14ac:dyDescent="0.4">
      <c r="A11" s="11" t="s">
        <v>7</v>
      </c>
      <c r="B11" s="12">
        <v>260</v>
      </c>
      <c r="C11" s="13">
        <v>201.56399999999999</v>
      </c>
      <c r="D11" s="5">
        <v>6.2027000000000001</v>
      </c>
      <c r="E11" s="7"/>
      <c r="F11" s="7">
        <f t="shared" si="0"/>
        <v>0</v>
      </c>
    </row>
    <row r="12" spans="1:6" ht="15" thickBot="1" x14ac:dyDescent="0.4">
      <c r="A12" s="11" t="s">
        <v>8</v>
      </c>
      <c r="B12" s="12" t="s">
        <v>92</v>
      </c>
      <c r="C12" s="13">
        <v>397.13299999999998</v>
      </c>
      <c r="D12" s="5">
        <v>2028</v>
      </c>
      <c r="E12" s="7"/>
      <c r="F12" s="7">
        <f t="shared" si="0"/>
        <v>0</v>
      </c>
    </row>
    <row r="13" spans="1:6" ht="15" thickBot="1" x14ac:dyDescent="0.4">
      <c r="A13" s="11" t="s">
        <v>9</v>
      </c>
      <c r="B13" s="12" t="s">
        <v>93</v>
      </c>
      <c r="C13" s="13">
        <v>382.536</v>
      </c>
      <c r="D13" s="5">
        <v>2028</v>
      </c>
      <c r="E13" s="7"/>
      <c r="F13" s="7">
        <f t="shared" si="0"/>
        <v>0</v>
      </c>
    </row>
    <row r="14" spans="1:6" ht="15" thickBot="1" x14ac:dyDescent="0.4">
      <c r="A14" s="11" t="s">
        <v>10</v>
      </c>
      <c r="B14" s="12" t="s">
        <v>94</v>
      </c>
      <c r="C14" s="13">
        <v>436.392</v>
      </c>
      <c r="D14" s="5">
        <v>2028</v>
      </c>
      <c r="E14" s="7"/>
      <c r="F14" s="7">
        <f t="shared" si="0"/>
        <v>0</v>
      </c>
    </row>
    <row r="15" spans="1:6" ht="15" thickBot="1" x14ac:dyDescent="0.4">
      <c r="A15" s="11" t="s">
        <v>11</v>
      </c>
      <c r="B15" s="12">
        <v>900</v>
      </c>
      <c r="C15" s="13">
        <v>474.15500000000003</v>
      </c>
      <c r="D15" s="5">
        <v>2028</v>
      </c>
      <c r="E15" s="7"/>
      <c r="F15" s="7">
        <f t="shared" si="0"/>
        <v>0</v>
      </c>
    </row>
    <row r="16" spans="1:6" ht="15" thickBot="1" x14ac:dyDescent="0.4">
      <c r="A16" s="11" t="s">
        <v>12</v>
      </c>
      <c r="B16" s="12">
        <v>860</v>
      </c>
      <c r="C16" s="13">
        <v>345.22399999999999</v>
      </c>
      <c r="D16" s="5">
        <v>2028</v>
      </c>
      <c r="E16" s="7"/>
      <c r="F16" s="7">
        <f t="shared" si="0"/>
        <v>0</v>
      </c>
    </row>
    <row r="17" spans="1:6" ht="15" thickBot="1" x14ac:dyDescent="0.4">
      <c r="A17" s="11" t="s">
        <v>13</v>
      </c>
      <c r="B17" s="12">
        <v>901</v>
      </c>
      <c r="C17" s="13">
        <v>429.50599999999997</v>
      </c>
      <c r="D17" s="5">
        <v>2028</v>
      </c>
      <c r="E17" s="7"/>
      <c r="F17" s="7">
        <f t="shared" si="0"/>
        <v>0</v>
      </c>
    </row>
    <row r="18" spans="1:6" ht="15" thickBot="1" x14ac:dyDescent="0.4">
      <c r="A18" s="11" t="s">
        <v>14</v>
      </c>
      <c r="B18" s="12" t="s">
        <v>95</v>
      </c>
      <c r="C18" s="13">
        <v>440.83600000000001</v>
      </c>
      <c r="D18" s="5">
        <v>2028</v>
      </c>
      <c r="E18" s="7"/>
      <c r="F18" s="7">
        <f t="shared" si="0"/>
        <v>0</v>
      </c>
    </row>
    <row r="19" spans="1:6" ht="15" thickBot="1" x14ac:dyDescent="0.4">
      <c r="A19" s="11" t="s">
        <v>15</v>
      </c>
      <c r="B19" s="12" t="s">
        <v>96</v>
      </c>
      <c r="C19" s="13">
        <v>436.392</v>
      </c>
      <c r="D19" s="5">
        <v>2028</v>
      </c>
      <c r="E19" s="7"/>
      <c r="F19" s="7">
        <f t="shared" si="0"/>
        <v>0</v>
      </c>
    </row>
    <row r="20" spans="1:6" ht="15" thickBot="1" x14ac:dyDescent="0.4">
      <c r="A20" s="11" t="s">
        <v>16</v>
      </c>
      <c r="B20" s="12">
        <v>156</v>
      </c>
      <c r="C20" s="13">
        <v>254.90299999999999</v>
      </c>
      <c r="D20" s="5">
        <v>2028</v>
      </c>
      <c r="E20" s="7"/>
      <c r="F20" s="7">
        <f t="shared" si="0"/>
        <v>0</v>
      </c>
    </row>
    <row r="21" spans="1:6" ht="15" thickBot="1" x14ac:dyDescent="0.4">
      <c r="A21" s="11" t="s">
        <v>17</v>
      </c>
      <c r="B21" s="12">
        <v>200</v>
      </c>
      <c r="C21" s="13">
        <v>532.86199999999997</v>
      </c>
      <c r="D21" s="5">
        <v>2028</v>
      </c>
      <c r="E21" s="7"/>
      <c r="F21" s="7">
        <f t="shared" si="0"/>
        <v>0</v>
      </c>
    </row>
    <row r="22" spans="1:6" ht="15" thickBot="1" x14ac:dyDescent="0.4">
      <c r="A22" s="11" t="s">
        <v>18</v>
      </c>
      <c r="B22" s="12">
        <v>300</v>
      </c>
      <c r="C22" s="13">
        <v>177.61699999999999</v>
      </c>
      <c r="D22" s="5">
        <v>2028</v>
      </c>
      <c r="E22" s="7"/>
      <c r="F22" s="7">
        <f t="shared" si="0"/>
        <v>0</v>
      </c>
    </row>
    <row r="23" spans="1:6" ht="15" thickBot="1" x14ac:dyDescent="0.4">
      <c r="A23" s="11" t="s">
        <v>19</v>
      </c>
      <c r="B23" s="12">
        <v>941</v>
      </c>
      <c r="C23" s="13">
        <v>847.52800000000002</v>
      </c>
      <c r="D23" s="5">
        <v>2028</v>
      </c>
      <c r="E23" s="7"/>
      <c r="F23" s="7">
        <f t="shared" si="0"/>
        <v>0</v>
      </c>
    </row>
    <row r="24" spans="1:6" ht="15" thickBot="1" x14ac:dyDescent="0.4">
      <c r="A24" s="11" t="s">
        <v>20</v>
      </c>
      <c r="B24" s="12" t="s">
        <v>97</v>
      </c>
      <c r="C24" s="13">
        <v>222.49699999999999</v>
      </c>
      <c r="D24" s="5">
        <v>2028</v>
      </c>
      <c r="E24" s="7"/>
      <c r="F24" s="7">
        <f t="shared" si="0"/>
        <v>0</v>
      </c>
    </row>
    <row r="25" spans="1:6" ht="15" thickBot="1" x14ac:dyDescent="0.4">
      <c r="A25" s="11" t="s">
        <v>21</v>
      </c>
      <c r="B25" s="12">
        <v>500</v>
      </c>
      <c r="C25" s="13">
        <v>204.446</v>
      </c>
      <c r="D25" s="5">
        <v>2028</v>
      </c>
      <c r="E25" s="7"/>
      <c r="F25" s="7">
        <f t="shared" si="0"/>
        <v>0</v>
      </c>
    </row>
    <row r="26" spans="1:6" ht="15" thickBot="1" x14ac:dyDescent="0.4">
      <c r="A26" s="11" t="s">
        <v>22</v>
      </c>
      <c r="B26" s="12" t="s">
        <v>98</v>
      </c>
      <c r="C26" s="13">
        <v>222.49699999999999</v>
      </c>
      <c r="D26" s="5">
        <v>2028</v>
      </c>
      <c r="E26" s="7"/>
      <c r="F26" s="7">
        <f t="shared" si="0"/>
        <v>0</v>
      </c>
    </row>
    <row r="27" spans="1:6" ht="15" thickBot="1" x14ac:dyDescent="0.4">
      <c r="A27" s="24" t="s">
        <v>99</v>
      </c>
      <c r="B27" s="12">
        <v>1190</v>
      </c>
      <c r="C27" s="13">
        <v>25</v>
      </c>
      <c r="D27" s="5">
        <v>2028</v>
      </c>
      <c r="E27" s="7"/>
      <c r="F27" s="7">
        <f t="shared" si="0"/>
        <v>0</v>
      </c>
    </row>
    <row r="28" spans="1:6" ht="15" thickBot="1" x14ac:dyDescent="0.4">
      <c r="A28" s="1" t="s">
        <v>100</v>
      </c>
      <c r="B28" s="12">
        <v>1190</v>
      </c>
      <c r="C28" s="13">
        <v>25</v>
      </c>
      <c r="D28" s="5">
        <v>2028</v>
      </c>
      <c r="E28" s="7"/>
      <c r="F28" s="7">
        <f t="shared" si="0"/>
        <v>0</v>
      </c>
    </row>
    <row r="29" spans="1:6" ht="15" thickBot="1" x14ac:dyDescent="0.4">
      <c r="A29" s="1" t="s">
        <v>101</v>
      </c>
      <c r="B29" s="12">
        <v>1190</v>
      </c>
      <c r="C29" s="13">
        <v>25</v>
      </c>
      <c r="D29" s="5">
        <v>2028</v>
      </c>
      <c r="E29" s="7"/>
      <c r="F29" s="7">
        <f t="shared" si="0"/>
        <v>0</v>
      </c>
    </row>
    <row r="30" spans="1:6" ht="15" thickBot="1" x14ac:dyDescent="0.4">
      <c r="A30" s="1" t="s">
        <v>102</v>
      </c>
      <c r="B30" s="12">
        <v>1190</v>
      </c>
      <c r="C30" s="13">
        <v>25</v>
      </c>
      <c r="D30" s="5">
        <v>2028</v>
      </c>
      <c r="E30" s="7"/>
      <c r="F30" s="7">
        <f t="shared" si="0"/>
        <v>0</v>
      </c>
    </row>
    <row r="31" spans="1:6" ht="15" thickBot="1" x14ac:dyDescent="0.4">
      <c r="A31" s="1" t="s">
        <v>103</v>
      </c>
      <c r="B31" s="12">
        <v>1190</v>
      </c>
      <c r="C31" s="13">
        <v>25</v>
      </c>
      <c r="D31" s="5">
        <v>2028</v>
      </c>
      <c r="E31" s="7"/>
      <c r="F31" s="7">
        <f t="shared" si="0"/>
        <v>0</v>
      </c>
    </row>
    <row r="32" spans="1:6" ht="15" thickBot="1" x14ac:dyDescent="0.4">
      <c r="A32" s="1" t="s">
        <v>104</v>
      </c>
      <c r="B32" s="12">
        <v>1190</v>
      </c>
      <c r="C32" s="13">
        <v>25</v>
      </c>
      <c r="D32" s="5">
        <v>2028</v>
      </c>
      <c r="E32" s="7"/>
      <c r="F32" s="7">
        <f t="shared" si="0"/>
        <v>0</v>
      </c>
    </row>
    <row r="33" spans="1:6" ht="15" thickBot="1" x14ac:dyDescent="0.4">
      <c r="A33" s="1" t="s">
        <v>105</v>
      </c>
      <c r="B33" s="12">
        <v>1190</v>
      </c>
      <c r="C33" s="13">
        <v>25</v>
      </c>
      <c r="D33" s="5">
        <v>2028</v>
      </c>
      <c r="E33" s="7"/>
      <c r="F33" s="7">
        <f t="shared" si="0"/>
        <v>0</v>
      </c>
    </row>
    <row r="34" spans="1:6" ht="15" thickBot="1" x14ac:dyDescent="0.4">
      <c r="A34" s="1" t="s">
        <v>106</v>
      </c>
      <c r="B34" s="12">
        <v>1190</v>
      </c>
      <c r="C34" s="13">
        <v>25</v>
      </c>
      <c r="D34" s="5">
        <v>2028</v>
      </c>
      <c r="E34" s="7"/>
      <c r="F34" s="7">
        <f t="shared" si="0"/>
        <v>0</v>
      </c>
    </row>
    <row r="35" spans="1:6" ht="15" thickBot="1" x14ac:dyDescent="0.4">
      <c r="A35" s="1" t="s">
        <v>107</v>
      </c>
      <c r="B35" s="12">
        <v>1190</v>
      </c>
      <c r="C35" s="13">
        <v>25</v>
      </c>
      <c r="D35" s="5">
        <v>2028</v>
      </c>
      <c r="E35" s="7"/>
      <c r="F35" s="7">
        <f t="shared" si="0"/>
        <v>0</v>
      </c>
    </row>
    <row r="36" spans="1:6" ht="15" thickBot="1" x14ac:dyDescent="0.4">
      <c r="A36" s="1" t="s">
        <v>108</v>
      </c>
      <c r="B36" s="12">
        <v>1190</v>
      </c>
      <c r="C36" s="13">
        <v>25</v>
      </c>
      <c r="D36" s="5">
        <v>2028</v>
      </c>
      <c r="E36" s="7"/>
      <c r="F36" s="7">
        <f t="shared" si="0"/>
        <v>0</v>
      </c>
    </row>
    <row r="37" spans="1:6" ht="15" thickBot="1" x14ac:dyDescent="0.4">
      <c r="A37" s="1" t="s">
        <v>109</v>
      </c>
      <c r="B37" s="12">
        <v>1190</v>
      </c>
      <c r="C37" s="13">
        <v>25</v>
      </c>
      <c r="D37" s="5">
        <v>2028</v>
      </c>
      <c r="E37" s="7"/>
      <c r="F37" s="7">
        <f t="shared" si="0"/>
        <v>0</v>
      </c>
    </row>
    <row r="38" spans="1:6" ht="15" thickBot="1" x14ac:dyDescent="0.4">
      <c r="A38" s="1" t="s">
        <v>110</v>
      </c>
      <c r="B38" s="12">
        <v>1190</v>
      </c>
      <c r="C38" s="13">
        <v>25</v>
      </c>
      <c r="D38" s="5">
        <v>2028</v>
      </c>
      <c r="E38" s="7"/>
      <c r="F38" s="7">
        <f t="shared" si="0"/>
        <v>0</v>
      </c>
    </row>
    <row r="39" spans="1:6" ht="15" thickBot="1" x14ac:dyDescent="0.4">
      <c r="A39" s="1" t="s">
        <v>111</v>
      </c>
      <c r="B39" s="12">
        <v>1190</v>
      </c>
      <c r="C39" s="13">
        <v>25</v>
      </c>
      <c r="D39" s="5">
        <v>2028</v>
      </c>
      <c r="E39" s="7"/>
      <c r="F39" s="7">
        <f t="shared" si="0"/>
        <v>0</v>
      </c>
    </row>
    <row r="40" spans="1:6" ht="15" thickBot="1" x14ac:dyDescent="0.4">
      <c r="A40" s="1" t="s">
        <v>112</v>
      </c>
      <c r="B40" s="12">
        <v>1190</v>
      </c>
      <c r="C40" s="13">
        <v>25</v>
      </c>
      <c r="D40" s="5">
        <v>2028</v>
      </c>
      <c r="E40" s="7"/>
      <c r="F40" s="7">
        <f t="shared" si="0"/>
        <v>0</v>
      </c>
    </row>
    <row r="41" spans="1:6" ht="15" thickBot="1" x14ac:dyDescent="0.4">
      <c r="A41" s="1" t="s">
        <v>113</v>
      </c>
      <c r="B41" s="12">
        <v>1190</v>
      </c>
      <c r="C41" s="13">
        <v>25</v>
      </c>
      <c r="D41" s="5">
        <v>2028</v>
      </c>
      <c r="E41" s="7"/>
      <c r="F41" s="7">
        <f t="shared" si="0"/>
        <v>0</v>
      </c>
    </row>
    <row r="42" spans="1:6" ht="15" thickBot="1" x14ac:dyDescent="0.4">
      <c r="A42" s="1" t="s">
        <v>114</v>
      </c>
      <c r="B42" s="12">
        <v>1190</v>
      </c>
      <c r="C42" s="13">
        <v>25</v>
      </c>
      <c r="D42" s="5">
        <v>2028</v>
      </c>
      <c r="E42" s="7"/>
      <c r="F42" s="7">
        <f t="shared" si="0"/>
        <v>0</v>
      </c>
    </row>
    <row r="43" spans="1:6" ht="15" thickBot="1" x14ac:dyDescent="0.4">
      <c r="A43" s="11" t="s">
        <v>23</v>
      </c>
      <c r="B43" s="12">
        <v>800</v>
      </c>
      <c r="C43" s="13">
        <v>291.89600000000002</v>
      </c>
      <c r="D43" s="5">
        <v>2028</v>
      </c>
      <c r="E43" s="7"/>
      <c r="F43" s="7">
        <f t="shared" si="0"/>
        <v>0</v>
      </c>
    </row>
    <row r="44" spans="1:6" ht="15" thickBot="1" x14ac:dyDescent="0.4">
      <c r="A44" s="11" t="s">
        <v>24</v>
      </c>
      <c r="B44" s="12">
        <v>800</v>
      </c>
      <c r="C44" s="13">
        <v>291.89600000000002</v>
      </c>
      <c r="D44" s="5">
        <v>2028</v>
      </c>
      <c r="E44" s="7"/>
      <c r="F44" s="7">
        <f t="shared" si="0"/>
        <v>0</v>
      </c>
    </row>
    <row r="45" spans="1:6" ht="15" thickBot="1" x14ac:dyDescent="0.4">
      <c r="A45" s="14" t="s">
        <v>25</v>
      </c>
      <c r="B45" s="15">
        <v>100</v>
      </c>
      <c r="C45" s="16">
        <v>291.89600000000002</v>
      </c>
      <c r="D45" s="5">
        <v>2028</v>
      </c>
      <c r="E45" s="7"/>
      <c r="F45" s="7">
        <f t="shared" si="0"/>
        <v>0</v>
      </c>
    </row>
    <row r="46" spans="1:6" ht="15" thickBot="1" x14ac:dyDescent="0.4">
      <c r="A46" s="25" t="s">
        <v>26</v>
      </c>
      <c r="B46" s="17">
        <v>110</v>
      </c>
      <c r="C46" s="18">
        <v>376.49699999999996</v>
      </c>
      <c r="D46" s="5">
        <v>2028</v>
      </c>
      <c r="E46" s="7"/>
      <c r="F46" s="7">
        <f t="shared" si="0"/>
        <v>0</v>
      </c>
    </row>
    <row r="47" spans="1:6" ht="15" thickBot="1" x14ac:dyDescent="0.4">
      <c r="A47" s="26" t="s">
        <v>27</v>
      </c>
      <c r="B47" s="17">
        <v>110</v>
      </c>
      <c r="C47" s="19">
        <v>376.49699999999996</v>
      </c>
      <c r="D47" s="5">
        <v>2028</v>
      </c>
      <c r="E47" s="7"/>
      <c r="F47" s="7">
        <f t="shared" si="0"/>
        <v>0</v>
      </c>
    </row>
    <row r="48" spans="1:6" ht="15" thickBot="1" x14ac:dyDescent="0.4">
      <c r="A48" s="26" t="s">
        <v>28</v>
      </c>
      <c r="B48" s="17">
        <v>110</v>
      </c>
      <c r="C48" s="19">
        <v>376.49699999999996</v>
      </c>
      <c r="D48" s="5">
        <v>2028</v>
      </c>
      <c r="E48" s="7"/>
      <c r="F48" s="7">
        <f t="shared" si="0"/>
        <v>0</v>
      </c>
    </row>
    <row r="49" spans="1:6" ht="15" thickBot="1" x14ac:dyDescent="0.4">
      <c r="A49" s="26" t="s">
        <v>115</v>
      </c>
      <c r="B49" s="17">
        <v>110</v>
      </c>
      <c r="C49" s="19">
        <v>376.49699999999996</v>
      </c>
      <c r="D49" s="5">
        <v>2028</v>
      </c>
      <c r="E49" s="7"/>
      <c r="F49" s="7">
        <f t="shared" si="0"/>
        <v>0</v>
      </c>
    </row>
    <row r="50" spans="1:6" ht="15" thickBot="1" x14ac:dyDescent="0.4">
      <c r="A50" s="26" t="s">
        <v>29</v>
      </c>
      <c r="B50" s="17">
        <v>110</v>
      </c>
      <c r="C50" s="19">
        <v>495.38499999999999</v>
      </c>
      <c r="D50" s="5">
        <v>2028</v>
      </c>
      <c r="E50" s="7"/>
      <c r="F50" s="7">
        <f t="shared" si="0"/>
        <v>0</v>
      </c>
    </row>
    <row r="51" spans="1:6" ht="15" thickBot="1" x14ac:dyDescent="0.4">
      <c r="A51" s="26" t="s">
        <v>125</v>
      </c>
      <c r="B51" s="17">
        <v>110</v>
      </c>
      <c r="C51" s="19">
        <v>495.38499999999999</v>
      </c>
      <c r="D51" s="5">
        <v>2028</v>
      </c>
      <c r="E51" s="7"/>
      <c r="F51" s="7">
        <f t="shared" si="0"/>
        <v>0</v>
      </c>
    </row>
    <row r="52" spans="1:6" ht="15" thickBot="1" x14ac:dyDescent="0.4">
      <c r="A52" s="26" t="s">
        <v>30</v>
      </c>
      <c r="B52" s="17">
        <v>110</v>
      </c>
      <c r="C52" s="19">
        <v>495.38499999999999</v>
      </c>
      <c r="D52" s="5">
        <v>2028</v>
      </c>
      <c r="E52" s="7"/>
      <c r="F52" s="7">
        <f t="shared" si="0"/>
        <v>0</v>
      </c>
    </row>
    <row r="53" spans="1:6" ht="15" thickBot="1" x14ac:dyDescent="0.4">
      <c r="A53" s="26" t="s">
        <v>31</v>
      </c>
      <c r="B53" s="17">
        <v>110</v>
      </c>
      <c r="C53" s="19">
        <v>350.29499999999996</v>
      </c>
      <c r="D53" s="5">
        <v>2028</v>
      </c>
      <c r="E53" s="7"/>
      <c r="F53" s="7">
        <f t="shared" si="0"/>
        <v>0</v>
      </c>
    </row>
    <row r="54" spans="1:6" ht="15" thickBot="1" x14ac:dyDescent="0.4">
      <c r="A54" s="26" t="s">
        <v>32</v>
      </c>
      <c r="B54" s="17">
        <v>110</v>
      </c>
      <c r="C54" s="19">
        <v>495.38499999999999</v>
      </c>
      <c r="D54" s="5">
        <v>2028</v>
      </c>
      <c r="E54" s="7"/>
      <c r="F54" s="7">
        <f t="shared" si="0"/>
        <v>0</v>
      </c>
    </row>
    <row r="55" spans="1:6" ht="15" thickBot="1" x14ac:dyDescent="0.4">
      <c r="A55" s="27" t="s">
        <v>33</v>
      </c>
      <c r="B55" s="17">
        <v>110</v>
      </c>
      <c r="C55" s="20">
        <v>376.49699999999996</v>
      </c>
      <c r="D55" s="5">
        <v>2028</v>
      </c>
      <c r="E55" s="7"/>
      <c r="F55" s="7">
        <f t="shared" si="0"/>
        <v>0</v>
      </c>
    </row>
    <row r="56" spans="1:6" ht="15" thickBot="1" x14ac:dyDescent="0.4">
      <c r="A56" s="21" t="s">
        <v>34</v>
      </c>
      <c r="B56" s="22">
        <v>832</v>
      </c>
      <c r="C56" s="23">
        <v>509.52</v>
      </c>
      <c r="D56" s="5">
        <v>2028</v>
      </c>
      <c r="E56" s="7"/>
      <c r="F56" s="7">
        <f t="shared" si="0"/>
        <v>0</v>
      </c>
    </row>
    <row r="57" spans="1:6" ht="15" thickBot="1" x14ac:dyDescent="0.4">
      <c r="A57" s="11" t="s">
        <v>35</v>
      </c>
      <c r="B57" s="12">
        <v>400</v>
      </c>
      <c r="C57" s="13">
        <v>118.96500000000002</v>
      </c>
      <c r="D57" s="5" t="s">
        <v>86</v>
      </c>
      <c r="E57" s="7"/>
      <c r="F57" s="7">
        <f t="shared" si="0"/>
        <v>0</v>
      </c>
    </row>
    <row r="58" spans="1:6" ht="15" thickBot="1" x14ac:dyDescent="0.4">
      <c r="A58" s="11" t="s">
        <v>36</v>
      </c>
      <c r="B58" s="12" t="s">
        <v>116</v>
      </c>
      <c r="C58" s="13">
        <v>989.75799999999992</v>
      </c>
      <c r="D58" s="5">
        <v>2028</v>
      </c>
      <c r="E58" s="7"/>
      <c r="F58" s="7">
        <f t="shared" si="0"/>
        <v>0</v>
      </c>
    </row>
    <row r="59" spans="1:6" ht="15" thickBot="1" x14ac:dyDescent="0.4">
      <c r="A59" s="11" t="s">
        <v>37</v>
      </c>
      <c r="B59" s="12">
        <v>759</v>
      </c>
      <c r="C59" s="13">
        <v>711.51300000000003</v>
      </c>
      <c r="D59" s="5">
        <v>2028</v>
      </c>
      <c r="E59" s="7"/>
      <c r="F59" s="7">
        <f t="shared" si="0"/>
        <v>0</v>
      </c>
    </row>
    <row r="60" spans="1:6" ht="15" thickBot="1" x14ac:dyDescent="0.4">
      <c r="A60" s="11" t="s">
        <v>38</v>
      </c>
      <c r="B60" s="12">
        <v>624</v>
      </c>
      <c r="C60" s="13">
        <v>808.87400000000002</v>
      </c>
      <c r="D60" s="5">
        <v>2028</v>
      </c>
      <c r="E60" s="7"/>
      <c r="F60" s="7">
        <f t="shared" si="0"/>
        <v>0</v>
      </c>
    </row>
    <row r="61" spans="1:6" ht="15" thickBot="1" x14ac:dyDescent="0.4">
      <c r="A61" s="11" t="s">
        <v>39</v>
      </c>
      <c r="B61" s="12">
        <v>80</v>
      </c>
      <c r="C61" s="13">
        <v>938.3</v>
      </c>
      <c r="D61" s="5">
        <v>2028</v>
      </c>
      <c r="E61" s="7"/>
      <c r="F61" s="7">
        <f t="shared" si="0"/>
        <v>0</v>
      </c>
    </row>
    <row r="62" spans="1:6" ht="15" thickBot="1" x14ac:dyDescent="0.4">
      <c r="A62" s="11" t="s">
        <v>40</v>
      </c>
      <c r="B62" s="12">
        <v>650</v>
      </c>
      <c r="C62" s="13">
        <v>813.90099999999995</v>
      </c>
      <c r="D62" s="5">
        <v>2028</v>
      </c>
      <c r="E62" s="7"/>
      <c r="F62" s="7">
        <f t="shared" si="0"/>
        <v>0</v>
      </c>
    </row>
    <row r="63" spans="1:6" ht="15" thickBot="1" x14ac:dyDescent="0.4">
      <c r="A63" s="11" t="s">
        <v>41</v>
      </c>
      <c r="B63" s="12">
        <v>614</v>
      </c>
      <c r="C63" s="13">
        <v>1096.425</v>
      </c>
      <c r="D63" s="5">
        <v>2028</v>
      </c>
      <c r="E63" s="7"/>
      <c r="F63" s="7">
        <f t="shared" si="0"/>
        <v>0</v>
      </c>
    </row>
    <row r="64" spans="1:6" ht="15" thickBot="1" x14ac:dyDescent="0.4">
      <c r="A64" s="11" t="s">
        <v>42</v>
      </c>
      <c r="B64" s="12">
        <v>360</v>
      </c>
      <c r="C64" s="13">
        <v>423.55500000000001</v>
      </c>
      <c r="D64" s="5">
        <v>2028</v>
      </c>
      <c r="E64" s="7"/>
      <c r="F64" s="7">
        <f t="shared" si="0"/>
        <v>0</v>
      </c>
    </row>
    <row r="65" spans="1:6" ht="15" thickBot="1" x14ac:dyDescent="0.4">
      <c r="A65" s="11" t="s">
        <v>43</v>
      </c>
      <c r="B65" s="12">
        <v>180</v>
      </c>
      <c r="C65" s="13">
        <v>535.35900000000004</v>
      </c>
      <c r="D65" s="5">
        <v>2028</v>
      </c>
      <c r="E65" s="7"/>
      <c r="F65" s="7">
        <f t="shared" si="0"/>
        <v>0</v>
      </c>
    </row>
    <row r="66" spans="1:6" ht="15" thickBot="1" x14ac:dyDescent="0.4">
      <c r="A66" s="11" t="s">
        <v>44</v>
      </c>
      <c r="B66" s="12">
        <v>156</v>
      </c>
      <c r="C66" s="13">
        <v>457.00599999999991</v>
      </c>
      <c r="D66" s="5">
        <v>2028</v>
      </c>
      <c r="E66" s="7"/>
      <c r="F66" s="7">
        <f t="shared" si="0"/>
        <v>0</v>
      </c>
    </row>
    <row r="67" spans="1:6" ht="15" thickBot="1" x14ac:dyDescent="0.4">
      <c r="A67" s="11" t="s">
        <v>45</v>
      </c>
      <c r="B67" s="12">
        <v>89</v>
      </c>
      <c r="C67" s="13">
        <v>650.41899999999998</v>
      </c>
      <c r="D67" s="5">
        <v>2028</v>
      </c>
      <c r="E67" s="7"/>
      <c r="F67" s="7">
        <f t="shared" si="0"/>
        <v>0</v>
      </c>
    </row>
    <row r="68" spans="1:6" ht="15" thickBot="1" x14ac:dyDescent="0.4">
      <c r="A68" s="11" t="s">
        <v>46</v>
      </c>
      <c r="B68" s="12">
        <v>72</v>
      </c>
      <c r="C68" s="13">
        <v>457.00599999999991</v>
      </c>
      <c r="D68" s="5">
        <v>2028</v>
      </c>
      <c r="E68" s="7"/>
      <c r="F68" s="7">
        <f t="shared" ref="F68:F103" si="1">C68*E68</f>
        <v>0</v>
      </c>
    </row>
    <row r="69" spans="1:6" ht="15" thickBot="1" x14ac:dyDescent="0.4">
      <c r="A69" s="11" t="s">
        <v>47</v>
      </c>
      <c r="B69" s="12">
        <v>0</v>
      </c>
      <c r="C69" s="13">
        <v>457.00599999999991</v>
      </c>
      <c r="D69" s="5">
        <v>2028</v>
      </c>
      <c r="E69" s="7"/>
      <c r="F69" s="7">
        <f t="shared" si="1"/>
        <v>0</v>
      </c>
    </row>
    <row r="70" spans="1:6" ht="15" thickBot="1" x14ac:dyDescent="0.4">
      <c r="A70" s="11" t="s">
        <v>48</v>
      </c>
      <c r="B70" s="12">
        <v>0</v>
      </c>
      <c r="C70" s="13">
        <v>423.55500000000001</v>
      </c>
      <c r="D70" s="5">
        <v>2028</v>
      </c>
      <c r="E70" s="7"/>
      <c r="F70" s="7">
        <f t="shared" si="1"/>
        <v>0</v>
      </c>
    </row>
    <row r="71" spans="1:6" ht="15" thickBot="1" x14ac:dyDescent="0.4">
      <c r="A71" s="11" t="s">
        <v>49</v>
      </c>
      <c r="B71" s="12">
        <v>117</v>
      </c>
      <c r="C71" s="13">
        <v>535.35900000000004</v>
      </c>
      <c r="D71" s="5">
        <v>2028</v>
      </c>
      <c r="E71" s="7"/>
      <c r="F71" s="7">
        <f t="shared" si="1"/>
        <v>0</v>
      </c>
    </row>
    <row r="72" spans="1:6" ht="15" thickBot="1" x14ac:dyDescent="0.4">
      <c r="A72" s="11" t="s">
        <v>50</v>
      </c>
      <c r="B72" s="12">
        <v>216</v>
      </c>
      <c r="C72" s="13">
        <v>426.43700000000001</v>
      </c>
      <c r="D72" s="5">
        <v>2028</v>
      </c>
      <c r="E72" s="7"/>
      <c r="F72" s="7">
        <f t="shared" si="1"/>
        <v>0</v>
      </c>
    </row>
    <row r="73" spans="1:6" ht="15" thickBot="1" x14ac:dyDescent="0.4">
      <c r="A73" s="11" t="s">
        <v>51</v>
      </c>
      <c r="B73" s="12">
        <v>360</v>
      </c>
      <c r="C73" s="13">
        <v>457.00599999999991</v>
      </c>
      <c r="D73" s="5">
        <v>2028</v>
      </c>
      <c r="E73" s="7"/>
      <c r="F73" s="7">
        <f t="shared" si="1"/>
        <v>0</v>
      </c>
    </row>
    <row r="74" spans="1:6" ht="15" thickBot="1" x14ac:dyDescent="0.4">
      <c r="A74" s="11" t="s">
        <v>52</v>
      </c>
      <c r="B74" s="12">
        <v>144</v>
      </c>
      <c r="C74" s="13">
        <v>457.00599999999991</v>
      </c>
      <c r="D74" s="5">
        <v>2028</v>
      </c>
      <c r="E74" s="7"/>
      <c r="F74" s="7">
        <f t="shared" si="1"/>
        <v>0</v>
      </c>
    </row>
    <row r="75" spans="1:6" ht="15" thickBot="1" x14ac:dyDescent="0.4">
      <c r="A75" s="11" t="s">
        <v>53</v>
      </c>
      <c r="B75" s="12">
        <v>405</v>
      </c>
      <c r="C75" s="13">
        <v>457.00599999999991</v>
      </c>
      <c r="D75" s="5">
        <v>2028</v>
      </c>
      <c r="E75" s="7"/>
      <c r="F75" s="7">
        <f t="shared" si="1"/>
        <v>0</v>
      </c>
    </row>
    <row r="76" spans="1:6" ht="15" thickBot="1" x14ac:dyDescent="0.4">
      <c r="A76" s="11" t="s">
        <v>54</v>
      </c>
      <c r="B76" s="12">
        <v>320</v>
      </c>
      <c r="C76" s="13">
        <v>78.36399999999999</v>
      </c>
      <c r="D76" s="5">
        <v>2028</v>
      </c>
      <c r="E76" s="7"/>
      <c r="F76" s="7">
        <f t="shared" si="1"/>
        <v>0</v>
      </c>
    </row>
    <row r="77" spans="1:6" ht="15" thickBot="1" x14ac:dyDescent="0.4">
      <c r="A77" s="11" t="s">
        <v>55</v>
      </c>
      <c r="B77" s="12">
        <v>428</v>
      </c>
      <c r="C77" s="13">
        <v>78.36399999999999</v>
      </c>
      <c r="D77" s="5">
        <v>2028</v>
      </c>
      <c r="E77" s="7"/>
      <c r="F77" s="7">
        <f t="shared" si="1"/>
        <v>0</v>
      </c>
    </row>
    <row r="78" spans="1:6" ht="15" thickBot="1" x14ac:dyDescent="0.4">
      <c r="A78" s="11" t="s">
        <v>56</v>
      </c>
      <c r="B78" s="12">
        <v>600</v>
      </c>
      <c r="C78" s="13">
        <v>535.05100000000004</v>
      </c>
      <c r="D78" s="5">
        <v>2028</v>
      </c>
      <c r="E78" s="7"/>
      <c r="F78" s="7">
        <f t="shared" si="1"/>
        <v>0</v>
      </c>
    </row>
    <row r="79" spans="1:6" ht="15" thickBot="1" x14ac:dyDescent="0.4">
      <c r="A79" s="11" t="s">
        <v>57</v>
      </c>
      <c r="B79" s="12">
        <v>390</v>
      </c>
      <c r="C79" s="13">
        <v>557.87599999999998</v>
      </c>
      <c r="D79" s="5">
        <v>2028</v>
      </c>
      <c r="E79" s="7"/>
      <c r="F79" s="7">
        <f t="shared" si="1"/>
        <v>0</v>
      </c>
    </row>
    <row r="80" spans="1:6" ht="15" thickBot="1" x14ac:dyDescent="0.4">
      <c r="A80" s="11" t="s">
        <v>58</v>
      </c>
      <c r="B80" s="12">
        <v>90</v>
      </c>
      <c r="C80" s="13">
        <v>546.54600000000005</v>
      </c>
      <c r="D80" s="5">
        <v>2028</v>
      </c>
      <c r="E80" s="7"/>
      <c r="F80" s="7">
        <f t="shared" si="1"/>
        <v>0</v>
      </c>
    </row>
    <row r="81" spans="1:6" ht="15" thickBot="1" x14ac:dyDescent="0.4">
      <c r="A81" s="11" t="s">
        <v>59</v>
      </c>
      <c r="B81" s="12">
        <v>60</v>
      </c>
      <c r="C81" s="13">
        <v>548.39400000000001</v>
      </c>
      <c r="D81" s="5">
        <v>2028</v>
      </c>
      <c r="E81" s="7"/>
      <c r="F81" s="7">
        <f t="shared" si="1"/>
        <v>0</v>
      </c>
    </row>
    <row r="82" spans="1:6" ht="15" thickBot="1" x14ac:dyDescent="0.4">
      <c r="A82" s="11" t="s">
        <v>60</v>
      </c>
      <c r="B82" s="12">
        <v>150</v>
      </c>
      <c r="C82" s="13">
        <v>525.98699999999997</v>
      </c>
      <c r="D82" s="5">
        <v>2028</v>
      </c>
      <c r="E82" s="7"/>
      <c r="F82" s="7">
        <f t="shared" si="1"/>
        <v>0</v>
      </c>
    </row>
    <row r="83" spans="1:6" ht="15" thickBot="1" x14ac:dyDescent="0.4">
      <c r="A83" s="11" t="s">
        <v>61</v>
      </c>
      <c r="B83" s="12">
        <v>90</v>
      </c>
      <c r="C83" s="13">
        <v>525.85500000000002</v>
      </c>
      <c r="D83" s="5">
        <v>2028</v>
      </c>
      <c r="E83" s="7"/>
      <c r="F83" s="7">
        <f t="shared" si="1"/>
        <v>0</v>
      </c>
    </row>
    <row r="84" spans="1:6" ht="15" thickBot="1" x14ac:dyDescent="0.4">
      <c r="A84" s="11" t="s">
        <v>62</v>
      </c>
      <c r="B84" s="12" t="s">
        <v>117</v>
      </c>
      <c r="C84" s="13">
        <v>509.50900000000001</v>
      </c>
      <c r="D84" s="5">
        <v>2028</v>
      </c>
      <c r="E84" s="7"/>
      <c r="F84" s="7">
        <f t="shared" si="1"/>
        <v>0</v>
      </c>
    </row>
    <row r="85" spans="1:6" ht="15" thickBot="1" x14ac:dyDescent="0.4">
      <c r="A85" s="11" t="s">
        <v>63</v>
      </c>
      <c r="B85" s="12">
        <v>259</v>
      </c>
      <c r="C85" s="13">
        <v>1202.2560000000001</v>
      </c>
      <c r="D85" s="5">
        <v>2028</v>
      </c>
      <c r="E85" s="7"/>
      <c r="F85" s="7">
        <f t="shared" si="1"/>
        <v>0</v>
      </c>
    </row>
    <row r="86" spans="1:6" ht="15" thickBot="1" x14ac:dyDescent="0.4">
      <c r="A86" s="11" t="s">
        <v>64</v>
      </c>
      <c r="B86" s="12" t="s">
        <v>65</v>
      </c>
      <c r="C86" s="13">
        <v>563.55200000000002</v>
      </c>
      <c r="D86" s="5">
        <v>2028</v>
      </c>
      <c r="E86" s="7"/>
      <c r="F86" s="7">
        <f t="shared" si="1"/>
        <v>0</v>
      </c>
    </row>
    <row r="87" spans="1:6" ht="15" thickBot="1" x14ac:dyDescent="0.4">
      <c r="A87" s="11" t="s">
        <v>66</v>
      </c>
      <c r="B87" s="12">
        <v>32</v>
      </c>
      <c r="C87" s="13">
        <v>901.69200000000001</v>
      </c>
      <c r="D87" s="5">
        <v>2028</v>
      </c>
      <c r="E87" s="7"/>
      <c r="F87" s="7">
        <f t="shared" si="1"/>
        <v>0</v>
      </c>
    </row>
    <row r="88" spans="1:6" ht="15" thickBot="1" x14ac:dyDescent="0.4">
      <c r="A88" s="11" t="s">
        <v>67</v>
      </c>
      <c r="B88" s="12">
        <v>966</v>
      </c>
      <c r="C88" s="13">
        <v>533.423</v>
      </c>
      <c r="D88" s="5">
        <v>2028</v>
      </c>
      <c r="E88" s="7"/>
      <c r="F88" s="7">
        <f t="shared" si="1"/>
        <v>0</v>
      </c>
    </row>
    <row r="89" spans="1:6" ht="15" thickBot="1" x14ac:dyDescent="0.4">
      <c r="A89" s="11" t="s">
        <v>68</v>
      </c>
      <c r="B89" s="12">
        <v>30</v>
      </c>
      <c r="C89" s="13">
        <v>404.67900000000003</v>
      </c>
      <c r="D89" s="5" t="s">
        <v>87</v>
      </c>
      <c r="E89" s="7"/>
      <c r="F89" s="7">
        <f t="shared" si="1"/>
        <v>0</v>
      </c>
    </row>
    <row r="90" spans="1:6" ht="15" thickBot="1" x14ac:dyDescent="0.4">
      <c r="A90" s="11" t="s">
        <v>69</v>
      </c>
      <c r="B90" s="12">
        <v>55</v>
      </c>
      <c r="C90" s="13">
        <v>1162.92</v>
      </c>
      <c r="D90" s="5" t="s">
        <v>88</v>
      </c>
      <c r="E90" s="7"/>
      <c r="F90" s="7">
        <f t="shared" si="1"/>
        <v>0</v>
      </c>
    </row>
    <row r="91" spans="1:6" ht="15" thickBot="1" x14ac:dyDescent="0.4">
      <c r="A91" s="11" t="s">
        <v>70</v>
      </c>
      <c r="B91" s="12">
        <v>31</v>
      </c>
      <c r="C91" s="13">
        <v>930.03899999999999</v>
      </c>
      <c r="D91" s="5" t="s">
        <v>88</v>
      </c>
      <c r="E91" s="7"/>
      <c r="F91" s="7">
        <f t="shared" si="1"/>
        <v>0</v>
      </c>
    </row>
    <row r="92" spans="1:6" ht="15" thickBot="1" x14ac:dyDescent="0.4">
      <c r="A92" s="11" t="s">
        <v>71</v>
      </c>
      <c r="B92" s="12" t="s">
        <v>118</v>
      </c>
      <c r="C92" s="13">
        <v>730.24599999999998</v>
      </c>
      <c r="D92" s="5">
        <v>2028</v>
      </c>
      <c r="E92" s="7"/>
      <c r="F92" s="7">
        <f t="shared" si="1"/>
        <v>0</v>
      </c>
    </row>
    <row r="93" spans="1:6" ht="15" thickBot="1" x14ac:dyDescent="0.4">
      <c r="A93" s="11" t="s">
        <v>72</v>
      </c>
      <c r="B93" s="12" t="s">
        <v>119</v>
      </c>
      <c r="C93" s="13">
        <v>563.39799999999991</v>
      </c>
      <c r="D93" s="5">
        <v>2028</v>
      </c>
      <c r="E93" s="7"/>
      <c r="F93" s="7">
        <f t="shared" si="1"/>
        <v>0</v>
      </c>
    </row>
    <row r="94" spans="1:6" ht="15" thickBot="1" x14ac:dyDescent="0.4">
      <c r="A94" s="11" t="s">
        <v>73</v>
      </c>
      <c r="B94" s="12" t="s">
        <v>120</v>
      </c>
      <c r="C94" s="13">
        <v>585.31000000000006</v>
      </c>
      <c r="D94" s="5">
        <v>2028</v>
      </c>
      <c r="E94" s="7"/>
      <c r="F94" s="7">
        <f t="shared" si="1"/>
        <v>0</v>
      </c>
    </row>
    <row r="95" spans="1:6" ht="15" thickBot="1" x14ac:dyDescent="0.4">
      <c r="A95" s="11" t="s">
        <v>74</v>
      </c>
      <c r="B95" s="12">
        <v>1000</v>
      </c>
      <c r="C95" s="13">
        <v>106.63399999999999</v>
      </c>
      <c r="D95" s="5">
        <v>2028</v>
      </c>
      <c r="E95" s="7"/>
      <c r="F95" s="7">
        <f t="shared" si="1"/>
        <v>0</v>
      </c>
    </row>
    <row r="96" spans="1:6" ht="15" thickBot="1" x14ac:dyDescent="0.4">
      <c r="A96" s="11" t="s">
        <v>75</v>
      </c>
      <c r="B96" s="12">
        <v>13</v>
      </c>
      <c r="C96" s="13">
        <v>685.77299999999991</v>
      </c>
      <c r="D96" s="5">
        <v>2028</v>
      </c>
      <c r="E96" s="7"/>
      <c r="F96" s="7">
        <f t="shared" si="1"/>
        <v>0</v>
      </c>
    </row>
    <row r="97" spans="1:6" ht="15" thickBot="1" x14ac:dyDescent="0.4">
      <c r="A97" s="11" t="s">
        <v>76</v>
      </c>
      <c r="B97" s="12">
        <v>90</v>
      </c>
      <c r="C97" s="13">
        <v>950.52099999999996</v>
      </c>
      <c r="D97" s="5">
        <v>12.2027</v>
      </c>
      <c r="E97" s="7"/>
      <c r="F97" s="7">
        <f t="shared" si="1"/>
        <v>0</v>
      </c>
    </row>
    <row r="98" spans="1:6" ht="15" thickBot="1" x14ac:dyDescent="0.4">
      <c r="A98" s="11" t="s">
        <v>77</v>
      </c>
      <c r="B98" s="12" t="s">
        <v>121</v>
      </c>
      <c r="C98" s="13">
        <v>778.66800000000001</v>
      </c>
      <c r="D98" s="5">
        <v>2028</v>
      </c>
      <c r="E98" s="7"/>
      <c r="F98" s="7">
        <f t="shared" si="1"/>
        <v>0</v>
      </c>
    </row>
    <row r="99" spans="1:6" ht="15" thickBot="1" x14ac:dyDescent="0.4">
      <c r="A99" s="11" t="s">
        <v>78</v>
      </c>
      <c r="B99" s="12">
        <v>57</v>
      </c>
      <c r="C99" s="13">
        <v>840.21299999999997</v>
      </c>
      <c r="D99" s="5">
        <v>2028</v>
      </c>
      <c r="E99" s="7"/>
      <c r="F99" s="7">
        <f t="shared" si="1"/>
        <v>0</v>
      </c>
    </row>
    <row r="100" spans="1:6" ht="15" thickBot="1" x14ac:dyDescent="0.4">
      <c r="A100" s="11" t="s">
        <v>79</v>
      </c>
      <c r="B100" s="12" t="s">
        <v>122</v>
      </c>
      <c r="C100" s="13">
        <v>611.798</v>
      </c>
      <c r="D100" s="5">
        <v>2028</v>
      </c>
      <c r="E100" s="7"/>
      <c r="F100" s="7">
        <f t="shared" si="1"/>
        <v>0</v>
      </c>
    </row>
    <row r="101" spans="1:6" ht="15" thickBot="1" x14ac:dyDescent="0.4">
      <c r="A101" s="11" t="s">
        <v>80</v>
      </c>
      <c r="B101" s="12">
        <v>70</v>
      </c>
      <c r="C101" s="13">
        <v>756.33800000000008</v>
      </c>
      <c r="D101" s="5">
        <v>11.2027</v>
      </c>
      <c r="E101" s="7"/>
      <c r="F101" s="7">
        <f t="shared" si="1"/>
        <v>0</v>
      </c>
    </row>
    <row r="102" spans="1:6" ht="15" thickBot="1" x14ac:dyDescent="0.4">
      <c r="A102" s="11" t="s">
        <v>81</v>
      </c>
      <c r="B102" s="12">
        <v>23</v>
      </c>
      <c r="C102" s="13">
        <v>791.53800000000001</v>
      </c>
      <c r="D102" s="5">
        <v>2028</v>
      </c>
      <c r="E102" s="7"/>
      <c r="F102" s="7">
        <f t="shared" si="1"/>
        <v>0</v>
      </c>
    </row>
    <row r="103" spans="1:6" ht="15" thickBot="1" x14ac:dyDescent="0.4">
      <c r="A103" s="11" t="s">
        <v>82</v>
      </c>
      <c r="B103" s="12" t="s">
        <v>123</v>
      </c>
      <c r="C103" s="13">
        <v>1469.5450000000001</v>
      </c>
      <c r="D103" s="5">
        <v>2028</v>
      </c>
      <c r="E103" s="7"/>
      <c r="F103" s="7">
        <f t="shared" si="1"/>
        <v>0</v>
      </c>
    </row>
    <row r="104" spans="1:6" ht="15" thickBot="1" x14ac:dyDescent="0.4">
      <c r="A104" s="11" t="s">
        <v>83</v>
      </c>
      <c r="B104" s="12">
        <v>397</v>
      </c>
      <c r="C104" s="13">
        <v>1071.444</v>
      </c>
      <c r="D104" s="5">
        <v>2028</v>
      </c>
      <c r="E104" s="7"/>
      <c r="F104" s="7">
        <f>C104*E104</f>
        <v>0</v>
      </c>
    </row>
    <row r="105" spans="1:6" x14ac:dyDescent="0.35">
      <c r="F105" s="2">
        <f>SUM(F3:F104)</f>
        <v>0</v>
      </c>
    </row>
  </sheetData>
  <autoFilter ref="A1:F109" xr:uid="{E121BD01-7CA6-45C8-B091-31B7C434CC9B}"/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2026-08-25T13:43:14Z</cp:lastPrinted>
  <dcterms:created xsi:type="dcterms:W3CDTF">2026-08-05T12:44:14Z</dcterms:created>
  <dcterms:modified xsi:type="dcterms:W3CDTF">2026-08-31T15:12:00Z</dcterms:modified>
</cp:coreProperties>
</file>
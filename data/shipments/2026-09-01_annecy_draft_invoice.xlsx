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cy\Desktop\01 Invoice\러시아\noviy klint\"/>
    </mc:Choice>
  </mc:AlternateContent>
  <xr:revisionPtr revIDLastSave="0" documentId="13_ncr:1_{CB40BBC3-1D51-4622-9963-F501BBED2471}" xr6:coauthVersionLast="47" xr6:coauthVersionMax="47" xr10:uidLastSave="{00000000-0000-0000-0000-000000000000}"/>
  <bookViews>
    <workbookView xWindow="-28920" yWindow="1110" windowWidth="29040" windowHeight="15840" xr2:uid="{00000000-000D-0000-FFFF-FFFF00000000}"/>
  </bookViews>
  <sheets>
    <sheet name="Invoice" sheetId="2" r:id="rId1"/>
    <sheet name="Packing list" sheetId="4" r:id="rId2"/>
  </sheets>
  <definedNames>
    <definedName name="_xlnm._FilterDatabase" localSheetId="0" hidden="1">Invoice!$A$19:$H$403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2" i="2" l="1"/>
  <c r="D402" i="2"/>
  <c r="F388" i="2" l="1"/>
  <c r="G388" i="2" s="1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387" i="2"/>
  <c r="F386" i="2"/>
  <c r="F385" i="2"/>
  <c r="F384" i="2"/>
  <c r="G384" i="2" l="1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G264" i="2" l="1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G235" i="2" l="1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21" i="4"/>
  <c r="F52" i="4" s="1"/>
  <c r="C52" i="4"/>
  <c r="F38" i="2"/>
  <c r="F39" i="2"/>
  <c r="F40" i="2"/>
  <c r="F41" i="2"/>
  <c r="F42" i="2"/>
  <c r="F43" i="2"/>
  <c r="F44" i="2"/>
  <c r="F45" i="2"/>
  <c r="F46" i="2"/>
  <c r="F47" i="2"/>
  <c r="F48" i="2"/>
  <c r="G228" i="2" l="1"/>
  <c r="G196" i="2"/>
  <c r="G63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0" i="2" l="1"/>
  <c r="F21" i="2"/>
  <c r="F22" i="2"/>
  <c r="G20" i="2" l="1"/>
</calcChain>
</file>

<file path=xl/sharedStrings.xml><?xml version="1.0" encoding="utf-8"?>
<sst xmlns="http://schemas.openxmlformats.org/spreadsheetml/2006/main" count="473" uniqueCount="429">
  <si>
    <t xml:space="preserve">COMMERCIAL INVOICE </t>
    <phoneticPr fontId="3" type="noConversion"/>
  </si>
  <si>
    <t>1. Shipper/Exporter</t>
  </si>
  <si>
    <t>8. NO. &amp; Date of invoice</t>
  </si>
  <si>
    <t>Annecy</t>
    <phoneticPr fontId="4" type="noConversion"/>
  </si>
  <si>
    <t>6F, Hyundai Plaza, 63 Jungsan-ro, ilsandong-gu, Goyang-si, Gyeonggi-do, Korea 10355</t>
    <phoneticPr fontId="5" type="noConversion"/>
  </si>
  <si>
    <t>TEL : 031-977-8778</t>
    <phoneticPr fontId="3" type="noConversion"/>
  </si>
  <si>
    <t>2. For Account &amp; Risk of Messrs (Importer)</t>
    <phoneticPr fontId="3" type="noConversion"/>
  </si>
  <si>
    <t>9. L/C Issuing Bank</t>
    <phoneticPr fontId="5" type="noConversion"/>
  </si>
  <si>
    <t>3. Notify party</t>
  </si>
  <si>
    <t>SAME AS ABOVE</t>
  </si>
  <si>
    <t>4. Port of loading</t>
  </si>
  <si>
    <t>5. Final destination</t>
  </si>
  <si>
    <t>6. Vessel name</t>
    <phoneticPr fontId="5" type="noConversion"/>
  </si>
  <si>
    <t>7. Sailing on or about</t>
  </si>
  <si>
    <t>12. No.</t>
    <phoneticPr fontId="3" type="noConversion"/>
  </si>
  <si>
    <t>13. Brand</t>
    <phoneticPr fontId="3" type="noConversion"/>
  </si>
  <si>
    <t>14. Product</t>
    <phoneticPr fontId="3" type="noConversion"/>
  </si>
  <si>
    <t>15. Qty.</t>
    <phoneticPr fontId="3" type="noConversion"/>
  </si>
  <si>
    <t>16. Unit Price(KRW)</t>
    <phoneticPr fontId="3" type="noConversion"/>
  </si>
  <si>
    <t>17. Subtotal(KRW)</t>
    <phoneticPr fontId="3" type="noConversion"/>
  </si>
  <si>
    <t>18. Subtotal by Brand (KRW)</t>
    <phoneticPr fontId="3" type="noConversion"/>
  </si>
  <si>
    <t>19. Remarks</t>
    <phoneticPr fontId="3" type="noConversion"/>
  </si>
  <si>
    <t>Total Q'ty</t>
    <phoneticPr fontId="4" type="noConversion"/>
  </si>
  <si>
    <r>
      <t>10. Terms of Delivery &amp; Payment
EXW</t>
    </r>
    <r>
      <rPr>
        <b/>
        <sz val="11"/>
        <rFont val="맑은 고딕"/>
        <family val="3"/>
        <charset val="129"/>
        <scheme val="minor"/>
      </rPr>
      <t xml:space="preserve">
 T/T 100% Payment Before Shipment
</t>
    </r>
    <phoneticPr fontId="3" type="noConversion"/>
  </si>
  <si>
    <t>9. No. &amp; Date of L/C</t>
  </si>
  <si>
    <t>16.Qty</t>
    <phoneticPr fontId="3" type="noConversion"/>
  </si>
  <si>
    <t>Total</t>
    <phoneticPr fontId="3" type="noConversion"/>
  </si>
  <si>
    <t>Total Weight (kg)</t>
    <phoneticPr fontId="3" type="noConversion"/>
  </si>
  <si>
    <t>17.Weight( of Box (kg)</t>
    <phoneticPr fontId="3" type="noConversion"/>
  </si>
  <si>
    <t>18.HS Code</t>
    <phoneticPr fontId="3" type="noConversion"/>
  </si>
  <si>
    <t>3304.99.1000</t>
  </si>
  <si>
    <t>2. For Account &amp; Risk of Messrs (Importer)</t>
    <phoneticPr fontId="3" type="noConversion"/>
  </si>
  <si>
    <t>11. Remarks :</t>
    <phoneticPr fontId="3" type="noConversion"/>
  </si>
  <si>
    <t>1005-004-410214 KRW
1081-401-005030 USD
business license 575-81-02758
SWIFT CODE : HVBKKRSEXXX
BANK NAME : WOORI BANK ·
BANK ADDRESS: 17, WORLD CUP BUK-RO 60-GIL, MAPO-GU, SEOUL, 03921, SOUTH KOREA
Phone: 031-908-8308
EXW: 21-7, Gamnae-gil, Ilsandong-gu, Goyang-si, Gyeonggi-do, Republic of Korea</t>
    <phoneticPr fontId="4" type="noConversion"/>
  </si>
  <si>
    <t>Packing List</t>
    <phoneticPr fontId="3" type="noConversion"/>
  </si>
  <si>
    <t>Annecy</t>
    <phoneticPr fontId="4" type="noConversion"/>
  </si>
  <si>
    <t>6F,Hyundai Plaza,63 Junsang-ro, Ilsandong-gu,Goyang-si,Korea 10355</t>
    <phoneticPr fontId="5" type="noConversion"/>
  </si>
  <si>
    <t>TEL : 031-977-8778</t>
    <phoneticPr fontId="3" type="noConversion"/>
  </si>
  <si>
    <t>10. L/C Issuing Bank</t>
    <phoneticPr fontId="5" type="noConversion"/>
  </si>
  <si>
    <r>
      <t>11. Terms of Delivery &amp; Payment
EXW</t>
    </r>
    <r>
      <rPr>
        <b/>
        <sz val="11"/>
        <rFont val="맑은 고딕"/>
        <family val="3"/>
        <charset val="129"/>
        <scheme val="minor"/>
      </rPr>
      <t xml:space="preserve">
100% T/T Before Shipment
</t>
    </r>
    <phoneticPr fontId="3" type="noConversion"/>
  </si>
  <si>
    <t>12. Remarks :</t>
    <phoneticPr fontId="3" type="noConversion"/>
  </si>
  <si>
    <t>6. Vessel name</t>
    <phoneticPr fontId="5" type="noConversion"/>
  </si>
  <si>
    <t>14. Box No.</t>
    <phoneticPr fontId="3" type="noConversion"/>
  </si>
  <si>
    <t>15.Products</t>
    <phoneticPr fontId="3" type="noConversion"/>
  </si>
  <si>
    <t>19. Weight of Pallet (kg)</t>
    <phoneticPr fontId="3" type="noConversion"/>
  </si>
  <si>
    <t>Total Amount(KRW)</t>
    <phoneticPr fontId="3" type="noConversion"/>
  </si>
  <si>
    <t>2026-08-14-141</t>
    <phoneticPr fontId="3" type="noConversion"/>
  </si>
  <si>
    <t>8. NO. &amp; Date of invoice</t>
    <phoneticPr fontId="3" type="noConversion"/>
  </si>
  <si>
    <t>2026-09-01-01</t>
    <phoneticPr fontId="3" type="noConversion"/>
  </si>
  <si>
    <t>Arencia Fresh Rosehip Rice Mochi Cleanser 120g</t>
  </si>
  <si>
    <t>Arencia Blue Hyssop+ Rice Mochi Cleanser 120g</t>
  </si>
  <si>
    <t>Arencia Calendula Rice Mochi Cleanser 120g</t>
  </si>
  <si>
    <t xml:space="preserve">Arencia Black Tea Rice Mochi Cleanser 120g
</t>
  </si>
  <si>
    <t>Arencia Holy Hyssop Serum 12 30ml</t>
  </si>
  <si>
    <t>Arencia Holy Hyssop Serum 30 50g</t>
  </si>
  <si>
    <t>Arencia Holy Hyssop Sheet Mask (5ea)</t>
  </si>
  <si>
    <t>Arencia Fresh Red Smoothie Serum 8 30ml</t>
  </si>
  <si>
    <t>Arencia Fresh Red Smoothie Serum 30 50g</t>
  </si>
  <si>
    <t>Arencia Red Collagen Jello Mask (4ea)</t>
  </si>
  <si>
    <t>Arencia Green Tea + LHA Deep Pore Rice Cake Cleanser 150g</t>
  </si>
  <si>
    <t>Arencia Rosehip Mild PH Balancing Rice Cake Cleanser 150ml</t>
  </si>
  <si>
    <t>Arencia Rice + LHA Pore Control Rice Cake Cleanser 150ml</t>
  </si>
  <si>
    <t>Arencia Deep Water Surge Serum 30ml</t>
  </si>
  <si>
    <t>Arencia Deep Water Surge Serum 30 50g</t>
  </si>
  <si>
    <t>Arencia Deep Water Surge Soothing Cream 110ml</t>
  </si>
  <si>
    <t>Red Smoothie Lotion 5 200ml</t>
  </si>
  <si>
    <t>Arencia Pore Melt Mochi Cleansing Oil 200ml</t>
  </si>
  <si>
    <t>Honey Glazed Collagen Lip Mask 15g</t>
  </si>
  <si>
    <t>Arencia Retinal Booster Shot 30ml</t>
  </si>
  <si>
    <t>Arencia Vitamin C Booster Shot 30ml</t>
  </si>
  <si>
    <t>Arencia PDRN Booster Shot 30ml</t>
  </si>
  <si>
    <t>Arencia Retinal Boosting Eye Mask 60ea 84g</t>
  </si>
  <si>
    <t>Arencia PDRN + Hyaluronic Deep Hydration Pads 90ea 200ml</t>
  </si>
  <si>
    <t>Pore Melt Cleansing Oil Pad</t>
  </si>
  <si>
    <t>Blue Collagen Cryo Jello Mask 35gx 1EA</t>
  </si>
  <si>
    <t>Blue Collagen Cryo Jello Mask 35gx 4EA</t>
  </si>
  <si>
    <t>Arencia TXA Booster Shot 30ml</t>
  </si>
  <si>
    <t>Arencia NAD+ Booster Shot 30ml</t>
  </si>
  <si>
    <t>Arencia Eraser Shot Glycolic Acid Booster 30ml</t>
  </si>
  <si>
    <t>Arencia Vitamin C Booster Shot Mask (5ea)</t>
  </si>
  <si>
    <t>Arencia Vita Collagen Radiance Jello Mask (4ea)</t>
  </si>
  <si>
    <t>Arencia Eraser Shot Glycolic Acid Exfoliator</t>
  </si>
  <si>
    <t>Arencia Vitamin C Glutathione Skin Booster Mist</t>
  </si>
  <si>
    <t>Arencia Vitamin C Glutathione Booster Shot Essence</t>
  </si>
  <si>
    <t>Arencia Eraser Soothing Cream</t>
  </si>
  <si>
    <t>Arencia Vitamin C Glow Booster Gel Cream</t>
  </si>
  <si>
    <t>Arencia Vitamin C Booster Shot 10ml</t>
  </si>
  <si>
    <t>Arencia PDRN Booster Shot 10ml</t>
  </si>
  <si>
    <t>Arencia NAD+ Booster Shot 10ml</t>
  </si>
  <si>
    <t>Arencia Eraser Shot Glycolic Acid Booster 10ml</t>
  </si>
  <si>
    <t>Arencia Retinal Booster Shot 10ml</t>
  </si>
  <si>
    <t>Arencia Fresh Green Rice Mochi Cleanser 120g</t>
    <phoneticPr fontId="3" type="noConversion"/>
  </si>
  <si>
    <t>Arencia</t>
    <phoneticPr fontId="3" type="noConversion"/>
  </si>
  <si>
    <t>VT REEDLE SHOT 50</t>
  </si>
  <si>
    <t>VT REEDLE SHOT 1000</t>
  </si>
  <si>
    <t>VT MILD REEDLE SHOT 50 2-STEP MASK</t>
  </si>
  <si>
    <t>VT REEDLE SHOT 100 2-STEP MASK</t>
  </si>
  <si>
    <t>VT REEDLE SHOT 300 2-STEP MASK</t>
  </si>
  <si>
    <t>VT REEDLE SHOT 700 2-STEP MASK</t>
  </si>
  <si>
    <t>VT REEDLE SHOT 1000 2-STEP MASK</t>
  </si>
  <si>
    <t>VT REEDLE SHOT 100 2-STEP MASK(5EA)</t>
  </si>
  <si>
    <t>VT REEDLE SHOT 300 2-STEP MASK(5EA)</t>
  </si>
  <si>
    <t>VT COLLAGEN REEDLE SHOT 100 2STEP MASK</t>
  </si>
  <si>
    <t>VT COLLAGEN REEDLE SHOT 300 2STEP MASK</t>
  </si>
  <si>
    <t>VT COLLAGEN REEDLE SHOT 700 2STEP MASK</t>
  </si>
  <si>
    <t>VT HYDROP REEDLE SHOT 100hL 2 STEP MASK</t>
  </si>
  <si>
    <t>VT HYDROP REEDLE SHOT 300hL 2 STEP MASK</t>
  </si>
  <si>
    <t>VT HYDROP REEDLE SHOT 700hL 2 STEP MASK</t>
  </si>
  <si>
    <t>VT HYDROP REEDLE SHOT 100hL 2 STEP MASK (5EA)</t>
  </si>
  <si>
    <t>VT PRO CICA REEDLE SHOT® 100 2STEP HYDROGEL MASK</t>
  </si>
  <si>
    <t>VT VITA-LIGHT REEDLE SHOT® 100 2STEP HYDROGEL MASK</t>
  </si>
  <si>
    <t>VT RETI-A REEDLE SHOT® 100 2STEP HYDROGEL MASK</t>
  </si>
  <si>
    <t>VT HYDROP REEDLE SHOT® 100hL 2STEP HYDROGEL MASK</t>
  </si>
  <si>
    <t>VT 100 REEDLE SHOT</t>
  </si>
  <si>
    <t>VT 300 REEDLE SHOT</t>
  </si>
  <si>
    <t>VT 100 RETI-A REEDLE SHOT</t>
  </si>
  <si>
    <t>VT 100 VITA-LIGHT REEDLE SHOT</t>
  </si>
  <si>
    <t>VT 100 COLLAGEN REEDLE SHOT</t>
  </si>
  <si>
    <t>VT REEDLE SHOT EX COLLAGEN MODELING PACK</t>
  </si>
  <si>
    <t>VT REEDLE SHOT EX CICA MODELING PACK</t>
  </si>
  <si>
    <t>VT REEDLE SHOT EX VITAMIN MODELING PACK</t>
  </si>
  <si>
    <t>VT REEDLE SHOT EX HYALURONIC MODELING PACK</t>
  </si>
  <si>
    <t>VT HYDROP REEDLE SHOT 300hL</t>
  </si>
  <si>
    <t>VT HYDROP REEDLE SHOT 700hL</t>
  </si>
  <si>
    <t>VT RETI-A REEDLE SHOT 100</t>
  </si>
  <si>
    <t>VT RETI-A REEDLE SHOT 300</t>
  </si>
  <si>
    <t>VT RETI-A REEDLE SHOT 700</t>
  </si>
  <si>
    <t>VT VITA-LIGHT REEDLE SHOT 100</t>
  </si>
  <si>
    <t>VT VITA-LIGHT REEDLE SHOT 300</t>
  </si>
  <si>
    <t>VT VITA-LIGHT REEDLE SHOT 700</t>
  </si>
  <si>
    <t>VT COLLAGEN REEDLE SHOT 100</t>
  </si>
  <si>
    <t>VT COLLAGEN REEDLE SHOT 300</t>
  </si>
  <si>
    <t>VT COLLAGEN REEDLE SHOT 700</t>
  </si>
  <si>
    <t>VT PRO CICA REEDLE SHOT 100</t>
  </si>
  <si>
    <t>VT PRO CICA REEDLE SHOT 300</t>
  </si>
  <si>
    <t>VT PRO CICA REEDLE SHOT 700</t>
  </si>
  <si>
    <t>VT RED BOOSTER REEDLE SHOT 100</t>
  </si>
  <si>
    <t>VT RED BOOSTER REEDLE SHOT 300</t>
  </si>
  <si>
    <t>VT RED BOOSTER REEDLE SHOT 700</t>
  </si>
  <si>
    <t>VT SNAIL REEDLE SHOT 100B</t>
  </si>
  <si>
    <t>VT BLACK TRUFFLE REEDLE SHOT® 100</t>
  </si>
  <si>
    <t>VT REEDLE S LIP PLUMPER BEGINNER</t>
  </si>
  <si>
    <t>VT REEDLE S LIP PLUMPER EXPERT</t>
  </si>
  <si>
    <t>VT GARLIC AC REEDLE SHOT SPOT CREAM</t>
  </si>
  <si>
    <t>VT GARLIC AC REEDLE SHOT GEL CREAM</t>
  </si>
  <si>
    <t>VT REEDLE SHOT FOOT PEELING MASK</t>
  </si>
  <si>
    <t>VT REEDLE SHOT NOURISHING HAND MASK</t>
  </si>
  <si>
    <t>VT PDRN HYDROGEL MASK</t>
  </si>
  <si>
    <t>VT PDRN ESSENCE 100</t>
  </si>
  <si>
    <t>VT PDRN CREAM 100</t>
  </si>
  <si>
    <t>VT PDRN REEDLE SHOT 100</t>
  </si>
  <si>
    <t>VT PDRN REEDLE SHOT 300</t>
  </si>
  <si>
    <t>KR_PD_PDRN TONER_250ml_1ea</t>
  </si>
  <si>
    <t>VT REEDLE SHOT HAIR AMPOULE 100dL</t>
  </si>
  <si>
    <t>VT PDRN GLOW AMPOULE</t>
  </si>
  <si>
    <t>VT PDRN CAPSULE CREAM 100</t>
  </si>
  <si>
    <t>VT PDRN REEDLE SHOT SCALP SHAMPOO</t>
  </si>
  <si>
    <t>VT PDRN MOIST TONE UP SUN ESSENCE RX</t>
  </si>
  <si>
    <t>VT PDRN REEDLE SHOT EYE LIFTER</t>
  </si>
  <si>
    <t>VT PDRN DAILY MASK</t>
  </si>
  <si>
    <t>VT SKIN PACK (MILD)</t>
  </si>
  <si>
    <t>VT SKIN PACK (SMOOTH)</t>
  </si>
  <si>
    <t>VT SKIN PACK (LUMINOUS)</t>
  </si>
  <si>
    <t>KR_OL_CRYO ICE MASK_320g_30ea</t>
  </si>
  <si>
    <t>VT REEDLE SHOT LIFTING MASK</t>
  </si>
  <si>
    <t>VT REEDLE SHOT LIFTING SERUM</t>
  </si>
  <si>
    <t>VT REEDLE SHOT LIFTING CREAM</t>
  </si>
  <si>
    <t>VT REEDLE SHOT LIFTING EYE CREAM</t>
  </si>
  <si>
    <t>VT GLUCAMUNE MASK (1EA)</t>
  </si>
  <si>
    <t>VT CICA RETI-A ALL IN ONE 3STEP MASK</t>
  </si>
  <si>
    <t>VT CICA RETI-A CREAM 0.05</t>
  </si>
  <si>
    <t>VT CICA RETI-A 7 DAYS MASK</t>
  </si>
  <si>
    <t>VT CICA RETI-A MASK</t>
  </si>
  <si>
    <t>VT REEDLE SHOT HYDROP CREAM SET</t>
  </si>
  <si>
    <t>VT REEDLE SHOT COLLAGEN SET</t>
  </si>
  <si>
    <t>VT PRO CICA CENTELLA ASIATICA TIGER CLEAR SPOT PATCH 4pcs/15ea*2+18ea*2(66EA)</t>
  </si>
  <si>
    <t>VT SPOT PATCH(3sets, 48ea)</t>
  </si>
  <si>
    <t>VT CICA MILD CLEANSING TISSUE</t>
  </si>
  <si>
    <t>VT CICA CREAM PLUS (100ml)</t>
  </si>
  <si>
    <t>VT CICA CREAM PLUS (30ml)</t>
  </si>
  <si>
    <t>VT CICA-EXOSOME MOISTURE MASK</t>
  </si>
  <si>
    <t>VT CICA DAILY SOOTHING MASK</t>
  </si>
  <si>
    <t>VT CICA MASK CLEANSER</t>
  </si>
  <si>
    <t>VT CICA COLLAGEN ALL IN ONE 3STEP MASK</t>
  </si>
  <si>
    <t>VT CICA COLLAGEN MASK</t>
  </si>
  <si>
    <t>VT CICA COLLAGEN CREAM</t>
  </si>
  <si>
    <t>VT CICA COLLAGEN EYE CREAM</t>
  </si>
  <si>
    <t>VT VITA-LIGHT ALL IN ONE 3STEP MASK</t>
  </si>
  <si>
    <t>VT REEDLE SHOT VITA-LIGHT BRIGHTENING MASK</t>
  </si>
  <si>
    <t>VT REEDLE SHOT LIP PLUMPER CRYSTAL</t>
  </si>
  <si>
    <t>VT REEDLE SHOT LIP PLUMPER TWINKLE</t>
  </si>
  <si>
    <t>VT REEDLE SHOT LIP PLUMPER USAGI PINK</t>
  </si>
  <si>
    <t>VT REEDLE SHOT LIP PLUMPER ROSE BERRY</t>
  </si>
  <si>
    <t>VT GLOW LOCK MASK</t>
  </si>
  <si>
    <t>VT AZ CARE LOCK MASK</t>
  </si>
  <si>
    <t>VT PDRN TENSION TONER PAD</t>
  </si>
  <si>
    <t>VT PDRN REEDLE SHOT CREAM</t>
  </si>
  <si>
    <t>VT GLYCOLIC REEDLE SHOT HEAD TO TOE MIST</t>
  </si>
  <si>
    <t>VT CERAMIDE AQUA CLEANSING OIL</t>
  </si>
  <si>
    <t>VT PDRN REEDLE SHOT HAIR AMPOULE 100dL</t>
  </si>
  <si>
    <t>VT PDRN REEDLE SHOT HAIR AMPOULE 300dL</t>
  </si>
  <si>
    <t>VT PDRN REEDLE SHOT HAIR AMPOULE 700dL</t>
  </si>
  <si>
    <t>VT PDRN REEDLE SHOT SHAMPOO, TREATMENT DUO SET</t>
  </si>
  <si>
    <t>PDRN REEDLE SHOT GOLD ESSENCE</t>
  </si>
  <si>
    <t>PDRN REEDLE SHOT GOLD CREAM</t>
  </si>
  <si>
    <t>VT COLLAGEN REEDLE SHOT 100(30ml)</t>
  </si>
  <si>
    <t>VT VITA-LIGHT REEDLE SHOT 100(30ml)</t>
  </si>
  <si>
    <t>VT RED BOOSTER REEDLE SHOT 100(30ml)</t>
  </si>
  <si>
    <t>VT PDRN REEDLE SHOT BRUSH HAIR SERUM</t>
  </si>
  <si>
    <t xml:space="preserve">VT CAFFENE EYE PATCH </t>
  </si>
  <si>
    <t>VT REEDLE SHOT FOR MEN ALL IN ONE</t>
  </si>
  <si>
    <t>VT BAKUCHIOL REEDLE SHOT CREAM</t>
  </si>
  <si>
    <t>VT RETINAL PEPTIDE CAPSULE CREAM</t>
  </si>
  <si>
    <t>VT PDRN BARRIER CLEANSER</t>
  </si>
  <si>
    <t>VT PDRN HYDROGEL EYE PATCH</t>
  </si>
  <si>
    <t>VT RICE CAPSULE CREAM</t>
  </si>
  <si>
    <t>VT AZELAIC ACID CARE CAPSULE CREAM</t>
  </si>
  <si>
    <t>VT VITAMIN C ASTAXANTHIN CAPSULE CREAM</t>
  </si>
  <si>
    <t>VT VITAMIN C ASTAXANTHIN MASK</t>
  </si>
  <si>
    <t>VT REEDLE SHOT 700</t>
    <phoneticPr fontId="3" type="noConversion"/>
  </si>
  <si>
    <t xml:space="preserve">VT </t>
    <phoneticPr fontId="3" type="noConversion"/>
  </si>
  <si>
    <t>PETITFEE GOLD Hydrogel Eye Patch</t>
  </si>
  <si>
    <t xml:space="preserve">PETITFEE BLACK PEARL &amp; GOLD Hydrogel Eye Patch </t>
  </si>
  <si>
    <t>PETITFEE GOLD &amp; SNAIL Hydrogel Eye Patch</t>
  </si>
  <si>
    <t>PETITFEE Collagen &amp; CoQ10 Hydrogel Eye Patch</t>
  </si>
  <si>
    <t xml:space="preserve">PETITFEE GOLD &amp; EGF Hydrogel Eye•Spot Patch </t>
  </si>
  <si>
    <t>PETITFEE Agave Cooling Hydrogel Eye Mask</t>
  </si>
  <si>
    <t>PETITFEE Artichoke Soothing Hydrogel Eye Mask</t>
  </si>
  <si>
    <t>PETITFEE Cacao Energizing Hydrogel Eye Mask</t>
  </si>
  <si>
    <t>PETITFEE Agave Cooling Hydrogel Face Mask</t>
  </si>
  <si>
    <t>PETITFEE Chamomile Lightening Hydrogel Face Mask</t>
  </si>
  <si>
    <t>PETITFEE Artichoke Soothing Hydrogel Face Mask</t>
  </si>
  <si>
    <t>PETITFEE Cacao Energizing Hydrogel Face Mask</t>
  </si>
  <si>
    <t>Petitfee Beautifying Pore Pads</t>
  </si>
  <si>
    <t>PETITFEE Aura Quartz HYDROGEL EYE MASK PURE OPAL</t>
  </si>
  <si>
    <t>Petitfee Aura Quartz Hydrogel Eye Mask (Blue)</t>
  </si>
  <si>
    <t>Petitfee Aura Quartz Lip Mask</t>
  </si>
  <si>
    <t>Petitfee Aura Quartz Hydrogel Face Mask Crystal Rose</t>
  </si>
  <si>
    <t xml:space="preserve">PETITFEE Dry Essence Hand Pack </t>
  </si>
  <si>
    <t xml:space="preserve">PETITFEE Dry Essence Foot Pack </t>
  </si>
  <si>
    <t>PETITFEE GOLD Neck Pack</t>
  </si>
  <si>
    <t>PETITFEE Centella Clearing Spot Patch</t>
  </si>
  <si>
    <t>PETITFEE Blackhead Melting Mask</t>
  </si>
  <si>
    <t>PETITFEE Blackhead Removing Strips</t>
  </si>
  <si>
    <t>PETITFEE β-Glucan Deep Firming Eye Mask</t>
  </si>
  <si>
    <t>PETITFEE Pink Vita Brightening Eye Mask</t>
  </si>
  <si>
    <t>PETITFEE Pep-Tightening Eye Cream</t>
  </si>
  <si>
    <t>PETITFEE 10Day Centella Eye Mask Soothing</t>
  </si>
  <si>
    <t xml:space="preserve">PETITFEE 10Day Peptide Eye Mask Rejuvenating </t>
  </si>
  <si>
    <t>PETITFEE 10Day Vitamin Eye Mask Brightening</t>
  </si>
  <si>
    <t>Koelf Blueberry &amp; Cream Ice Pop Hydrogel Eye Mask</t>
  </si>
  <si>
    <t>Koelf Ruby &amp; Bulgarian Rose Hydrogel Eye Patch</t>
  </si>
  <si>
    <t>Koelf Gold &amp; Royal Jelly Hydrogel Eye Patch</t>
  </si>
  <si>
    <t>Koelf Pearl &amp; Shea Butter Hydrogel Eye Patch</t>
  </si>
  <si>
    <t>Koelf Melting Essence Hand Pack (10 uses)</t>
  </si>
  <si>
    <t>Koelf Melting Essence Foot Pack (10 uses)</t>
  </si>
  <si>
    <t>PETITFEE Chamomile Lightening Hydrogel Eye Mask</t>
    <phoneticPr fontId="3" type="noConversion"/>
  </si>
  <si>
    <t>PETITFEE</t>
    <phoneticPr fontId="3" type="noConversion"/>
  </si>
  <si>
    <t>Koelf Lemon &amp; Basil Ice Pop Hydrogel Eye Mask</t>
    <phoneticPr fontId="3" type="noConversion"/>
  </si>
  <si>
    <t xml:space="preserve">Koelf </t>
    <phoneticPr fontId="3" type="noConversion"/>
  </si>
  <si>
    <t>LAMELIN ANTI AGING ROLL ON EYE CREAM _ COLLAGEN</t>
  </si>
  <si>
    <t>LAMELIN ANTI AGING ROLL ON EYE CREAM _ PLACENTA</t>
  </si>
  <si>
    <t>LAMELIN HYALURONIC CALMING TONER</t>
  </si>
  <si>
    <t>LAMELIN CICA CALMING TONER</t>
  </si>
  <si>
    <t>LAMELIN COLLAGEN CALMING TONER</t>
  </si>
  <si>
    <t>LAMELIN HYALURONIC 4 IN 1 CREAM</t>
  </si>
  <si>
    <t>LAMELIN COLLAGEN 4 IN 1 CREAM</t>
  </si>
  <si>
    <t>LAMELIN VITAMIN 4 IN 1 CREAM</t>
  </si>
  <si>
    <t>LAMELIN CICA 4 IN 1 CREAM</t>
  </si>
  <si>
    <t>LAMELIN MILD CLEANSING FOAM HYALURONIC</t>
  </si>
  <si>
    <t>LAMELIN MILD CLEANSING FOAM COLLAGEN</t>
  </si>
  <si>
    <t>LAMELIN MILD CLEANSING FOAM CICA</t>
  </si>
  <si>
    <t>LAMELIN MILD CLEANSING SCRUB FOAM RICE</t>
  </si>
  <si>
    <t>LAMELIN MILD PEELING GEL HYALURONIC</t>
  </si>
  <si>
    <t>LAMELIN MILD PEELING GEL COLLAGEN</t>
  </si>
  <si>
    <t>LAMELIN MILD PEELING GEL CICA</t>
  </si>
  <si>
    <t>LAMELIN ANIMAL MASK SHEET TIGER</t>
  </si>
  <si>
    <t>LAMELIN ANIMAL MASK SHEET PUPPY</t>
  </si>
  <si>
    <t>LAMELIN ANIMAL MASK SHEET PANDA</t>
  </si>
  <si>
    <t>LAMELIN ANIMAL MASK SHEET CAT</t>
  </si>
  <si>
    <t>LAMELIN SELF CARE MODELING PACK - CICA</t>
  </si>
  <si>
    <t>LAMELIN SELF CARE MODELING PACK - COLLGEN</t>
  </si>
  <si>
    <t>LAMELIN SELF CARE MODELING PACK - VITAMIN</t>
  </si>
  <si>
    <t>LAMELIN SPA FOOT PEELING</t>
  </si>
  <si>
    <t>LAMELIN DEEP MOISTURE HAND MASK</t>
  </si>
  <si>
    <t>LAMELIN DEEP MOISTURE FOOT MASK</t>
  </si>
  <si>
    <t>LAMELIN PERFECT SEBUM CUT POWDER</t>
  </si>
  <si>
    <t>LAMELIN ANTI AGING ROLL ON EYE CREAM _ RETINOL</t>
    <phoneticPr fontId="3" type="noConversion"/>
  </si>
  <si>
    <t xml:space="preserve">LAMELIN </t>
    <phoneticPr fontId="3" type="noConversion"/>
  </si>
  <si>
    <t>MEDIPEEL RETINAL NMN BOUNCE SHOT BOOSTER</t>
  </si>
  <si>
    <t>MEDIPEEL RETINAL NMN BOUNCE SHOT EYE CREAM REFILL</t>
  </si>
  <si>
    <t>MEDIPEEL RED LACTO COLLAGEN 3,000 SHOT SERUM</t>
  </si>
  <si>
    <t>MEDIPEEL PHYTO EX PDRN LIFTING SHOT DROP GEL CREAM</t>
  </si>
  <si>
    <t>MEDIPEEL PHYTO EX PDRN LIFTING SHOT MIST</t>
  </si>
  <si>
    <t>MEDIPEEL PHYTO EX PDRN LIFTING SHOT SERUM</t>
  </si>
  <si>
    <t>MEDIPEEL PHYTO EX PDRN LIFTING SHOT EYE CREAM</t>
  </si>
  <si>
    <t>MEDIPEEL PHYTO EX PDRN LIFTING SHOT AMPOULE</t>
  </si>
  <si>
    <t>MEDIPEEL PHYTO EX PDRN LIFTING SHOT CREAM</t>
  </si>
  <si>
    <t>MEDIPEEL PHYTO EX PDRN LIFTING SHOT TONER</t>
  </si>
  <si>
    <t>MEDIPEEL PHYTO EX PDRN MICRO SHOT POWDER CLEANSER</t>
  </si>
  <si>
    <t>MEDIPEEL PHYTO EX PDRN MELTING GLOW LIP SLEEPING MASK</t>
  </si>
  <si>
    <t>MEDIPEEL PEPTIDE 9 VOLUME BIO TOX GRINDING CLEANSING BALM PRO</t>
  </si>
  <si>
    <t>MEDIPEEL COLLAGEN GLOW WRAPPING MASK</t>
  </si>
  <si>
    <t>MEDIPEEL PEPTIDE 9 VOLUME BIO TOX GRINDING LIP AND FACE AMPOULE BALM PRO</t>
  </si>
  <si>
    <t>MEDIPEEL PEPTID 9 VOLUME BIO TOX AMPOULE PRO</t>
  </si>
  <si>
    <t>MEDIPEEL PEPTID 9 VOLUME BIO TOX TONER PRO</t>
  </si>
  <si>
    <t>MEDIPEEL PEPTIDE 9 VOLUME AND TENSION TOX CREAM PRO</t>
  </si>
  <si>
    <t>MEDI-PEEL 24K GOLD SNAIL REPAIR EYE CREAM</t>
  </si>
  <si>
    <t>MEDIPEEL 24K GOLD SNAIL REPAIR CREAM</t>
  </si>
  <si>
    <t>MEDIPEEL GOLD AGE TOX H8 CREAM</t>
  </si>
  <si>
    <t>MEDIPEEL GREEN CICA COLLAGEN CLEAR GEL CLEANSER 2.0</t>
  </si>
  <si>
    <t>MEDI-PEEL DEEP VC ULTRA CREAM</t>
  </si>
  <si>
    <t>MEDI-PEEL LACTO PORE LIFTING MODELING PACK</t>
  </si>
  <si>
    <t>MEDIPEEL LACTO PORE LIFTING PAD 2X</t>
  </si>
  <si>
    <t>MEDIPEEL LUXURY 24K GOLD AMPOULE</t>
  </si>
  <si>
    <t>MEDIPEEL RED LACTO COLLAGEN 3000 SHOT SERUM 2 STEP MASK</t>
  </si>
  <si>
    <t>MEDIPEEL RED LACTO COLLAGEN DOUBLE TIGHT PAD</t>
  </si>
  <si>
    <t>MEDIPEEL RED LACTO COLLAGEN WRAPPING MASK</t>
  </si>
  <si>
    <t>MEDIPEEL RED LACTO COLLAGEN BARRIER CREAM</t>
  </si>
  <si>
    <t>MEDIPEEL RED LACTO COLLAGEN BRIGHTENING PATCH</t>
  </si>
  <si>
    <t>RED LACTO COLLAGEN EYE PATCH.</t>
  </si>
  <si>
    <t>MEDI-PEEL RED LACTO COLLAGEN CLEANSING BALM</t>
  </si>
  <si>
    <t>MEDIPEEL RED LACTO COLLAGEN CLEANSING OIL 2.0</t>
  </si>
  <si>
    <t>MEDIPEEL RED LACTO COLLAGEN CLEAR FOAM CLEANSER 2.0</t>
  </si>
  <si>
    <t>MEDIPEEL RED LACTO COLLAGEN TIGHTENING AMPOULE</t>
  </si>
  <si>
    <t>MEDIPEEL RED LACTO COLLAGEN TROUBLE PATCH</t>
  </si>
  <si>
    <t>MEDI-PEEL RED LACTO COLLAGEN PORE LIFTING MASK</t>
  </si>
  <si>
    <t>MEDIPEEL RED LACTO COLLAGEN HYDRO GEL CREAM</t>
  </si>
  <si>
    <t>MEDIPEEL RED CARE PATCH</t>
  </si>
  <si>
    <t>MEDIPEEL RETINAL COLLAGEN LIFTING CREAM</t>
  </si>
  <si>
    <t>MEDIPEEL RETINOL COLLAGEN LIFTING AMPOULE</t>
  </si>
  <si>
    <t>MEDIPEEL RETINOL COLLAGEN LIFTING TONER</t>
  </si>
  <si>
    <t>MEDI-PEEL RETINOL COLLAGEN LIFTING TRIAL KIT</t>
  </si>
  <si>
    <t>MEDIPEEL ROYAL ROSE PREMIUM AMPOULE</t>
  </si>
  <si>
    <t>MEDIPEEL ROSE DIAMOND RADIANT GLOW MASK</t>
  </si>
  <si>
    <t>MEDIPEEL MELANON X CREAM RX</t>
  </si>
  <si>
    <t>MEDIPEEL MEZZO FILLA EYE SERUM</t>
  </si>
  <si>
    <t>MEDIPEEL MELANON X DROP GEL CREAM</t>
  </si>
  <si>
    <t>MEDIPEEL MELANON X CREAM</t>
  </si>
  <si>
    <t>MEDIPEEL MOOLTOX GLOW MOISTURIZING PAD 2X</t>
  </si>
  <si>
    <t>MEDIPEEL MOOLTOX PDRN EXOSOME AMPOULE</t>
  </si>
  <si>
    <t>MEDIPEEL MOOLTOX PDRN HYAL DROP GEL CREAM</t>
  </si>
  <si>
    <t>MEDIPEEL VEGAN PDRN HYAL MOISTURE MASK</t>
  </si>
  <si>
    <t>MEDIPEEL BIO INTENSE GLUTATHIONE WHITE SILKY TONER</t>
  </si>
  <si>
    <t>MEDIPEEL BIO INTENSE GLUTATHIONE WHITE AMPOULE 2.0</t>
  </si>
  <si>
    <t>MEDIPEEL BIO INTENSE GLUTATHIONE WHITE CREAM</t>
  </si>
  <si>
    <t>MEDIPEEL VEGAN VITAMIN COLLAGEN WRAPPING MASK.</t>
  </si>
  <si>
    <t>MEDI-PEEL VEGAN VITAMIN COLLAGEN CLEAR GEL CLEANSER</t>
  </si>
  <si>
    <t>MEDIPEEL VEGAN VITAMIN COLLAGEN CLEAR GEL CLEANSER.</t>
  </si>
  <si>
    <t>MEDIPEEL VITAMIN MELA TONING PAD 2X</t>
  </si>
  <si>
    <t>MEDIPEEL VITAMIN BOMB REFRESHING MASK</t>
  </si>
  <si>
    <t>MEDI-PEEL CELL TOXING DERMAJOURS BLACK TRUFFLE REPAIR MASK</t>
  </si>
  <si>
    <t>MEDIPEEL CELL TOXING DERMAJOURS EYE CREAM</t>
  </si>
  <si>
    <t>MEDIPEEL CELL TOXING DERMAJOURS AMPOULE</t>
  </si>
  <si>
    <t>MEDI-PEEL CELL TOXING DERMAJOURS EMULSION</t>
  </si>
  <si>
    <t>MEDIPEEL CELL TOXING DERMAJOURS ESSENCIAL SET</t>
  </si>
  <si>
    <t>MEDIPEEL CELL TOXING DERMAJOURS CREAM</t>
  </si>
  <si>
    <t>MEDI-PEEL CELL TOXING DERMAJOURS TONER</t>
  </si>
  <si>
    <t>MEDIPEEL EYE TOX CREAM</t>
  </si>
  <si>
    <t>MEDI-PEEL AQUA MOOLTOX SPARKLING PAD</t>
  </si>
  <si>
    <t>AHA+ BHA 28 DAYS HYAL CREAM 28-DAYS SKIN RECOVERY SOLUTION</t>
  </si>
  <si>
    <t>MEDIPEEL ALGO-TOX DEEP CLEAR</t>
  </si>
  <si>
    <t>MEDI-PEEL ALGO-TOX VITA CLEANSER</t>
  </si>
  <si>
    <t>MEDI-PEEL EAZY FILLER AMPOULE</t>
  </si>
  <si>
    <t>MEDIPEEL EAZY FILLER CREAM</t>
  </si>
  <si>
    <t>COLLAGEN SUPER 10 SLEEPING CREAM</t>
  </si>
  <si>
    <t>MEDIPEEL POWER AQUA CREAM</t>
  </si>
  <si>
    <t>MEDIPEEL PEPTIDE 9 MELA STICK</t>
  </si>
  <si>
    <t>MEDI-PEEL PEPTIDE 9 BIO SUN STICK PRO SPF 50+ PA ++++</t>
  </si>
  <si>
    <t>MEDIPEEL PEPTIDE 9 VOLUME LIF-TOX EYE CREAM</t>
  </si>
  <si>
    <t>MEDIPEEL PEPTIDE 9 VOLUME LIFTING ALL IN ONE ESSENCE PRO</t>
  </si>
  <si>
    <t>MEDI-PEEL PEPTIDE 9 VOLUME LIFTING ALL IN ONE PODOAMPOULE PRO</t>
  </si>
  <si>
    <t>MEDIPEEL PEPTIDE 9 VOLUME ALL IN ONE ESSENCE PRO</t>
  </si>
  <si>
    <t>MEDIPEEL PEPTIDE 9 VOLUME WHITE CICA ESSENCE PRO</t>
  </si>
  <si>
    <t>MEDIPEEL PEPTIDE 9 VITANOL AMPOULE PRO</t>
  </si>
  <si>
    <t>MEDIPEEL PEPTIDE 9 VITANOL CREAM PRO</t>
  </si>
  <si>
    <t>MEDI-PEEL PEPTIDE 9 AQUA VOLUME TOX MIST PRO</t>
  </si>
  <si>
    <t>MEDIPEEL PEPTIDE 9 AQUA ESSENCE LIFTING EYE CREAM</t>
  </si>
  <si>
    <t>MEDIPEEL PEPTIDE 9 AQUA ESSENCE LIFTING AMPOULE</t>
  </si>
  <si>
    <t>MEDIPEEL PEPTIDE 9 AQUA ESSENCE EMULSION</t>
  </si>
  <si>
    <t>MEDIPEEL PEPTIDE 9 AQUA ESSENCE TONER</t>
  </si>
  <si>
    <t>MEDI-PEEL PEPTIDE 9 AQUA ESSENCE FACIAL CLEANSER</t>
  </si>
  <si>
    <t>MEDIPEEL PEPTIDE 9 PREMIUM SKINCARE SET</t>
  </si>
  <si>
    <t>MEDIPEEL PEPTIDE 9 HYALURONIC VOLUMY EYE CREAM</t>
  </si>
  <si>
    <t>MEDIPEEL PEPTIDE 9 VOLUME TOX CREAM PRO</t>
  </si>
  <si>
    <t>MEDI-PEEL PEPTIDE-TOX BOR WRINKLE STICK</t>
  </si>
  <si>
    <t>MEDIPEEL PEPTIDE-TOX BOR EYE CREAM</t>
  </si>
  <si>
    <t>MEDIPEEL PEPTIDE-TOX BOR AMPOULE</t>
  </si>
  <si>
    <t>MEDI-PEEL PEPTIDE-TOX BOR AMPOULE OIL</t>
  </si>
  <si>
    <t>MEDIPEEL PEPTIDE-TOX BOR CREAM</t>
  </si>
  <si>
    <t>MEDIPEEL PEPTIDE-TOX BOR TONER</t>
  </si>
  <si>
    <t>MEDIPEEL PREMIUM GOLDEN CAMELLIA WRINKLE ESSENCE</t>
  </si>
  <si>
    <t>MEDIPEEL PREMIUM GOLDEN CAMELLIA WRINKLE CREAM</t>
  </si>
  <si>
    <t>MEDIPEEL PREMIUM COLLAGEN NAITE 1500 SHOT NECK PATCH 1.0</t>
  </si>
  <si>
    <t>MEDIPEEL PREMIUM COLLAGEN NAITE THREAD NECK CREAM 3.0</t>
  </si>
  <si>
    <t>MEDIPEEL PHYTO CICA-NOL B5 3000 SHOT SERUM 2 STEP MASK.</t>
  </si>
  <si>
    <t>MEDIPEEL PHYTO CICA-NOL B5 CALMING VEGAN WRAPPING MASK</t>
  </si>
  <si>
    <t>MEDIPEEL PHYTO CICA-NOL CREAM</t>
  </si>
  <si>
    <t>MEDIPEEL HERBAL PEEL TOX PRO</t>
  </si>
  <si>
    <t>HYALURON ROSE ENERGY TOX AMPOULE MASK 2X</t>
  </si>
  <si>
    <t>MEDIPEEL HYALURON DARK BENONE PEPTIDE 9 AMPOULE EYE PATCH</t>
  </si>
  <si>
    <t>MEDI-PEEL HYALURON ROSE PEPTIDE 9 AMPOULE EYE PATCH</t>
  </si>
  <si>
    <t>MEDIPEEL HYALURON CICA PEPTIDE 9 AMPOULE EYE PATCH</t>
  </si>
  <si>
    <t>MEDIPEEL HYALURON AQUA PEPTIDE 9 AMPOULE EYE PATCH</t>
  </si>
  <si>
    <t>MEDIPEEL HYAL KOMBUCHA TEA-TOX AMPOULE</t>
  </si>
  <si>
    <t>MEDIPEEL HYAL KOMBUCHA TEA-TOX CREAM</t>
  </si>
  <si>
    <t>MEDIPEEL HYAL KOMBUCHA TEA-TOX TONER</t>
  </si>
  <si>
    <t>MEDIPEEL RETINAL NMN BOUNCE SHOT EYE CREAM</t>
    <phoneticPr fontId="3" type="noConversion"/>
  </si>
  <si>
    <t>MEDIPEEL</t>
    <phoneticPr fontId="3" type="noConversion"/>
  </si>
  <si>
    <t>ET Baking Powder BB Deep Foam 160g(21AD)</t>
  </si>
  <si>
    <t>ET Baking Powder BB Deep Foam 30g(21AD)</t>
  </si>
  <si>
    <t>ET.Baking Powder Pore Foam 160g (21AD)</t>
  </si>
  <si>
    <t>ET.Baking.P C. P. Scrub 7g*24ea(23')</t>
    <phoneticPr fontId="3" type="noConversion"/>
  </si>
  <si>
    <t>Etude</t>
    <phoneticPr fontId="3" type="noConversion"/>
  </si>
  <si>
    <t>LIP SLEEPING MASK EX [BERRY] 20g</t>
  </si>
  <si>
    <t>LIP SLEEPING MASK EX [GRAPEFRUIT] 20g</t>
  </si>
  <si>
    <t>LIP SLEEPING MASK EX [APPLE LIME] 20g</t>
  </si>
  <si>
    <t>LIP SLEEPING MASK EX [MINT CHOCO] 20g</t>
  </si>
  <si>
    <t>LIP SLEEPING MASK EX [VANILLA] 20g</t>
  </si>
  <si>
    <t>LIP SLEEPING MASK EX [MANGO] 20g</t>
  </si>
  <si>
    <t>LIP SLEEPING MASK EX [GUMMY BEAR] 20g</t>
  </si>
  <si>
    <t>LIP SLEEPING MASK EX [SWEET CANDY] 20g</t>
  </si>
  <si>
    <t>LIP SLEEPING MASK EX [PEACH ICED TEA] 20g</t>
  </si>
  <si>
    <t>LIP SLEEPING MASK EX [Strawberry cake] 20g</t>
  </si>
  <si>
    <t>LIP SLEEPING MASK EX [BERRY] 3g</t>
  </si>
  <si>
    <t>LIP SLEEPING MASK EX [GUMMY BEAR] 3g</t>
  </si>
  <si>
    <t>LIP SLEEPING MASK EX [SWEET CANDY] 3g</t>
  </si>
  <si>
    <t>LIP SLEEPING MASK EX [MANGO] 3g</t>
  </si>
  <si>
    <t>Laneige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</si>
</sst>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-[$KRW]\ * #,##0.00_-;\-[$KRW]\ * #,##0.00_-;_-[$KRW]\ * &quot;-&quot;??_-;_-@_-"/>
    <numFmt numFmtId="178" formatCode="_-[$KRW]\ * #,##0_-;\-[$KRW]\ * #,##0_-;_-[$KRW]\ * &quot;-&quot;??_-;_-@_-"/>
    <numFmt numFmtId="179" formatCode="#,##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맑은 고딕"/>
      <family val="2"/>
      <charset val="134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indexed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/>
    <xf numFmtId="176" fontId="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2" fillId="0" borderId="0" xfId="2"/>
    <xf numFmtId="0" fontId="8" fillId="2" borderId="7" xfId="2" applyFont="1" applyFill="1" applyBorder="1" applyAlignment="1">
      <alignment vertical="center"/>
    </xf>
    <xf numFmtId="0" fontId="8" fillId="2" borderId="0" xfId="2" applyFont="1" applyFill="1" applyAlignment="1">
      <alignment vertical="center"/>
    </xf>
    <xf numFmtId="0" fontId="9" fillId="2" borderId="0" xfId="2" applyFont="1" applyFill="1" applyAlignment="1">
      <alignment vertical="center"/>
    </xf>
    <xf numFmtId="0" fontId="9" fillId="2" borderId="11" xfId="2" applyFont="1" applyFill="1" applyBorder="1" applyAlignment="1">
      <alignment horizontal="center" vertical="center"/>
    </xf>
    <xf numFmtId="176" fontId="9" fillId="2" borderId="0" xfId="3" applyFont="1" applyFill="1" applyBorder="1" applyAlignment="1">
      <alignment vertical="center"/>
    </xf>
    <xf numFmtId="0" fontId="9" fillId="2" borderId="12" xfId="2" applyFont="1" applyFill="1" applyBorder="1" applyAlignment="1">
      <alignment vertical="center"/>
    </xf>
    <xf numFmtId="0" fontId="9" fillId="2" borderId="9" xfId="2" applyFont="1" applyFill="1" applyBorder="1" applyAlignment="1">
      <alignment horizontal="center" vertical="center"/>
    </xf>
    <xf numFmtId="176" fontId="9" fillId="2" borderId="9" xfId="3" applyFont="1" applyFill="1" applyBorder="1" applyAlignment="1">
      <alignment vertical="center"/>
    </xf>
    <xf numFmtId="0" fontId="9" fillId="2" borderId="10" xfId="2" applyFont="1" applyFill="1" applyBorder="1" applyAlignment="1">
      <alignment vertical="center"/>
    </xf>
    <xf numFmtId="0" fontId="9" fillId="2" borderId="7" xfId="2" applyFont="1" applyFill="1" applyBorder="1" applyAlignment="1">
      <alignment horizontal="center" vertical="center"/>
    </xf>
    <xf numFmtId="0" fontId="9" fillId="2" borderId="7" xfId="2" applyFont="1" applyFill="1" applyBorder="1" applyAlignment="1">
      <alignment vertical="center"/>
    </xf>
    <xf numFmtId="0" fontId="8" fillId="2" borderId="7" xfId="2" applyFont="1" applyFill="1" applyBorder="1" applyAlignment="1">
      <alignment horizontal="left" vertical="center" indent="1"/>
    </xf>
    <xf numFmtId="0" fontId="8" fillId="2" borderId="0" xfId="2" applyFont="1" applyFill="1" applyAlignment="1">
      <alignment horizontal="left" vertical="center" indent="1"/>
    </xf>
    <xf numFmtId="0" fontId="9" fillId="2" borderId="8" xfId="2" applyFont="1" applyFill="1" applyBorder="1" applyAlignment="1">
      <alignment horizontal="left" vertical="center" indent="1"/>
    </xf>
    <xf numFmtId="0" fontId="9" fillId="2" borderId="0" xfId="2" applyFont="1" applyFill="1" applyAlignment="1">
      <alignment horizontal="left" vertical="center" indent="1"/>
    </xf>
    <xf numFmtId="0" fontId="9" fillId="2" borderId="13" xfId="2" applyFont="1" applyFill="1" applyBorder="1" applyAlignment="1">
      <alignment vertical="center"/>
    </xf>
    <xf numFmtId="0" fontId="9" fillId="2" borderId="15" xfId="2" applyFont="1" applyFill="1" applyBorder="1" applyAlignment="1">
      <alignment horizontal="center" vertical="center"/>
    </xf>
    <xf numFmtId="0" fontId="9" fillId="2" borderId="8" xfId="2" applyFont="1" applyFill="1" applyBorder="1" applyAlignment="1">
      <alignment horizontal="center" vertical="center"/>
    </xf>
    <xf numFmtId="0" fontId="9" fillId="2" borderId="8" xfId="2" applyFont="1" applyFill="1" applyBorder="1" applyAlignment="1">
      <alignment vertical="center"/>
    </xf>
    <xf numFmtId="0" fontId="10" fillId="2" borderId="8" xfId="2" applyFont="1" applyFill="1" applyBorder="1" applyAlignment="1">
      <alignment vertical="center"/>
    </xf>
    <xf numFmtId="0" fontId="10" fillId="2" borderId="15" xfId="2" applyFont="1" applyFill="1" applyBorder="1" applyAlignment="1">
      <alignment vertical="center"/>
    </xf>
    <xf numFmtId="0" fontId="8" fillId="2" borderId="16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vertical="center" wrapText="1"/>
    </xf>
    <xf numFmtId="0" fontId="7" fillId="2" borderId="16" xfId="2" applyFont="1" applyFill="1" applyBorder="1" applyAlignment="1">
      <alignment horizontal="center" vertical="center" wrapText="1"/>
    </xf>
    <xf numFmtId="176" fontId="7" fillId="2" borderId="16" xfId="3" applyFont="1" applyFill="1" applyBorder="1" applyAlignment="1">
      <alignment horizontal="center" vertical="center" wrapText="1"/>
    </xf>
    <xf numFmtId="177" fontId="7" fillId="2" borderId="16" xfId="3" applyNumberFormat="1" applyFont="1" applyFill="1" applyBorder="1" applyAlignment="1">
      <alignment horizontal="center" vertical="center" wrapText="1"/>
    </xf>
    <xf numFmtId="176" fontId="7" fillId="0" borderId="18" xfId="3" applyFont="1" applyFill="1" applyBorder="1" applyAlignment="1">
      <alignment horizontal="center" vertical="center"/>
    </xf>
    <xf numFmtId="0" fontId="9" fillId="0" borderId="0" xfId="2" applyFont="1"/>
    <xf numFmtId="0" fontId="14" fillId="2" borderId="7" xfId="0" applyFont="1" applyFill="1" applyBorder="1">
      <alignment vertical="center"/>
    </xf>
    <xf numFmtId="0" fontId="14" fillId="2" borderId="0" xfId="0" applyFont="1" applyFill="1">
      <alignment vertical="center"/>
    </xf>
    <xf numFmtId="0" fontId="14" fillId="2" borderId="5" xfId="0" applyFont="1" applyFill="1" applyBorder="1">
      <alignment vertical="center"/>
    </xf>
    <xf numFmtId="0" fontId="14" fillId="2" borderId="6" xfId="0" applyFont="1" applyFill="1" applyBorder="1">
      <alignment vertical="center"/>
    </xf>
    <xf numFmtId="0" fontId="11" fillId="2" borderId="7" xfId="0" applyFont="1" applyFill="1" applyBorder="1">
      <alignment vertical="center"/>
    </xf>
    <xf numFmtId="0" fontId="11" fillId="2" borderId="0" xfId="0" applyFont="1" applyFill="1">
      <alignment vertical="center"/>
    </xf>
    <xf numFmtId="0" fontId="14" fillId="2" borderId="12" xfId="0" applyFont="1" applyFill="1" applyBorder="1">
      <alignment vertical="center"/>
    </xf>
    <xf numFmtId="0" fontId="14" fillId="2" borderId="9" xfId="0" applyFont="1" applyFill="1" applyBorder="1" applyAlignment="1">
      <alignment horizontal="left" vertical="center"/>
    </xf>
    <xf numFmtId="0" fontId="14" fillId="2" borderId="20" xfId="0" applyFont="1" applyFill="1" applyBorder="1">
      <alignment vertical="center"/>
    </xf>
    <xf numFmtId="0" fontId="9" fillId="2" borderId="0" xfId="0" applyFont="1" applyFill="1">
      <alignment vertical="center"/>
    </xf>
    <xf numFmtId="0" fontId="9" fillId="2" borderId="12" xfId="0" applyFont="1" applyFill="1" applyBorder="1">
      <alignment vertical="center"/>
    </xf>
    <xf numFmtId="0" fontId="14" fillId="2" borderId="0" xfId="0" applyFont="1" applyFill="1" applyAlignment="1">
      <alignment vertical="center" shrinkToFit="1"/>
    </xf>
    <xf numFmtId="0" fontId="11" fillId="2" borderId="7" xfId="0" applyFont="1" applyFill="1" applyBorder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4" fillId="2" borderId="9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2" borderId="12" xfId="0" applyFont="1" applyFill="1" applyBorder="1">
      <alignment vertical="center"/>
    </xf>
    <xf numFmtId="0" fontId="14" fillId="2" borderId="9" xfId="0" applyFont="1" applyFill="1" applyBorder="1">
      <alignment vertical="center"/>
    </xf>
    <xf numFmtId="2" fontId="7" fillId="0" borderId="20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1" fontId="6" fillId="0" borderId="0" xfId="0" applyNumberFormat="1" applyFont="1">
      <alignment vertical="center"/>
    </xf>
    <xf numFmtId="0" fontId="14" fillId="2" borderId="26" xfId="0" applyFont="1" applyFill="1" applyBorder="1" applyAlignment="1">
      <alignment horizontal="left" vertical="center" indent="1"/>
    </xf>
    <xf numFmtId="0" fontId="15" fillId="2" borderId="26" xfId="0" applyFont="1" applyFill="1" applyBorder="1">
      <alignment vertical="center"/>
    </xf>
    <xf numFmtId="0" fontId="14" fillId="2" borderId="28" xfId="0" applyFont="1" applyFill="1" applyBorder="1">
      <alignment vertical="center"/>
    </xf>
    <xf numFmtId="0" fontId="8" fillId="2" borderId="7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14" fillId="2" borderId="30" xfId="0" applyFont="1" applyFill="1" applyBorder="1">
      <alignment vertical="center"/>
    </xf>
    <xf numFmtId="0" fontId="14" fillId="2" borderId="31" xfId="0" applyFont="1" applyFill="1" applyBorder="1">
      <alignment vertical="center"/>
    </xf>
    <xf numFmtId="0" fontId="9" fillId="2" borderId="31" xfId="0" applyFont="1" applyFill="1" applyBorder="1">
      <alignment vertical="center"/>
    </xf>
    <xf numFmtId="0" fontId="14" fillId="2" borderId="27" xfId="0" applyFont="1" applyFill="1" applyBorder="1" applyAlignment="1">
      <alignment horizontal="center" vertical="center"/>
    </xf>
    <xf numFmtId="0" fontId="7" fillId="0" borderId="32" xfId="0" applyFont="1" applyBorder="1" applyAlignment="1">
      <alignment vertical="center" wrapText="1"/>
    </xf>
    <xf numFmtId="41" fontId="14" fillId="0" borderId="33" xfId="4" applyFont="1" applyBorder="1" applyAlignment="1">
      <alignment horizontal="right" vertical="center"/>
    </xf>
    <xf numFmtId="0" fontId="6" fillId="2" borderId="33" xfId="0" applyFont="1" applyFill="1" applyBorder="1">
      <alignment vertical="center"/>
    </xf>
    <xf numFmtId="0" fontId="2" fillId="0" borderId="33" xfId="0" applyFont="1" applyBorder="1" applyAlignment="1">
      <alignment horizontal="center" vertical="center"/>
    </xf>
    <xf numFmtId="0" fontId="2" fillId="0" borderId="33" xfId="0" applyFont="1" applyBorder="1" applyAlignment="1">
      <alignment horizontal="left" vertical="center"/>
    </xf>
    <xf numFmtId="3" fontId="2" fillId="0" borderId="33" xfId="0" applyNumberFormat="1" applyFont="1" applyBorder="1" applyAlignment="1">
      <alignment horizontal="center" vertical="center"/>
    </xf>
    <xf numFmtId="179" fontId="2" fillId="0" borderId="33" xfId="0" applyNumberFormat="1" applyFont="1" applyBorder="1" applyAlignment="1">
      <alignment horizontal="right" vertical="center"/>
    </xf>
    <xf numFmtId="0" fontId="17" fillId="2" borderId="33" xfId="0" applyFont="1" applyFill="1" applyBorder="1" applyAlignment="1">
      <alignment horizontal="center" vertical="center"/>
    </xf>
    <xf numFmtId="41" fontId="6" fillId="0" borderId="33" xfId="0" applyNumberFormat="1" applyFont="1" applyBorder="1">
      <alignment vertical="center"/>
    </xf>
    <xf numFmtId="0" fontId="9" fillId="2" borderId="33" xfId="0" applyFont="1" applyFill="1" applyBorder="1" applyAlignment="1">
      <alignment horizontal="center" vertical="center"/>
    </xf>
    <xf numFmtId="0" fontId="14" fillId="0" borderId="33" xfId="0" applyFont="1" applyBorder="1" applyAlignment="1">
      <alignment horizontal="left" vertical="center"/>
    </xf>
    <xf numFmtId="178" fontId="18" fillId="2" borderId="33" xfId="1" applyNumberFormat="1" applyFont="1" applyFill="1" applyBorder="1" applyAlignment="1">
      <alignment horizontal="center" vertical="center"/>
    </xf>
    <xf numFmtId="3" fontId="14" fillId="2" borderId="33" xfId="0" applyNumberFormat="1" applyFont="1" applyFill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left" vertical="center"/>
    </xf>
    <xf numFmtId="3" fontId="14" fillId="2" borderId="27" xfId="0" applyNumberFormat="1" applyFont="1" applyFill="1" applyBorder="1" applyAlignment="1">
      <alignment horizontal="center" vertical="center"/>
    </xf>
    <xf numFmtId="41" fontId="14" fillId="0" borderId="27" xfId="4" applyFont="1" applyBorder="1" applyAlignment="1">
      <alignment horizontal="right" vertical="center"/>
    </xf>
    <xf numFmtId="0" fontId="9" fillId="2" borderId="13" xfId="2" applyFont="1" applyFill="1" applyBorder="1" applyAlignment="1">
      <alignment horizontal="left" vertical="center"/>
    </xf>
    <xf numFmtId="0" fontId="9" fillId="2" borderId="11" xfId="2" applyFont="1" applyFill="1" applyBorder="1" applyAlignment="1">
      <alignment horizontal="left" vertical="center"/>
    </xf>
    <xf numFmtId="0" fontId="9" fillId="2" borderId="14" xfId="2" applyFont="1" applyFill="1" applyBorder="1" applyAlignment="1">
      <alignment horizontal="left" vertical="center"/>
    </xf>
    <xf numFmtId="0" fontId="8" fillId="2" borderId="7" xfId="2" applyFont="1" applyFill="1" applyBorder="1" applyAlignment="1">
      <alignment horizontal="left" vertical="center" wrapText="1"/>
    </xf>
    <xf numFmtId="0" fontId="8" fillId="2" borderId="0" xfId="2" applyFont="1" applyFill="1" applyAlignment="1">
      <alignment horizontal="left" vertical="center"/>
    </xf>
    <xf numFmtId="0" fontId="8" fillId="2" borderId="7" xfId="2" applyFont="1" applyFill="1" applyBorder="1" applyAlignment="1">
      <alignment horizontal="left" vertical="center"/>
    </xf>
    <xf numFmtId="0" fontId="9" fillId="2" borderId="7" xfId="2" applyFont="1" applyFill="1" applyBorder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9" fillId="2" borderId="12" xfId="2" applyFont="1" applyFill="1" applyBorder="1" applyAlignment="1">
      <alignment horizontal="left" vertical="center"/>
    </xf>
    <xf numFmtId="0" fontId="9" fillId="2" borderId="7" xfId="2" applyFont="1" applyFill="1" applyBorder="1" applyAlignment="1">
      <alignment horizontal="left" vertical="center"/>
    </xf>
    <xf numFmtId="0" fontId="8" fillId="2" borderId="0" xfId="2" applyFont="1" applyFill="1" applyAlignment="1">
      <alignment horizontal="left" vertical="center" wrapText="1"/>
    </xf>
    <xf numFmtId="0" fontId="8" fillId="2" borderId="12" xfId="2" applyFont="1" applyFill="1" applyBorder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/>
    </xf>
    <xf numFmtId="0" fontId="9" fillId="2" borderId="6" xfId="2" applyFont="1" applyFill="1" applyBorder="1" applyAlignment="1">
      <alignment horizontal="left" vertical="center"/>
    </xf>
    <xf numFmtId="14" fontId="9" fillId="2" borderId="8" xfId="2" applyNumberFormat="1" applyFont="1" applyFill="1" applyBorder="1" applyAlignment="1">
      <alignment horizontal="left" vertical="center"/>
    </xf>
    <xf numFmtId="14" fontId="9" fillId="2" borderId="9" xfId="2" applyNumberFormat="1" applyFont="1" applyFill="1" applyBorder="1" applyAlignment="1">
      <alignment horizontal="left" vertical="center"/>
    </xf>
    <xf numFmtId="14" fontId="9" fillId="2" borderId="10" xfId="2" applyNumberFormat="1" applyFont="1" applyFill="1" applyBorder="1" applyAlignment="1">
      <alignment horizontal="left" vertical="center"/>
    </xf>
    <xf numFmtId="0" fontId="11" fillId="0" borderId="19" xfId="2" applyFont="1" applyBorder="1" applyAlignment="1">
      <alignment horizontal="right" vertical="center"/>
    </xf>
    <xf numFmtId="41" fontId="11" fillId="0" borderId="19" xfId="2" applyNumberFormat="1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176" fontId="12" fillId="0" borderId="19" xfId="3" applyFont="1" applyBorder="1" applyAlignment="1">
      <alignment horizontal="center" vertical="center"/>
    </xf>
    <xf numFmtId="178" fontId="12" fillId="0" borderId="22" xfId="3" applyNumberFormat="1" applyFont="1" applyFill="1" applyBorder="1" applyAlignment="1">
      <alignment horizontal="center" vertical="center"/>
    </xf>
    <xf numFmtId="178" fontId="12" fillId="0" borderId="23" xfId="3" applyNumberFormat="1" applyFont="1" applyFill="1" applyBorder="1" applyAlignment="1">
      <alignment horizontal="center" vertical="center"/>
    </xf>
    <xf numFmtId="178" fontId="12" fillId="0" borderId="21" xfId="3" applyNumberFormat="1" applyFont="1" applyFill="1" applyBorder="1" applyAlignment="1">
      <alignment horizontal="center" vertical="center"/>
    </xf>
    <xf numFmtId="178" fontId="12" fillId="0" borderId="20" xfId="3" applyNumberFormat="1" applyFont="1" applyFill="1" applyBorder="1" applyAlignment="1">
      <alignment horizontal="center" vertical="center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178" fontId="7" fillId="2" borderId="33" xfId="3" applyNumberFormat="1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 wrapText="1"/>
    </xf>
    <xf numFmtId="2" fontId="6" fillId="0" borderId="34" xfId="0" applyNumberFormat="1" applyFont="1" applyBorder="1" applyAlignment="1">
      <alignment horizontal="center" vertical="center" wrapText="1"/>
    </xf>
    <xf numFmtId="2" fontId="6" fillId="0" borderId="35" xfId="0" applyNumberFormat="1" applyFont="1" applyBorder="1" applyAlignment="1">
      <alignment horizontal="center" vertical="center" wrapText="1"/>
    </xf>
    <xf numFmtId="2" fontId="6" fillId="0" borderId="27" xfId="0" applyNumberFormat="1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4" fillId="2" borderId="26" xfId="0" applyNumberFormat="1" applyFont="1" applyFill="1" applyBorder="1" applyAlignment="1">
      <alignment horizontal="left" vertical="center"/>
    </xf>
    <xf numFmtId="14" fontId="14" fillId="2" borderId="9" xfId="0" applyNumberFormat="1" applyFont="1" applyFill="1" applyBorder="1" applyAlignment="1">
      <alignment horizontal="left" vertical="center"/>
    </xf>
    <xf numFmtId="14" fontId="14" fillId="2" borderId="20" xfId="0" applyNumberFormat="1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wrapText="1" shrinkToFit="1"/>
    </xf>
    <xf numFmtId="0" fontId="9" fillId="2" borderId="7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left" vertical="center"/>
    </xf>
    <xf numFmtId="49" fontId="11" fillId="2" borderId="26" xfId="0" applyNumberFormat="1" applyFont="1" applyFill="1" applyBorder="1" applyAlignment="1">
      <alignment horizontal="left" vertical="center"/>
    </xf>
    <xf numFmtId="49" fontId="11" fillId="2" borderId="9" xfId="0" applyNumberFormat="1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</cellXfs>
  <cellStyles count="5">
    <cellStyle name="쉼표" xfId="1" builtinId="3"/>
    <cellStyle name="쉼표 [0]" xfId="4" builtinId="6"/>
    <cellStyle name="쉼표 [0] 2" xfId="3" xr:uid="{00000000-0005-0000-0000-000002000000}"/>
    <cellStyle name="표준" xfId="0" builtinId="0"/>
    <cellStyle name="표준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37"/>
  <sheetViews>
    <sheetView tabSelected="1" topLeftCell="A296" zoomScale="70" zoomScaleNormal="70" workbookViewId="0">
      <selection activeCell="D394" sqref="D394"/>
    </sheetView>
  </sheetViews>
  <sheetFormatPr defaultColWidth="9" defaultRowHeight="16.5" x14ac:dyDescent="0.3"/>
  <cols>
    <col min="1" max="1" width="13.125" style="29" customWidth="1"/>
    <col min="2" max="2" width="17.25" style="29" customWidth="1"/>
    <col min="3" max="3" width="107.125" style="29" bestFit="1" customWidth="1"/>
    <col min="4" max="4" width="15.75" style="29" bestFit="1" customWidth="1"/>
    <col min="5" max="5" width="22.625" style="29" bestFit="1" customWidth="1"/>
    <col min="6" max="6" width="19.875" style="29" bestFit="1" customWidth="1"/>
    <col min="7" max="7" width="19.125" style="29" customWidth="1"/>
    <col min="8" max="8" width="22.625" style="29" customWidth="1"/>
    <col min="9" max="16384" width="9" style="1"/>
  </cols>
  <sheetData>
    <row r="1" spans="1:8" ht="17.25" thickBot="1" x14ac:dyDescent="0.25">
      <c r="A1" s="92" t="s">
        <v>0</v>
      </c>
      <c r="B1" s="93"/>
      <c r="C1" s="93"/>
      <c r="D1" s="93"/>
      <c r="E1" s="93"/>
      <c r="F1" s="93"/>
      <c r="G1" s="93"/>
      <c r="H1" s="94"/>
    </row>
    <row r="2" spans="1:8" x14ac:dyDescent="0.2">
      <c r="A2" s="95" t="s">
        <v>1</v>
      </c>
      <c r="B2" s="96"/>
      <c r="C2" s="96"/>
      <c r="D2" s="95" t="s">
        <v>47</v>
      </c>
      <c r="E2" s="96"/>
      <c r="F2" s="96"/>
      <c r="G2" s="96"/>
      <c r="H2" s="97"/>
    </row>
    <row r="3" spans="1:8" x14ac:dyDescent="0.2">
      <c r="A3" s="2" t="s">
        <v>3</v>
      </c>
      <c r="B3" s="3"/>
      <c r="C3" s="4"/>
      <c r="D3" s="98" t="s">
        <v>48</v>
      </c>
      <c r="E3" s="99"/>
      <c r="F3" s="99"/>
      <c r="G3" s="99"/>
      <c r="H3" s="100"/>
    </row>
    <row r="4" spans="1:8" x14ac:dyDescent="0.2">
      <c r="A4" s="85" t="s">
        <v>4</v>
      </c>
      <c r="B4" s="84"/>
      <c r="C4" s="84"/>
      <c r="D4" s="5"/>
      <c r="E4" s="6"/>
      <c r="F4" s="6"/>
      <c r="G4" s="6"/>
      <c r="H4" s="7"/>
    </row>
    <row r="5" spans="1:8" x14ac:dyDescent="0.2">
      <c r="A5" s="2" t="s">
        <v>5</v>
      </c>
      <c r="B5" s="3"/>
      <c r="C5" s="3"/>
      <c r="D5" s="8"/>
      <c r="E5" s="9"/>
      <c r="F5" s="9"/>
      <c r="G5" s="9"/>
      <c r="H5" s="10"/>
    </row>
    <row r="6" spans="1:8" x14ac:dyDescent="0.2">
      <c r="A6" s="80" t="s">
        <v>6</v>
      </c>
      <c r="B6" s="81"/>
      <c r="C6" s="82"/>
      <c r="D6" s="81" t="s">
        <v>7</v>
      </c>
      <c r="E6" s="81"/>
      <c r="F6" s="81"/>
      <c r="G6" s="81"/>
      <c r="H6" s="82"/>
    </row>
    <row r="7" spans="1:8" ht="27" customHeight="1" x14ac:dyDescent="0.2">
      <c r="A7" s="83"/>
      <c r="B7" s="84"/>
      <c r="C7" s="84"/>
      <c r="D7" s="86" t="s">
        <v>23</v>
      </c>
      <c r="E7" s="87"/>
      <c r="F7" s="87"/>
      <c r="G7" s="87"/>
      <c r="H7" s="88"/>
    </row>
    <row r="8" spans="1:8" ht="27" customHeight="1" x14ac:dyDescent="0.2">
      <c r="A8" s="85"/>
      <c r="B8" s="84"/>
      <c r="C8" s="84"/>
      <c r="D8" s="89"/>
      <c r="E8" s="87"/>
      <c r="F8" s="87"/>
      <c r="G8" s="87"/>
      <c r="H8" s="88"/>
    </row>
    <row r="9" spans="1:8" ht="27" customHeight="1" x14ac:dyDescent="0.2">
      <c r="A9" s="85"/>
      <c r="B9" s="84"/>
      <c r="C9" s="84"/>
      <c r="D9" s="89"/>
      <c r="E9" s="87"/>
      <c r="F9" s="87"/>
      <c r="G9" s="87"/>
      <c r="H9" s="88"/>
    </row>
    <row r="10" spans="1:8" ht="27" customHeight="1" x14ac:dyDescent="0.2">
      <c r="A10" s="85"/>
      <c r="B10" s="84"/>
      <c r="C10" s="84"/>
      <c r="D10" s="11" t="s">
        <v>32</v>
      </c>
      <c r="E10" s="6"/>
      <c r="F10" s="6"/>
      <c r="G10" s="6"/>
      <c r="H10" s="7"/>
    </row>
    <row r="11" spans="1:8" ht="16.5" customHeight="1" x14ac:dyDescent="0.2">
      <c r="A11" s="12" t="s">
        <v>8</v>
      </c>
      <c r="B11" s="4"/>
      <c r="C11" s="4"/>
      <c r="D11" s="83" t="s">
        <v>33</v>
      </c>
      <c r="E11" s="90"/>
      <c r="F11" s="90"/>
      <c r="G11" s="90"/>
      <c r="H11" s="91"/>
    </row>
    <row r="12" spans="1:8" x14ac:dyDescent="0.2">
      <c r="A12" s="12"/>
      <c r="B12" s="4"/>
      <c r="C12" s="4"/>
      <c r="D12" s="83"/>
      <c r="E12" s="90"/>
      <c r="F12" s="90"/>
      <c r="G12" s="90"/>
      <c r="H12" s="91"/>
    </row>
    <row r="13" spans="1:8" x14ac:dyDescent="0.2">
      <c r="A13" s="13" t="s">
        <v>9</v>
      </c>
      <c r="B13" s="14"/>
      <c r="C13" s="4"/>
      <c r="D13" s="83"/>
      <c r="E13" s="90"/>
      <c r="F13" s="90"/>
      <c r="G13" s="90"/>
      <c r="H13" s="91"/>
    </row>
    <row r="14" spans="1:8" x14ac:dyDescent="0.2">
      <c r="A14" s="15"/>
      <c r="B14" s="16"/>
      <c r="C14" s="4"/>
      <c r="D14" s="83"/>
      <c r="E14" s="90"/>
      <c r="F14" s="90"/>
      <c r="G14" s="90"/>
      <c r="H14" s="91"/>
    </row>
    <row r="15" spans="1:8" ht="17.25" customHeight="1" x14ac:dyDescent="0.2">
      <c r="A15" s="17" t="s">
        <v>10</v>
      </c>
      <c r="B15" s="17"/>
      <c r="C15" s="17" t="s">
        <v>11</v>
      </c>
      <c r="D15" s="83"/>
      <c r="E15" s="90"/>
      <c r="F15" s="90"/>
      <c r="G15" s="90"/>
      <c r="H15" s="91"/>
    </row>
    <row r="16" spans="1:8" ht="28.5" customHeight="1" x14ac:dyDescent="0.2">
      <c r="A16" s="18"/>
      <c r="B16" s="19"/>
      <c r="C16" s="20"/>
      <c r="D16" s="83"/>
      <c r="E16" s="90"/>
      <c r="F16" s="90"/>
      <c r="G16" s="90"/>
      <c r="H16" s="91"/>
    </row>
    <row r="17" spans="1:8" ht="26.25" customHeight="1" x14ac:dyDescent="0.2">
      <c r="A17" s="12" t="s">
        <v>12</v>
      </c>
      <c r="B17" s="12"/>
      <c r="C17" s="12" t="s">
        <v>13</v>
      </c>
      <c r="D17" s="83"/>
      <c r="E17" s="90"/>
      <c r="F17" s="90"/>
      <c r="G17" s="90"/>
      <c r="H17" s="91"/>
    </row>
    <row r="18" spans="1:8" x14ac:dyDescent="0.2">
      <c r="A18" s="21"/>
      <c r="B18" s="21"/>
      <c r="C18" s="22"/>
      <c r="D18" s="8"/>
      <c r="E18" s="9"/>
      <c r="F18" s="9"/>
      <c r="G18" s="9"/>
      <c r="H18" s="10"/>
    </row>
    <row r="19" spans="1:8" ht="33" customHeight="1" x14ac:dyDescent="0.2">
      <c r="A19" s="23" t="s">
        <v>14</v>
      </c>
      <c r="B19" s="23" t="s">
        <v>15</v>
      </c>
      <c r="C19" s="24" t="s">
        <v>16</v>
      </c>
      <c r="D19" s="25" t="s">
        <v>17</v>
      </c>
      <c r="E19" s="26" t="s">
        <v>18</v>
      </c>
      <c r="F19" s="27" t="s">
        <v>19</v>
      </c>
      <c r="G19" s="26" t="s">
        <v>20</v>
      </c>
      <c r="H19" s="25" t="s">
        <v>21</v>
      </c>
    </row>
    <row r="20" spans="1:8" ht="21" customHeight="1" x14ac:dyDescent="0.2">
      <c r="A20" s="71">
        <v>1</v>
      </c>
      <c r="B20" s="109" t="s">
        <v>92</v>
      </c>
      <c r="C20" s="72" t="s">
        <v>91</v>
      </c>
      <c r="D20" s="74">
        <v>162</v>
      </c>
      <c r="E20" s="63">
        <v>8149</v>
      </c>
      <c r="F20" s="73">
        <f t="shared" ref="F20:F83" si="0">+E20*D20</f>
        <v>1320138</v>
      </c>
      <c r="G20" s="112">
        <f>SUM(F20:F62)</f>
        <v>94468309</v>
      </c>
      <c r="H20" s="64"/>
    </row>
    <row r="21" spans="1:8" ht="21" customHeight="1" x14ac:dyDescent="0.2">
      <c r="A21" s="71">
        <v>2</v>
      </c>
      <c r="B21" s="110"/>
      <c r="C21" s="72" t="s">
        <v>49</v>
      </c>
      <c r="D21" s="74">
        <v>162</v>
      </c>
      <c r="E21" s="63">
        <v>8149</v>
      </c>
      <c r="F21" s="73">
        <f t="shared" si="0"/>
        <v>1320138</v>
      </c>
      <c r="G21" s="112"/>
      <c r="H21" s="64"/>
    </row>
    <row r="22" spans="1:8" ht="17.25" x14ac:dyDescent="0.2">
      <c r="A22" s="71">
        <v>3</v>
      </c>
      <c r="B22" s="110"/>
      <c r="C22" s="72" t="s">
        <v>50</v>
      </c>
      <c r="D22" s="74">
        <v>162</v>
      </c>
      <c r="E22" s="63">
        <v>8149</v>
      </c>
      <c r="F22" s="73">
        <f t="shared" si="0"/>
        <v>1320138</v>
      </c>
      <c r="G22" s="112"/>
      <c r="H22" s="64"/>
    </row>
    <row r="23" spans="1:8" ht="17.25" x14ac:dyDescent="0.2">
      <c r="A23" s="71">
        <v>4</v>
      </c>
      <c r="B23" s="110"/>
      <c r="C23" s="72" t="s">
        <v>51</v>
      </c>
      <c r="D23" s="74">
        <v>162</v>
      </c>
      <c r="E23" s="63">
        <v>8149</v>
      </c>
      <c r="F23" s="73">
        <f t="shared" si="0"/>
        <v>1320138</v>
      </c>
      <c r="G23" s="112"/>
      <c r="H23" s="64"/>
    </row>
    <row r="24" spans="1:8" ht="17.25" x14ac:dyDescent="0.2">
      <c r="A24" s="71">
        <v>5</v>
      </c>
      <c r="B24" s="110"/>
      <c r="C24" s="72" t="s">
        <v>52</v>
      </c>
      <c r="D24" s="74">
        <v>162</v>
      </c>
      <c r="E24" s="63">
        <v>8149</v>
      </c>
      <c r="F24" s="73">
        <f t="shared" si="0"/>
        <v>1320138</v>
      </c>
      <c r="G24" s="112"/>
      <c r="H24" s="64"/>
    </row>
    <row r="25" spans="1:8" ht="17.25" x14ac:dyDescent="0.2">
      <c r="A25" s="71">
        <v>6</v>
      </c>
      <c r="B25" s="110"/>
      <c r="C25" s="72" t="s">
        <v>53</v>
      </c>
      <c r="D25" s="74">
        <v>168</v>
      </c>
      <c r="E25" s="63">
        <v>9601</v>
      </c>
      <c r="F25" s="73">
        <f t="shared" si="0"/>
        <v>1612968</v>
      </c>
      <c r="G25" s="112"/>
      <c r="H25" s="64"/>
    </row>
    <row r="26" spans="1:8" ht="17.25" x14ac:dyDescent="0.2">
      <c r="A26" s="71">
        <v>7</v>
      </c>
      <c r="B26" s="110"/>
      <c r="C26" s="72" t="s">
        <v>54</v>
      </c>
      <c r="D26" s="74">
        <v>252</v>
      </c>
      <c r="E26" s="63">
        <v>10690</v>
      </c>
      <c r="F26" s="73">
        <f t="shared" si="0"/>
        <v>2693880</v>
      </c>
      <c r="G26" s="112"/>
      <c r="H26" s="64"/>
    </row>
    <row r="27" spans="1:8" ht="17.25" x14ac:dyDescent="0.2">
      <c r="A27" s="71">
        <v>8</v>
      </c>
      <c r="B27" s="110"/>
      <c r="C27" s="72" t="s">
        <v>55</v>
      </c>
      <c r="D27" s="74">
        <v>160</v>
      </c>
      <c r="E27" s="63">
        <v>5971.0000000000009</v>
      </c>
      <c r="F27" s="73">
        <f t="shared" si="0"/>
        <v>955360.00000000012</v>
      </c>
      <c r="G27" s="112"/>
      <c r="H27" s="64"/>
    </row>
    <row r="28" spans="1:8" ht="17.25" x14ac:dyDescent="0.2">
      <c r="A28" s="71">
        <v>9</v>
      </c>
      <c r="B28" s="110"/>
      <c r="C28" s="72" t="s">
        <v>56</v>
      </c>
      <c r="D28" s="74">
        <v>168</v>
      </c>
      <c r="E28" s="63">
        <v>9601</v>
      </c>
      <c r="F28" s="73">
        <f t="shared" si="0"/>
        <v>1612968</v>
      </c>
      <c r="G28" s="112"/>
      <c r="H28" s="64"/>
    </row>
    <row r="29" spans="1:8" ht="17.25" x14ac:dyDescent="0.2">
      <c r="A29" s="71">
        <v>10</v>
      </c>
      <c r="B29" s="110"/>
      <c r="C29" s="72" t="s">
        <v>57</v>
      </c>
      <c r="D29" s="74">
        <v>252</v>
      </c>
      <c r="E29" s="63">
        <v>10690</v>
      </c>
      <c r="F29" s="73">
        <f t="shared" si="0"/>
        <v>2693880</v>
      </c>
      <c r="G29" s="112"/>
      <c r="H29" s="64"/>
    </row>
    <row r="30" spans="1:8" ht="17.25" x14ac:dyDescent="0.2">
      <c r="A30" s="71">
        <v>11</v>
      </c>
      <c r="B30" s="110"/>
      <c r="C30" s="72" t="s">
        <v>58</v>
      </c>
      <c r="D30" s="74">
        <v>108</v>
      </c>
      <c r="E30" s="63">
        <v>7665.0000000000009</v>
      </c>
      <c r="F30" s="73">
        <f t="shared" si="0"/>
        <v>827820.00000000012</v>
      </c>
      <c r="G30" s="112"/>
      <c r="H30" s="64"/>
    </row>
    <row r="31" spans="1:8" ht="17.25" x14ac:dyDescent="0.2">
      <c r="A31" s="71">
        <v>12</v>
      </c>
      <c r="B31" s="110"/>
      <c r="C31" s="72" t="s">
        <v>59</v>
      </c>
      <c r="D31" s="74">
        <v>108</v>
      </c>
      <c r="E31" s="63">
        <v>9964</v>
      </c>
      <c r="F31" s="73">
        <f t="shared" si="0"/>
        <v>1076112</v>
      </c>
      <c r="G31" s="112"/>
      <c r="H31" s="64"/>
    </row>
    <row r="32" spans="1:8" ht="17.25" x14ac:dyDescent="0.2">
      <c r="A32" s="71">
        <v>13</v>
      </c>
      <c r="B32" s="110"/>
      <c r="C32" s="72" t="s">
        <v>60</v>
      </c>
      <c r="D32" s="74">
        <v>108</v>
      </c>
      <c r="E32" s="63">
        <v>9964</v>
      </c>
      <c r="F32" s="73">
        <f t="shared" si="0"/>
        <v>1076112</v>
      </c>
      <c r="G32" s="112"/>
      <c r="H32" s="64"/>
    </row>
    <row r="33" spans="1:8" ht="17.25" x14ac:dyDescent="0.2">
      <c r="A33" s="71">
        <v>14</v>
      </c>
      <c r="B33" s="110"/>
      <c r="C33" s="72" t="s">
        <v>61</v>
      </c>
      <c r="D33" s="74">
        <v>108</v>
      </c>
      <c r="E33" s="63">
        <v>9964</v>
      </c>
      <c r="F33" s="73">
        <f t="shared" si="0"/>
        <v>1076112</v>
      </c>
      <c r="G33" s="112"/>
      <c r="H33" s="64"/>
    </row>
    <row r="34" spans="1:8" ht="17.25" x14ac:dyDescent="0.2">
      <c r="A34" s="71">
        <v>15</v>
      </c>
      <c r="B34" s="110"/>
      <c r="C34" s="72" t="s">
        <v>62</v>
      </c>
      <c r="D34" s="74">
        <v>168</v>
      </c>
      <c r="E34" s="63">
        <v>7181.0000000000009</v>
      </c>
      <c r="F34" s="73">
        <f t="shared" si="0"/>
        <v>1206408.0000000002</v>
      </c>
      <c r="G34" s="112"/>
      <c r="H34" s="64"/>
    </row>
    <row r="35" spans="1:8" ht="17.25" x14ac:dyDescent="0.2">
      <c r="A35" s="71">
        <v>16</v>
      </c>
      <c r="B35" s="110"/>
      <c r="C35" s="72" t="s">
        <v>63</v>
      </c>
      <c r="D35" s="74">
        <v>252</v>
      </c>
      <c r="E35" s="63">
        <v>9480</v>
      </c>
      <c r="F35" s="73">
        <f t="shared" si="0"/>
        <v>2388960</v>
      </c>
      <c r="G35" s="112"/>
      <c r="H35" s="64"/>
    </row>
    <row r="36" spans="1:8" ht="17.25" x14ac:dyDescent="0.2">
      <c r="A36" s="71">
        <v>17</v>
      </c>
      <c r="B36" s="110"/>
      <c r="C36" s="72" t="s">
        <v>64</v>
      </c>
      <c r="D36" s="74">
        <v>162</v>
      </c>
      <c r="E36" s="63">
        <v>8875</v>
      </c>
      <c r="F36" s="73">
        <f t="shared" si="0"/>
        <v>1437750</v>
      </c>
      <c r="G36" s="112"/>
      <c r="H36" s="64"/>
    </row>
    <row r="37" spans="1:8" ht="17.25" x14ac:dyDescent="0.2">
      <c r="A37" s="71">
        <v>18</v>
      </c>
      <c r="B37" s="110"/>
      <c r="C37" s="72" t="s">
        <v>65</v>
      </c>
      <c r="D37" s="74">
        <v>210</v>
      </c>
      <c r="E37" s="63">
        <v>9238</v>
      </c>
      <c r="F37" s="73">
        <f t="shared" si="0"/>
        <v>1939980</v>
      </c>
      <c r="G37" s="112"/>
      <c r="H37" s="64"/>
    </row>
    <row r="38" spans="1:8" ht="17.25" x14ac:dyDescent="0.2">
      <c r="A38" s="71">
        <v>19</v>
      </c>
      <c r="B38" s="110"/>
      <c r="C38" s="72" t="s">
        <v>66</v>
      </c>
      <c r="D38" s="74">
        <v>150</v>
      </c>
      <c r="E38" s="63">
        <v>7060.0000000000009</v>
      </c>
      <c r="F38" s="73">
        <f t="shared" si="0"/>
        <v>1059000.0000000002</v>
      </c>
      <c r="G38" s="112"/>
      <c r="H38" s="64"/>
    </row>
    <row r="39" spans="1:8" ht="17.25" x14ac:dyDescent="0.2">
      <c r="A39" s="71">
        <v>20</v>
      </c>
      <c r="B39" s="110"/>
      <c r="C39" s="72" t="s">
        <v>67</v>
      </c>
      <c r="D39" s="74">
        <v>500</v>
      </c>
      <c r="E39" s="63">
        <v>7181.0000000000009</v>
      </c>
      <c r="F39" s="73">
        <f t="shared" si="0"/>
        <v>3590500.0000000005</v>
      </c>
      <c r="G39" s="112"/>
      <c r="H39" s="64"/>
    </row>
    <row r="40" spans="1:8" ht="17.25" x14ac:dyDescent="0.2">
      <c r="A40" s="71">
        <v>21</v>
      </c>
      <c r="B40" s="110"/>
      <c r="C40" s="72" t="s">
        <v>68</v>
      </c>
      <c r="D40" s="74">
        <v>540</v>
      </c>
      <c r="E40" s="63">
        <v>8270</v>
      </c>
      <c r="F40" s="73">
        <f t="shared" si="0"/>
        <v>4465800</v>
      </c>
      <c r="G40" s="112"/>
      <c r="H40" s="64"/>
    </row>
    <row r="41" spans="1:8" ht="17.25" x14ac:dyDescent="0.2">
      <c r="A41" s="71">
        <v>22</v>
      </c>
      <c r="B41" s="110"/>
      <c r="C41" s="72" t="s">
        <v>69</v>
      </c>
      <c r="D41" s="74">
        <v>540</v>
      </c>
      <c r="E41" s="63">
        <v>8270</v>
      </c>
      <c r="F41" s="73">
        <f t="shared" si="0"/>
        <v>4465800</v>
      </c>
      <c r="G41" s="112"/>
      <c r="H41" s="64"/>
    </row>
    <row r="42" spans="1:8" ht="17.25" x14ac:dyDescent="0.2">
      <c r="A42" s="71">
        <v>23</v>
      </c>
      <c r="B42" s="110"/>
      <c r="C42" s="72" t="s">
        <v>70</v>
      </c>
      <c r="D42" s="74">
        <v>540</v>
      </c>
      <c r="E42" s="63">
        <v>8270</v>
      </c>
      <c r="F42" s="73">
        <f t="shared" si="0"/>
        <v>4465800</v>
      </c>
      <c r="G42" s="112"/>
      <c r="H42" s="64"/>
    </row>
    <row r="43" spans="1:8" ht="17.25" x14ac:dyDescent="0.2">
      <c r="A43" s="71">
        <v>24</v>
      </c>
      <c r="B43" s="110"/>
      <c r="C43" s="72" t="s">
        <v>71</v>
      </c>
      <c r="D43" s="74">
        <v>300</v>
      </c>
      <c r="E43" s="63">
        <v>7665.0000000000009</v>
      </c>
      <c r="F43" s="73">
        <f t="shared" si="0"/>
        <v>2299500.0000000005</v>
      </c>
      <c r="G43" s="112"/>
      <c r="H43" s="64"/>
    </row>
    <row r="44" spans="1:8" ht="17.25" x14ac:dyDescent="0.2">
      <c r="A44" s="71">
        <v>25</v>
      </c>
      <c r="B44" s="110"/>
      <c r="C44" s="72" t="s">
        <v>72</v>
      </c>
      <c r="D44" s="74">
        <v>150</v>
      </c>
      <c r="E44" s="63">
        <v>8512</v>
      </c>
      <c r="F44" s="73">
        <f t="shared" si="0"/>
        <v>1276800</v>
      </c>
      <c r="G44" s="112"/>
      <c r="H44" s="64"/>
    </row>
    <row r="45" spans="1:8" ht="17.25" x14ac:dyDescent="0.2">
      <c r="A45" s="71">
        <v>26</v>
      </c>
      <c r="B45" s="110"/>
      <c r="C45" s="72" t="s">
        <v>73</v>
      </c>
      <c r="D45" s="74">
        <v>180</v>
      </c>
      <c r="E45" s="63">
        <v>9480</v>
      </c>
      <c r="F45" s="73">
        <f t="shared" si="0"/>
        <v>1706400</v>
      </c>
      <c r="G45" s="112"/>
      <c r="H45" s="64"/>
    </row>
    <row r="46" spans="1:8" ht="17.25" x14ac:dyDescent="0.2">
      <c r="A46" s="71">
        <v>27</v>
      </c>
      <c r="B46" s="110"/>
      <c r="C46" s="72" t="s">
        <v>74</v>
      </c>
      <c r="D46" s="74">
        <v>800</v>
      </c>
      <c r="E46" s="63">
        <v>2099</v>
      </c>
      <c r="F46" s="73">
        <f t="shared" si="0"/>
        <v>1679200</v>
      </c>
      <c r="G46" s="112"/>
      <c r="H46" s="64"/>
    </row>
    <row r="47" spans="1:8" ht="17.25" x14ac:dyDescent="0.2">
      <c r="A47" s="71">
        <v>28</v>
      </c>
      <c r="B47" s="110"/>
      <c r="C47" s="72" t="s">
        <v>75</v>
      </c>
      <c r="D47" s="74">
        <v>216</v>
      </c>
      <c r="E47" s="63">
        <v>7665.0000000000009</v>
      </c>
      <c r="F47" s="73">
        <f t="shared" si="0"/>
        <v>1655640.0000000002</v>
      </c>
      <c r="G47" s="112"/>
      <c r="H47" s="64"/>
    </row>
    <row r="48" spans="1:8" ht="17.25" x14ac:dyDescent="0.2">
      <c r="A48" s="71">
        <v>29</v>
      </c>
      <c r="B48" s="110"/>
      <c r="C48" s="72" t="s">
        <v>76</v>
      </c>
      <c r="D48" s="74">
        <v>360</v>
      </c>
      <c r="E48" s="63">
        <v>8270</v>
      </c>
      <c r="F48" s="73">
        <f t="shared" si="0"/>
        <v>2977200</v>
      </c>
      <c r="G48" s="112"/>
      <c r="H48" s="64"/>
    </row>
    <row r="49" spans="1:8" ht="17.25" x14ac:dyDescent="0.2">
      <c r="A49" s="71">
        <v>30</v>
      </c>
      <c r="B49" s="110"/>
      <c r="C49" s="72" t="s">
        <v>77</v>
      </c>
      <c r="D49" s="74">
        <v>360</v>
      </c>
      <c r="E49" s="63">
        <v>8270</v>
      </c>
      <c r="F49" s="73">
        <f t="shared" si="0"/>
        <v>2977200</v>
      </c>
      <c r="G49" s="112"/>
      <c r="H49" s="64"/>
    </row>
    <row r="50" spans="1:8" ht="17.25" x14ac:dyDescent="0.2">
      <c r="A50" s="71">
        <v>31</v>
      </c>
      <c r="B50" s="110"/>
      <c r="C50" s="72" t="s">
        <v>78</v>
      </c>
      <c r="D50" s="74">
        <v>360</v>
      </c>
      <c r="E50" s="63">
        <v>8270</v>
      </c>
      <c r="F50" s="73">
        <f t="shared" si="0"/>
        <v>2977200</v>
      </c>
      <c r="G50" s="112"/>
      <c r="H50" s="64"/>
    </row>
    <row r="51" spans="1:8" ht="17.25" x14ac:dyDescent="0.2">
      <c r="A51" s="71">
        <v>32</v>
      </c>
      <c r="B51" s="110"/>
      <c r="C51" s="72" t="s">
        <v>79</v>
      </c>
      <c r="D51" s="74">
        <v>160</v>
      </c>
      <c r="E51" s="63">
        <v>5971.0000000000009</v>
      </c>
      <c r="F51" s="73">
        <f t="shared" si="0"/>
        <v>955360.00000000012</v>
      </c>
      <c r="G51" s="112"/>
      <c r="H51" s="64"/>
    </row>
    <row r="52" spans="1:8" ht="17.25" x14ac:dyDescent="0.2">
      <c r="A52" s="71">
        <v>33</v>
      </c>
      <c r="B52" s="110"/>
      <c r="C52" s="72" t="s">
        <v>80</v>
      </c>
      <c r="D52" s="74">
        <v>96</v>
      </c>
      <c r="E52" s="63">
        <v>7665.0000000000009</v>
      </c>
      <c r="F52" s="73">
        <f t="shared" si="0"/>
        <v>735840.00000000012</v>
      </c>
      <c r="G52" s="112"/>
      <c r="H52" s="64"/>
    </row>
    <row r="53" spans="1:8" ht="17.25" x14ac:dyDescent="0.2">
      <c r="A53" s="71">
        <v>34</v>
      </c>
      <c r="B53" s="110"/>
      <c r="C53" s="72" t="s">
        <v>81</v>
      </c>
      <c r="D53" s="74">
        <v>135</v>
      </c>
      <c r="E53" s="63">
        <v>8512</v>
      </c>
      <c r="F53" s="73">
        <f t="shared" si="0"/>
        <v>1149120</v>
      </c>
      <c r="G53" s="112"/>
      <c r="H53" s="64"/>
    </row>
    <row r="54" spans="1:8" ht="17.25" x14ac:dyDescent="0.2">
      <c r="A54" s="71">
        <v>35</v>
      </c>
      <c r="B54" s="110"/>
      <c r="C54" s="72" t="s">
        <v>82</v>
      </c>
      <c r="D54" s="74">
        <v>216</v>
      </c>
      <c r="E54" s="63">
        <v>9964</v>
      </c>
      <c r="F54" s="73">
        <f t="shared" si="0"/>
        <v>2152224</v>
      </c>
      <c r="G54" s="112"/>
      <c r="H54" s="64"/>
    </row>
    <row r="55" spans="1:8" ht="17.25" x14ac:dyDescent="0.2">
      <c r="A55" s="71">
        <v>36</v>
      </c>
      <c r="B55" s="110"/>
      <c r="C55" s="72" t="s">
        <v>83</v>
      </c>
      <c r="D55" s="74">
        <v>165</v>
      </c>
      <c r="E55" s="63">
        <v>12868.000000000002</v>
      </c>
      <c r="F55" s="73">
        <f t="shared" si="0"/>
        <v>2123220.0000000005</v>
      </c>
      <c r="G55" s="112"/>
      <c r="H55" s="64"/>
    </row>
    <row r="56" spans="1:8" ht="17.25" x14ac:dyDescent="0.2">
      <c r="A56" s="71">
        <v>37</v>
      </c>
      <c r="B56" s="110"/>
      <c r="C56" s="72" t="s">
        <v>84</v>
      </c>
      <c r="D56" s="74">
        <v>270</v>
      </c>
      <c r="E56" s="63">
        <v>8875</v>
      </c>
      <c r="F56" s="73">
        <f t="shared" si="0"/>
        <v>2396250</v>
      </c>
      <c r="G56" s="112"/>
      <c r="H56" s="64"/>
    </row>
    <row r="57" spans="1:8" ht="17.25" x14ac:dyDescent="0.2">
      <c r="A57" s="71">
        <v>38</v>
      </c>
      <c r="B57" s="110"/>
      <c r="C57" s="72" t="s">
        <v>85</v>
      </c>
      <c r="D57" s="74">
        <v>195</v>
      </c>
      <c r="E57" s="63">
        <v>8149</v>
      </c>
      <c r="F57" s="73">
        <f t="shared" si="0"/>
        <v>1589055</v>
      </c>
      <c r="G57" s="112"/>
      <c r="H57" s="64"/>
    </row>
    <row r="58" spans="1:8" ht="17.25" x14ac:dyDescent="0.2">
      <c r="A58" s="71">
        <v>39</v>
      </c>
      <c r="B58" s="110"/>
      <c r="C58" s="72" t="s">
        <v>86</v>
      </c>
      <c r="D58" s="74">
        <v>990</v>
      </c>
      <c r="E58" s="63">
        <v>4156</v>
      </c>
      <c r="F58" s="73">
        <f t="shared" si="0"/>
        <v>4114440</v>
      </c>
      <c r="G58" s="112"/>
      <c r="H58" s="64"/>
    </row>
    <row r="59" spans="1:8" ht="17.25" x14ac:dyDescent="0.2">
      <c r="A59" s="71">
        <v>40</v>
      </c>
      <c r="B59" s="110"/>
      <c r="C59" s="72" t="s">
        <v>87</v>
      </c>
      <c r="D59" s="74">
        <v>990</v>
      </c>
      <c r="E59" s="63">
        <v>4156</v>
      </c>
      <c r="F59" s="73">
        <f t="shared" si="0"/>
        <v>4114440</v>
      </c>
      <c r="G59" s="112"/>
      <c r="H59" s="64"/>
    </row>
    <row r="60" spans="1:8" ht="17.25" x14ac:dyDescent="0.2">
      <c r="A60" s="71">
        <v>41</v>
      </c>
      <c r="B60" s="110"/>
      <c r="C60" s="72" t="s">
        <v>88</v>
      </c>
      <c r="D60" s="74">
        <v>990</v>
      </c>
      <c r="E60" s="63">
        <v>4156</v>
      </c>
      <c r="F60" s="73">
        <f t="shared" si="0"/>
        <v>4114440</v>
      </c>
      <c r="G60" s="112"/>
      <c r="H60" s="64"/>
    </row>
    <row r="61" spans="1:8" ht="17.25" x14ac:dyDescent="0.2">
      <c r="A61" s="71">
        <v>42</v>
      </c>
      <c r="B61" s="110"/>
      <c r="C61" s="72" t="s">
        <v>89</v>
      </c>
      <c r="D61" s="74">
        <v>990</v>
      </c>
      <c r="E61" s="63">
        <v>4156</v>
      </c>
      <c r="F61" s="73">
        <f t="shared" si="0"/>
        <v>4114440</v>
      </c>
      <c r="G61" s="112"/>
      <c r="H61" s="64"/>
    </row>
    <row r="62" spans="1:8" ht="17.25" x14ac:dyDescent="0.2">
      <c r="A62" s="71">
        <v>43</v>
      </c>
      <c r="B62" s="111"/>
      <c r="C62" s="72" t="s">
        <v>90</v>
      </c>
      <c r="D62" s="74">
        <v>990</v>
      </c>
      <c r="E62" s="63">
        <v>4156</v>
      </c>
      <c r="F62" s="73">
        <f t="shared" si="0"/>
        <v>4114440</v>
      </c>
      <c r="G62" s="112"/>
      <c r="H62" s="64"/>
    </row>
    <row r="63" spans="1:8" ht="17.25" x14ac:dyDescent="0.2">
      <c r="A63" s="71">
        <v>44</v>
      </c>
      <c r="B63" s="113" t="s">
        <v>220</v>
      </c>
      <c r="C63" s="72" t="s">
        <v>93</v>
      </c>
      <c r="D63" s="74">
        <v>48</v>
      </c>
      <c r="E63" s="63">
        <v>12220.000000000002</v>
      </c>
      <c r="F63" s="73">
        <f t="shared" si="0"/>
        <v>586560.00000000012</v>
      </c>
      <c r="G63" s="112">
        <f>SUM(F63:F195)</f>
        <v>138096986</v>
      </c>
      <c r="H63" s="64"/>
    </row>
    <row r="64" spans="1:8" ht="17.25" x14ac:dyDescent="0.2">
      <c r="A64" s="71">
        <v>45</v>
      </c>
      <c r="B64" s="113"/>
      <c r="C64" s="72" t="s">
        <v>219</v>
      </c>
      <c r="D64" s="74">
        <v>48</v>
      </c>
      <c r="E64" s="63">
        <v>23205.000000000004</v>
      </c>
      <c r="F64" s="73">
        <f t="shared" si="0"/>
        <v>1113840.0000000002</v>
      </c>
      <c r="G64" s="112"/>
      <c r="H64" s="64"/>
    </row>
    <row r="65" spans="1:8" ht="17.25" x14ac:dyDescent="0.2">
      <c r="A65" s="71">
        <v>46</v>
      </c>
      <c r="B65" s="113"/>
      <c r="C65" s="72" t="s">
        <v>94</v>
      </c>
      <c r="D65" s="74">
        <v>60</v>
      </c>
      <c r="E65" s="63">
        <v>28506.000000000004</v>
      </c>
      <c r="F65" s="73">
        <f t="shared" si="0"/>
        <v>1710360.0000000002</v>
      </c>
      <c r="G65" s="112"/>
      <c r="H65" s="64"/>
    </row>
    <row r="66" spans="1:8" ht="17.25" x14ac:dyDescent="0.2">
      <c r="A66" s="71">
        <v>47</v>
      </c>
      <c r="B66" s="113"/>
      <c r="C66" s="72" t="s">
        <v>95</v>
      </c>
      <c r="D66" s="74">
        <v>300</v>
      </c>
      <c r="E66" s="63">
        <v>994.99999999999989</v>
      </c>
      <c r="F66" s="73">
        <f t="shared" si="0"/>
        <v>298499.99999999994</v>
      </c>
      <c r="G66" s="112"/>
      <c r="H66" s="64"/>
    </row>
    <row r="67" spans="1:8" ht="17.25" x14ac:dyDescent="0.2">
      <c r="A67" s="71">
        <v>48</v>
      </c>
      <c r="B67" s="113"/>
      <c r="C67" s="72" t="s">
        <v>96</v>
      </c>
      <c r="D67" s="74">
        <v>200</v>
      </c>
      <c r="E67" s="63">
        <v>1205</v>
      </c>
      <c r="F67" s="73">
        <f t="shared" si="0"/>
        <v>241000</v>
      </c>
      <c r="G67" s="112"/>
      <c r="H67" s="64"/>
    </row>
    <row r="68" spans="1:8" ht="17.25" x14ac:dyDescent="0.2">
      <c r="A68" s="71">
        <v>49</v>
      </c>
      <c r="B68" s="113"/>
      <c r="C68" s="72" t="s">
        <v>97</v>
      </c>
      <c r="D68" s="74">
        <v>200</v>
      </c>
      <c r="E68" s="63">
        <v>1404.0000000000002</v>
      </c>
      <c r="F68" s="73">
        <f t="shared" si="0"/>
        <v>280800.00000000006</v>
      </c>
      <c r="G68" s="112"/>
      <c r="H68" s="64"/>
    </row>
    <row r="69" spans="1:8" ht="17.25" x14ac:dyDescent="0.2">
      <c r="A69" s="71">
        <v>50</v>
      </c>
      <c r="B69" s="113"/>
      <c r="C69" s="72" t="s">
        <v>98</v>
      </c>
      <c r="D69" s="74">
        <v>200</v>
      </c>
      <c r="E69" s="63">
        <v>1802.0000000000002</v>
      </c>
      <c r="F69" s="73">
        <f t="shared" si="0"/>
        <v>360400.00000000006</v>
      </c>
      <c r="G69" s="112"/>
      <c r="H69" s="64"/>
    </row>
    <row r="70" spans="1:8" ht="17.25" x14ac:dyDescent="0.2">
      <c r="A70" s="71">
        <v>51</v>
      </c>
      <c r="B70" s="113"/>
      <c r="C70" s="72" t="s">
        <v>99</v>
      </c>
      <c r="D70" s="74">
        <v>400</v>
      </c>
      <c r="E70" s="63">
        <v>1989.9999999999998</v>
      </c>
      <c r="F70" s="73">
        <f t="shared" si="0"/>
        <v>795999.99999999988</v>
      </c>
      <c r="G70" s="112"/>
      <c r="H70" s="64"/>
    </row>
    <row r="71" spans="1:8" ht="17.25" x14ac:dyDescent="0.2">
      <c r="A71" s="71">
        <v>52</v>
      </c>
      <c r="B71" s="113"/>
      <c r="C71" s="72" t="s">
        <v>100</v>
      </c>
      <c r="D71" s="74">
        <v>84</v>
      </c>
      <c r="E71" s="63">
        <v>6003.0000000000009</v>
      </c>
      <c r="F71" s="73">
        <f t="shared" si="0"/>
        <v>504252.00000000006</v>
      </c>
      <c r="G71" s="112"/>
      <c r="H71" s="64"/>
    </row>
    <row r="72" spans="1:8" ht="17.25" x14ac:dyDescent="0.2">
      <c r="A72" s="71">
        <v>53</v>
      </c>
      <c r="B72" s="113"/>
      <c r="C72" s="72" t="s">
        <v>101</v>
      </c>
      <c r="D72" s="74">
        <v>84</v>
      </c>
      <c r="E72" s="63">
        <v>6998.0000000000009</v>
      </c>
      <c r="F72" s="73">
        <f t="shared" si="0"/>
        <v>587832.00000000012</v>
      </c>
      <c r="G72" s="112"/>
      <c r="H72" s="64"/>
    </row>
    <row r="73" spans="1:8" ht="17.25" x14ac:dyDescent="0.2">
      <c r="A73" s="71">
        <v>54</v>
      </c>
      <c r="B73" s="113"/>
      <c r="C73" s="72" t="s">
        <v>102</v>
      </c>
      <c r="D73" s="74">
        <v>180</v>
      </c>
      <c r="E73" s="63">
        <v>1404.0000000000002</v>
      </c>
      <c r="F73" s="73">
        <f t="shared" si="0"/>
        <v>252720.00000000003</v>
      </c>
      <c r="G73" s="112"/>
      <c r="H73" s="64"/>
    </row>
    <row r="74" spans="1:8" ht="17.25" x14ac:dyDescent="0.2">
      <c r="A74" s="71">
        <v>55</v>
      </c>
      <c r="B74" s="113"/>
      <c r="C74" s="72" t="s">
        <v>103</v>
      </c>
      <c r="D74" s="74">
        <v>180</v>
      </c>
      <c r="E74" s="63">
        <v>1603.0000000000002</v>
      </c>
      <c r="F74" s="73">
        <f t="shared" si="0"/>
        <v>288540.00000000006</v>
      </c>
      <c r="G74" s="112"/>
      <c r="H74" s="64"/>
    </row>
    <row r="75" spans="1:8" ht="17.25" x14ac:dyDescent="0.2">
      <c r="A75" s="71">
        <v>56</v>
      </c>
      <c r="B75" s="113"/>
      <c r="C75" s="72" t="s">
        <v>104</v>
      </c>
      <c r="D75" s="74">
        <v>180</v>
      </c>
      <c r="E75" s="63">
        <v>1989.9999999999998</v>
      </c>
      <c r="F75" s="73">
        <f t="shared" si="0"/>
        <v>358199.99999999994</v>
      </c>
      <c r="G75" s="112"/>
      <c r="H75" s="64"/>
    </row>
    <row r="76" spans="1:8" ht="17.25" x14ac:dyDescent="0.2">
      <c r="A76" s="71">
        <v>57</v>
      </c>
      <c r="B76" s="113"/>
      <c r="C76" s="72" t="s">
        <v>105</v>
      </c>
      <c r="D76" s="74">
        <v>400</v>
      </c>
      <c r="E76" s="63">
        <v>1205</v>
      </c>
      <c r="F76" s="73">
        <f t="shared" si="0"/>
        <v>482000</v>
      </c>
      <c r="G76" s="112"/>
      <c r="H76" s="64"/>
    </row>
    <row r="77" spans="1:8" ht="17.25" x14ac:dyDescent="0.2">
      <c r="A77" s="71">
        <v>58</v>
      </c>
      <c r="B77" s="113"/>
      <c r="C77" s="72" t="s">
        <v>106</v>
      </c>
      <c r="D77" s="74">
        <v>400</v>
      </c>
      <c r="E77" s="63">
        <v>1404.0000000000002</v>
      </c>
      <c r="F77" s="73">
        <f t="shared" si="0"/>
        <v>561600.00000000012</v>
      </c>
      <c r="G77" s="112"/>
      <c r="H77" s="64"/>
    </row>
    <row r="78" spans="1:8" ht="17.25" x14ac:dyDescent="0.2">
      <c r="A78" s="71">
        <v>59</v>
      </c>
      <c r="B78" s="113"/>
      <c r="C78" s="72" t="s">
        <v>107</v>
      </c>
      <c r="D78" s="74">
        <v>400</v>
      </c>
      <c r="E78" s="63">
        <v>1802.0000000000002</v>
      </c>
      <c r="F78" s="73">
        <f t="shared" si="0"/>
        <v>720800.00000000012</v>
      </c>
      <c r="G78" s="112"/>
      <c r="H78" s="64"/>
    </row>
    <row r="79" spans="1:8" ht="17.25" x14ac:dyDescent="0.2">
      <c r="A79" s="71">
        <v>60</v>
      </c>
      <c r="B79" s="113"/>
      <c r="C79" s="72" t="s">
        <v>108</v>
      </c>
      <c r="D79" s="74">
        <v>42</v>
      </c>
      <c r="E79" s="63">
        <v>6003.0000000000009</v>
      </c>
      <c r="F79" s="73">
        <f t="shared" si="0"/>
        <v>252126.00000000003</v>
      </c>
      <c r="G79" s="112"/>
      <c r="H79" s="64"/>
    </row>
    <row r="80" spans="1:8" ht="17.25" x14ac:dyDescent="0.2">
      <c r="A80" s="71">
        <v>61</v>
      </c>
      <c r="B80" s="113"/>
      <c r="C80" s="72" t="s">
        <v>109</v>
      </c>
      <c r="D80" s="74">
        <v>200</v>
      </c>
      <c r="E80" s="63">
        <v>2278</v>
      </c>
      <c r="F80" s="73">
        <f t="shared" si="0"/>
        <v>455600</v>
      </c>
      <c r="G80" s="112"/>
      <c r="H80" s="64"/>
    </row>
    <row r="81" spans="1:8" ht="17.25" x14ac:dyDescent="0.2">
      <c r="A81" s="71">
        <v>62</v>
      </c>
      <c r="B81" s="113"/>
      <c r="C81" s="72" t="s">
        <v>102</v>
      </c>
      <c r="D81" s="74">
        <v>200</v>
      </c>
      <c r="E81" s="63">
        <v>2278</v>
      </c>
      <c r="F81" s="73">
        <f t="shared" si="0"/>
        <v>455600</v>
      </c>
      <c r="G81" s="112"/>
      <c r="H81" s="64"/>
    </row>
    <row r="82" spans="1:8" ht="17.25" x14ac:dyDescent="0.2">
      <c r="A82" s="71">
        <v>63</v>
      </c>
      <c r="B82" s="113"/>
      <c r="C82" s="72" t="s">
        <v>110</v>
      </c>
      <c r="D82" s="74">
        <v>200</v>
      </c>
      <c r="E82" s="63">
        <v>2278</v>
      </c>
      <c r="F82" s="73">
        <f t="shared" si="0"/>
        <v>455600</v>
      </c>
      <c r="G82" s="112"/>
      <c r="H82" s="64"/>
    </row>
    <row r="83" spans="1:8" ht="17.25" x14ac:dyDescent="0.2">
      <c r="A83" s="71">
        <v>64</v>
      </c>
      <c r="B83" s="113"/>
      <c r="C83" s="72" t="s">
        <v>111</v>
      </c>
      <c r="D83" s="74">
        <v>200</v>
      </c>
      <c r="E83" s="63">
        <v>2278</v>
      </c>
      <c r="F83" s="73">
        <f t="shared" si="0"/>
        <v>455600</v>
      </c>
      <c r="G83" s="112"/>
      <c r="H83" s="64"/>
    </row>
    <row r="84" spans="1:8" ht="17.25" x14ac:dyDescent="0.2">
      <c r="A84" s="71">
        <v>65</v>
      </c>
      <c r="B84" s="113"/>
      <c r="C84" s="72" t="s">
        <v>112</v>
      </c>
      <c r="D84" s="74">
        <v>200</v>
      </c>
      <c r="E84" s="63">
        <v>2278</v>
      </c>
      <c r="F84" s="73">
        <f t="shared" ref="F84:F147" si="1">+E84*D84</f>
        <v>455600</v>
      </c>
      <c r="G84" s="112"/>
      <c r="H84" s="64"/>
    </row>
    <row r="85" spans="1:8" ht="17.25" x14ac:dyDescent="0.2">
      <c r="A85" s="71">
        <v>66</v>
      </c>
      <c r="B85" s="113"/>
      <c r="C85" s="72" t="s">
        <v>109</v>
      </c>
      <c r="D85" s="74">
        <v>78</v>
      </c>
      <c r="E85" s="63">
        <v>9090</v>
      </c>
      <c r="F85" s="73">
        <f t="shared" si="1"/>
        <v>709020</v>
      </c>
      <c r="G85" s="112"/>
      <c r="H85" s="64"/>
    </row>
    <row r="86" spans="1:8" ht="17.25" x14ac:dyDescent="0.2">
      <c r="A86" s="71">
        <v>67</v>
      </c>
      <c r="B86" s="113"/>
      <c r="C86" s="72" t="s">
        <v>102</v>
      </c>
      <c r="D86" s="74">
        <v>78</v>
      </c>
      <c r="E86" s="63">
        <v>9090</v>
      </c>
      <c r="F86" s="73">
        <f t="shared" si="1"/>
        <v>709020</v>
      </c>
      <c r="G86" s="112"/>
      <c r="H86" s="64"/>
    </row>
    <row r="87" spans="1:8" ht="17.25" x14ac:dyDescent="0.2">
      <c r="A87" s="71">
        <v>68</v>
      </c>
      <c r="B87" s="113"/>
      <c r="C87" s="72" t="s">
        <v>110</v>
      </c>
      <c r="D87" s="74">
        <v>78</v>
      </c>
      <c r="E87" s="63">
        <v>9090</v>
      </c>
      <c r="F87" s="73">
        <f t="shared" si="1"/>
        <v>709020</v>
      </c>
      <c r="G87" s="112"/>
      <c r="H87" s="64"/>
    </row>
    <row r="88" spans="1:8" ht="17.25" x14ac:dyDescent="0.2">
      <c r="A88" s="71">
        <v>69</v>
      </c>
      <c r="B88" s="113"/>
      <c r="C88" s="72" t="s">
        <v>111</v>
      </c>
      <c r="D88" s="74">
        <v>78</v>
      </c>
      <c r="E88" s="63">
        <v>9090</v>
      </c>
      <c r="F88" s="73">
        <f t="shared" si="1"/>
        <v>709020</v>
      </c>
      <c r="G88" s="112"/>
      <c r="H88" s="64"/>
    </row>
    <row r="89" spans="1:8" ht="17.25" x14ac:dyDescent="0.2">
      <c r="A89" s="71">
        <v>70</v>
      </c>
      <c r="B89" s="113"/>
      <c r="C89" s="72" t="s">
        <v>112</v>
      </c>
      <c r="D89" s="74">
        <v>78</v>
      </c>
      <c r="E89" s="63">
        <v>9090</v>
      </c>
      <c r="F89" s="73">
        <f t="shared" si="1"/>
        <v>709020</v>
      </c>
      <c r="G89" s="112"/>
      <c r="H89" s="64"/>
    </row>
    <row r="90" spans="1:8" ht="17.25" x14ac:dyDescent="0.2">
      <c r="A90" s="71">
        <v>71</v>
      </c>
      <c r="B90" s="113"/>
      <c r="C90" s="72" t="s">
        <v>113</v>
      </c>
      <c r="D90" s="74">
        <v>168</v>
      </c>
      <c r="E90" s="63">
        <v>4545</v>
      </c>
      <c r="F90" s="73">
        <f t="shared" si="1"/>
        <v>763560</v>
      </c>
      <c r="G90" s="112"/>
      <c r="H90" s="64"/>
    </row>
    <row r="91" spans="1:8" ht="17.25" x14ac:dyDescent="0.2">
      <c r="A91" s="71">
        <v>72</v>
      </c>
      <c r="B91" s="113"/>
      <c r="C91" s="72" t="s">
        <v>114</v>
      </c>
      <c r="D91" s="74">
        <v>168</v>
      </c>
      <c r="E91" s="63">
        <v>4932</v>
      </c>
      <c r="F91" s="73">
        <f t="shared" si="1"/>
        <v>828576</v>
      </c>
      <c r="G91" s="112"/>
      <c r="H91" s="64"/>
    </row>
    <row r="92" spans="1:8" ht="17.25" x14ac:dyDescent="0.2">
      <c r="A92" s="71">
        <v>73</v>
      </c>
      <c r="B92" s="113"/>
      <c r="C92" s="72" t="s">
        <v>115</v>
      </c>
      <c r="D92" s="74">
        <v>84</v>
      </c>
      <c r="E92" s="63">
        <v>5308</v>
      </c>
      <c r="F92" s="73">
        <f t="shared" si="1"/>
        <v>445872</v>
      </c>
      <c r="G92" s="112"/>
      <c r="H92" s="64"/>
    </row>
    <row r="93" spans="1:8" ht="17.25" x14ac:dyDescent="0.2">
      <c r="A93" s="71">
        <v>74</v>
      </c>
      <c r="B93" s="113"/>
      <c r="C93" s="72" t="s">
        <v>116</v>
      </c>
      <c r="D93" s="74">
        <v>84</v>
      </c>
      <c r="E93" s="63">
        <v>5308</v>
      </c>
      <c r="F93" s="73">
        <f t="shared" si="1"/>
        <v>445872</v>
      </c>
      <c r="G93" s="112"/>
      <c r="H93" s="64"/>
    </row>
    <row r="94" spans="1:8" ht="17.25" x14ac:dyDescent="0.2">
      <c r="A94" s="71">
        <v>75</v>
      </c>
      <c r="B94" s="113"/>
      <c r="C94" s="72" t="s">
        <v>117</v>
      </c>
      <c r="D94" s="74">
        <v>84</v>
      </c>
      <c r="E94" s="63">
        <v>5308</v>
      </c>
      <c r="F94" s="73">
        <f t="shared" si="1"/>
        <v>445872</v>
      </c>
      <c r="G94" s="112"/>
      <c r="H94" s="64"/>
    </row>
    <row r="95" spans="1:8" ht="17.25" x14ac:dyDescent="0.2">
      <c r="A95" s="71">
        <v>76</v>
      </c>
      <c r="B95" s="113"/>
      <c r="C95" s="72" t="s">
        <v>118</v>
      </c>
      <c r="D95" s="74">
        <v>540</v>
      </c>
      <c r="E95" s="63">
        <v>1603.0000000000002</v>
      </c>
      <c r="F95" s="73">
        <f t="shared" si="1"/>
        <v>865620.00000000012</v>
      </c>
      <c r="G95" s="112"/>
      <c r="H95" s="64"/>
    </row>
    <row r="96" spans="1:8" ht="17.25" x14ac:dyDescent="0.2">
      <c r="A96" s="71">
        <v>77</v>
      </c>
      <c r="B96" s="113"/>
      <c r="C96" s="72" t="s">
        <v>119</v>
      </c>
      <c r="D96" s="74">
        <v>540</v>
      </c>
      <c r="E96" s="63">
        <v>1603.0000000000002</v>
      </c>
      <c r="F96" s="73">
        <f t="shared" si="1"/>
        <v>865620.00000000012</v>
      </c>
      <c r="G96" s="112"/>
      <c r="H96" s="64"/>
    </row>
    <row r="97" spans="1:8" ht="17.25" x14ac:dyDescent="0.2">
      <c r="A97" s="71">
        <v>78</v>
      </c>
      <c r="B97" s="113"/>
      <c r="C97" s="72" t="s">
        <v>120</v>
      </c>
      <c r="D97" s="74">
        <v>540</v>
      </c>
      <c r="E97" s="63">
        <v>1603.0000000000002</v>
      </c>
      <c r="F97" s="73">
        <f t="shared" si="1"/>
        <v>865620.00000000012</v>
      </c>
      <c r="G97" s="112"/>
      <c r="H97" s="64"/>
    </row>
    <row r="98" spans="1:8" ht="17.25" x14ac:dyDescent="0.2">
      <c r="A98" s="71">
        <v>79</v>
      </c>
      <c r="B98" s="113"/>
      <c r="C98" s="72" t="s">
        <v>121</v>
      </c>
      <c r="D98" s="74">
        <v>540</v>
      </c>
      <c r="E98" s="63">
        <v>1603.0000000000002</v>
      </c>
      <c r="F98" s="73">
        <f t="shared" si="1"/>
        <v>865620.00000000012</v>
      </c>
      <c r="G98" s="112"/>
      <c r="H98" s="64"/>
    </row>
    <row r="99" spans="1:8" ht="17.25" x14ac:dyDescent="0.2">
      <c r="A99" s="71">
        <v>80</v>
      </c>
      <c r="B99" s="113"/>
      <c r="C99" s="72" t="s">
        <v>122</v>
      </c>
      <c r="D99" s="74">
        <v>48</v>
      </c>
      <c r="E99" s="63">
        <v>16299.999999999998</v>
      </c>
      <c r="F99" s="73">
        <f t="shared" si="1"/>
        <v>782399.99999999988</v>
      </c>
      <c r="G99" s="112"/>
      <c r="H99" s="64"/>
    </row>
    <row r="100" spans="1:8" ht="17.25" x14ac:dyDescent="0.2">
      <c r="A100" s="71">
        <v>81</v>
      </c>
      <c r="B100" s="113"/>
      <c r="C100" s="72" t="s">
        <v>123</v>
      </c>
      <c r="D100" s="74">
        <v>48</v>
      </c>
      <c r="E100" s="63">
        <v>18960</v>
      </c>
      <c r="F100" s="73">
        <f t="shared" si="1"/>
        <v>910080</v>
      </c>
      <c r="G100" s="112"/>
      <c r="H100" s="64"/>
    </row>
    <row r="101" spans="1:8" ht="17.25" x14ac:dyDescent="0.2">
      <c r="A101" s="71">
        <v>82</v>
      </c>
      <c r="B101" s="113"/>
      <c r="C101" s="72" t="s">
        <v>124</v>
      </c>
      <c r="D101" s="74">
        <v>48</v>
      </c>
      <c r="E101" s="63">
        <v>19203</v>
      </c>
      <c r="F101" s="73">
        <f t="shared" si="1"/>
        <v>921744</v>
      </c>
      <c r="G101" s="112"/>
      <c r="H101" s="64"/>
    </row>
    <row r="102" spans="1:8" ht="17.25" x14ac:dyDescent="0.2">
      <c r="A102" s="71">
        <v>83</v>
      </c>
      <c r="B102" s="113"/>
      <c r="C102" s="72" t="s">
        <v>125</v>
      </c>
      <c r="D102" s="74">
        <v>48</v>
      </c>
      <c r="E102" s="63">
        <v>21984.000000000004</v>
      </c>
      <c r="F102" s="73">
        <f t="shared" si="1"/>
        <v>1055232.0000000002</v>
      </c>
      <c r="G102" s="112"/>
      <c r="H102" s="64"/>
    </row>
    <row r="103" spans="1:8" ht="17.25" x14ac:dyDescent="0.2">
      <c r="A103" s="71">
        <v>84</v>
      </c>
      <c r="B103" s="113"/>
      <c r="C103" s="72" t="s">
        <v>126</v>
      </c>
      <c r="D103" s="74">
        <v>48</v>
      </c>
      <c r="E103" s="63">
        <v>24347</v>
      </c>
      <c r="F103" s="73">
        <f t="shared" si="1"/>
        <v>1168656</v>
      </c>
      <c r="G103" s="112"/>
      <c r="H103" s="64"/>
    </row>
    <row r="104" spans="1:8" ht="17.25" x14ac:dyDescent="0.2">
      <c r="A104" s="71">
        <v>85</v>
      </c>
      <c r="B104" s="113"/>
      <c r="C104" s="72" t="s">
        <v>127</v>
      </c>
      <c r="D104" s="74">
        <v>48</v>
      </c>
      <c r="E104" s="63">
        <v>19203</v>
      </c>
      <c r="F104" s="73">
        <f t="shared" si="1"/>
        <v>921744</v>
      </c>
      <c r="G104" s="112"/>
      <c r="H104" s="64"/>
    </row>
    <row r="105" spans="1:8" ht="17.25" x14ac:dyDescent="0.2">
      <c r="A105" s="71">
        <v>86</v>
      </c>
      <c r="B105" s="113"/>
      <c r="C105" s="72" t="s">
        <v>128</v>
      </c>
      <c r="D105" s="74">
        <v>48</v>
      </c>
      <c r="E105" s="63">
        <v>21984.000000000004</v>
      </c>
      <c r="F105" s="73">
        <f t="shared" si="1"/>
        <v>1055232.0000000002</v>
      </c>
      <c r="G105" s="112"/>
      <c r="H105" s="64"/>
    </row>
    <row r="106" spans="1:8" ht="17.25" x14ac:dyDescent="0.2">
      <c r="A106" s="71">
        <v>87</v>
      </c>
      <c r="B106" s="113"/>
      <c r="C106" s="72" t="s">
        <v>129</v>
      </c>
      <c r="D106" s="74">
        <v>48</v>
      </c>
      <c r="E106" s="63">
        <v>24347</v>
      </c>
      <c r="F106" s="73">
        <f t="shared" si="1"/>
        <v>1168656</v>
      </c>
      <c r="G106" s="112"/>
      <c r="H106" s="64"/>
    </row>
    <row r="107" spans="1:8" ht="17.25" x14ac:dyDescent="0.2">
      <c r="A107" s="71">
        <v>88</v>
      </c>
      <c r="B107" s="113"/>
      <c r="C107" s="72" t="s">
        <v>130</v>
      </c>
      <c r="D107" s="74">
        <v>48</v>
      </c>
      <c r="E107" s="63">
        <v>19203</v>
      </c>
      <c r="F107" s="73">
        <f t="shared" si="1"/>
        <v>921744</v>
      </c>
      <c r="G107" s="112"/>
      <c r="H107" s="64"/>
    </row>
    <row r="108" spans="1:8" ht="17.25" x14ac:dyDescent="0.2">
      <c r="A108" s="71">
        <v>89</v>
      </c>
      <c r="B108" s="113"/>
      <c r="C108" s="72" t="s">
        <v>131</v>
      </c>
      <c r="D108" s="74">
        <v>48</v>
      </c>
      <c r="E108" s="63">
        <v>21984.000000000004</v>
      </c>
      <c r="F108" s="73">
        <f t="shared" si="1"/>
        <v>1055232.0000000002</v>
      </c>
      <c r="G108" s="112"/>
      <c r="H108" s="64"/>
    </row>
    <row r="109" spans="1:8" ht="17.25" x14ac:dyDescent="0.2">
      <c r="A109" s="71">
        <v>90</v>
      </c>
      <c r="B109" s="113"/>
      <c r="C109" s="72" t="s">
        <v>132</v>
      </c>
      <c r="D109" s="74">
        <v>48</v>
      </c>
      <c r="E109" s="63">
        <v>24347</v>
      </c>
      <c r="F109" s="73">
        <f t="shared" si="1"/>
        <v>1168656</v>
      </c>
      <c r="G109" s="112"/>
      <c r="H109" s="64"/>
    </row>
    <row r="110" spans="1:8" ht="17.25" x14ac:dyDescent="0.2">
      <c r="A110" s="71">
        <v>91</v>
      </c>
      <c r="B110" s="113"/>
      <c r="C110" s="72" t="s">
        <v>133</v>
      </c>
      <c r="D110" s="74">
        <v>48</v>
      </c>
      <c r="E110" s="63">
        <v>19203</v>
      </c>
      <c r="F110" s="73">
        <f t="shared" si="1"/>
        <v>921744</v>
      </c>
      <c r="G110" s="112"/>
      <c r="H110" s="64"/>
    </row>
    <row r="111" spans="1:8" ht="17.25" x14ac:dyDescent="0.2">
      <c r="A111" s="71">
        <v>92</v>
      </c>
      <c r="B111" s="113"/>
      <c r="C111" s="72" t="s">
        <v>134</v>
      </c>
      <c r="D111" s="74">
        <v>48</v>
      </c>
      <c r="E111" s="63">
        <v>21984.000000000004</v>
      </c>
      <c r="F111" s="73">
        <f t="shared" si="1"/>
        <v>1055232.0000000002</v>
      </c>
      <c r="G111" s="112"/>
      <c r="H111" s="64"/>
    </row>
    <row r="112" spans="1:8" ht="17.25" x14ac:dyDescent="0.2">
      <c r="A112" s="71">
        <v>93</v>
      </c>
      <c r="B112" s="113"/>
      <c r="C112" s="72" t="s">
        <v>135</v>
      </c>
      <c r="D112" s="74">
        <v>48</v>
      </c>
      <c r="E112" s="63">
        <v>24347</v>
      </c>
      <c r="F112" s="73">
        <f t="shared" si="1"/>
        <v>1168656</v>
      </c>
      <c r="G112" s="112"/>
      <c r="H112" s="64"/>
    </row>
    <row r="113" spans="1:8" ht="17.25" x14ac:dyDescent="0.2">
      <c r="A113" s="71">
        <v>94</v>
      </c>
      <c r="B113" s="113"/>
      <c r="C113" s="72" t="s">
        <v>136</v>
      </c>
      <c r="D113" s="74">
        <v>48</v>
      </c>
      <c r="E113" s="63">
        <v>19203</v>
      </c>
      <c r="F113" s="73">
        <f t="shared" si="1"/>
        <v>921744</v>
      </c>
      <c r="G113" s="112"/>
      <c r="H113" s="64"/>
    </row>
    <row r="114" spans="1:8" ht="17.25" x14ac:dyDescent="0.2">
      <c r="A114" s="71">
        <v>95</v>
      </c>
      <c r="B114" s="113"/>
      <c r="C114" s="72" t="s">
        <v>137</v>
      </c>
      <c r="D114" s="74">
        <v>48</v>
      </c>
      <c r="E114" s="63">
        <v>21984.000000000004</v>
      </c>
      <c r="F114" s="73">
        <f t="shared" si="1"/>
        <v>1055232.0000000002</v>
      </c>
      <c r="G114" s="112"/>
      <c r="H114" s="64"/>
    </row>
    <row r="115" spans="1:8" ht="17.25" x14ac:dyDescent="0.2">
      <c r="A115" s="71">
        <v>96</v>
      </c>
      <c r="B115" s="113"/>
      <c r="C115" s="72" t="s">
        <v>138</v>
      </c>
      <c r="D115" s="74">
        <v>48</v>
      </c>
      <c r="E115" s="63">
        <v>24347</v>
      </c>
      <c r="F115" s="73">
        <f t="shared" si="1"/>
        <v>1168656</v>
      </c>
      <c r="G115" s="112"/>
      <c r="H115" s="64"/>
    </row>
    <row r="116" spans="1:8" ht="17.25" x14ac:dyDescent="0.2">
      <c r="A116" s="71">
        <v>97</v>
      </c>
      <c r="B116" s="113"/>
      <c r="C116" s="72" t="s">
        <v>139</v>
      </c>
      <c r="D116" s="74">
        <v>48</v>
      </c>
      <c r="E116" s="63">
        <v>12802.000000000002</v>
      </c>
      <c r="F116" s="73">
        <f t="shared" si="1"/>
        <v>614496.00000000012</v>
      </c>
      <c r="G116" s="112"/>
      <c r="H116" s="64"/>
    </row>
    <row r="117" spans="1:8" ht="17.25" x14ac:dyDescent="0.2">
      <c r="A117" s="71">
        <v>98</v>
      </c>
      <c r="B117" s="113"/>
      <c r="C117" s="72" t="s">
        <v>140</v>
      </c>
      <c r="D117" s="74">
        <v>48</v>
      </c>
      <c r="E117" s="63">
        <v>19590</v>
      </c>
      <c r="F117" s="73">
        <f t="shared" si="1"/>
        <v>940320</v>
      </c>
      <c r="G117" s="112"/>
      <c r="H117" s="64"/>
    </row>
    <row r="118" spans="1:8" ht="17.25" x14ac:dyDescent="0.2">
      <c r="A118" s="71">
        <v>99</v>
      </c>
      <c r="B118" s="113"/>
      <c r="C118" s="72" t="s">
        <v>141</v>
      </c>
      <c r="D118" s="74">
        <v>144</v>
      </c>
      <c r="E118" s="63">
        <v>6784.0000000000009</v>
      </c>
      <c r="F118" s="73">
        <f t="shared" si="1"/>
        <v>976896.00000000012</v>
      </c>
      <c r="G118" s="112"/>
      <c r="H118" s="64"/>
    </row>
    <row r="119" spans="1:8" ht="17.25" x14ac:dyDescent="0.2">
      <c r="A119" s="71">
        <v>100</v>
      </c>
      <c r="B119" s="113"/>
      <c r="C119" s="72" t="s">
        <v>142</v>
      </c>
      <c r="D119" s="74">
        <v>144</v>
      </c>
      <c r="E119" s="63">
        <v>7690.0000000000009</v>
      </c>
      <c r="F119" s="73">
        <f t="shared" si="1"/>
        <v>1107360.0000000002</v>
      </c>
      <c r="G119" s="112"/>
      <c r="H119" s="64"/>
    </row>
    <row r="120" spans="1:8" ht="17.25" x14ac:dyDescent="0.2">
      <c r="A120" s="71">
        <v>101</v>
      </c>
      <c r="B120" s="113"/>
      <c r="C120" s="72" t="s">
        <v>143</v>
      </c>
      <c r="D120" s="74">
        <v>72</v>
      </c>
      <c r="E120" s="63">
        <v>6476</v>
      </c>
      <c r="F120" s="73">
        <f t="shared" si="1"/>
        <v>466272</v>
      </c>
      <c r="G120" s="112"/>
      <c r="H120" s="64"/>
    </row>
    <row r="121" spans="1:8" ht="17.25" x14ac:dyDescent="0.2">
      <c r="A121" s="71">
        <v>102</v>
      </c>
      <c r="B121" s="113"/>
      <c r="C121" s="72" t="s">
        <v>144</v>
      </c>
      <c r="D121" s="74">
        <v>96</v>
      </c>
      <c r="E121" s="63">
        <v>9062</v>
      </c>
      <c r="F121" s="73">
        <f t="shared" si="1"/>
        <v>869952</v>
      </c>
      <c r="G121" s="112"/>
      <c r="H121" s="64"/>
    </row>
    <row r="122" spans="1:8" ht="17.25" x14ac:dyDescent="0.2">
      <c r="A122" s="71">
        <v>103</v>
      </c>
      <c r="B122" s="113"/>
      <c r="C122" s="72" t="s">
        <v>145</v>
      </c>
      <c r="D122" s="74">
        <v>360</v>
      </c>
      <c r="E122" s="63">
        <v>2071</v>
      </c>
      <c r="F122" s="73">
        <f t="shared" si="1"/>
        <v>745560</v>
      </c>
      <c r="G122" s="112"/>
      <c r="H122" s="64"/>
    </row>
    <row r="123" spans="1:8" ht="17.25" x14ac:dyDescent="0.2">
      <c r="A123" s="71">
        <v>104</v>
      </c>
      <c r="B123" s="113"/>
      <c r="C123" s="72" t="s">
        <v>146</v>
      </c>
      <c r="D123" s="74">
        <v>560</v>
      </c>
      <c r="E123" s="63">
        <v>1640.0000000000002</v>
      </c>
      <c r="F123" s="73">
        <f t="shared" si="1"/>
        <v>918400.00000000012</v>
      </c>
      <c r="G123" s="112"/>
      <c r="H123" s="64"/>
    </row>
    <row r="124" spans="1:8" ht="17.25" x14ac:dyDescent="0.2">
      <c r="A124" s="71">
        <v>105</v>
      </c>
      <c r="B124" s="113"/>
      <c r="C124" s="72" t="s">
        <v>147</v>
      </c>
      <c r="D124" s="74">
        <v>78</v>
      </c>
      <c r="E124" s="63">
        <v>9090</v>
      </c>
      <c r="F124" s="73">
        <f t="shared" si="1"/>
        <v>709020</v>
      </c>
      <c r="G124" s="112"/>
      <c r="H124" s="64"/>
    </row>
    <row r="125" spans="1:8" ht="17.25" x14ac:dyDescent="0.2">
      <c r="A125" s="71">
        <v>106</v>
      </c>
      <c r="B125" s="113"/>
      <c r="C125" s="72" t="s">
        <v>148</v>
      </c>
      <c r="D125" s="74">
        <v>120</v>
      </c>
      <c r="E125" s="63">
        <v>19417</v>
      </c>
      <c r="F125" s="73">
        <f t="shared" si="1"/>
        <v>2330040</v>
      </c>
      <c r="G125" s="112"/>
      <c r="H125" s="64"/>
    </row>
    <row r="126" spans="1:8" ht="17.25" x14ac:dyDescent="0.2">
      <c r="A126" s="71">
        <v>107</v>
      </c>
      <c r="B126" s="113"/>
      <c r="C126" s="72" t="s">
        <v>149</v>
      </c>
      <c r="D126" s="74">
        <v>144</v>
      </c>
      <c r="E126" s="63">
        <v>21722.000000000004</v>
      </c>
      <c r="F126" s="73">
        <f t="shared" si="1"/>
        <v>3127968.0000000005</v>
      </c>
      <c r="G126" s="112"/>
      <c r="H126" s="64"/>
    </row>
    <row r="127" spans="1:8" ht="17.25" x14ac:dyDescent="0.2">
      <c r="A127" s="71">
        <v>108</v>
      </c>
      <c r="B127" s="113"/>
      <c r="C127" s="72" t="s">
        <v>150</v>
      </c>
      <c r="D127" s="74">
        <v>96</v>
      </c>
      <c r="E127" s="63">
        <v>22228.000000000004</v>
      </c>
      <c r="F127" s="73">
        <f t="shared" si="1"/>
        <v>2133888.0000000005</v>
      </c>
      <c r="G127" s="112"/>
      <c r="H127" s="64"/>
    </row>
    <row r="128" spans="1:8" ht="17.25" x14ac:dyDescent="0.2">
      <c r="A128" s="71">
        <v>109</v>
      </c>
      <c r="B128" s="113"/>
      <c r="C128" s="72" t="s">
        <v>151</v>
      </c>
      <c r="D128" s="74">
        <v>96</v>
      </c>
      <c r="E128" s="63">
        <v>31486</v>
      </c>
      <c r="F128" s="73">
        <f t="shared" si="1"/>
        <v>3022656</v>
      </c>
      <c r="G128" s="112"/>
      <c r="H128" s="64"/>
    </row>
    <row r="129" spans="1:8" ht="17.25" x14ac:dyDescent="0.2">
      <c r="A129" s="71">
        <v>110</v>
      </c>
      <c r="B129" s="113"/>
      <c r="C129" s="72" t="s">
        <v>152</v>
      </c>
      <c r="D129" s="74">
        <v>96</v>
      </c>
      <c r="E129" s="63">
        <v>9477</v>
      </c>
      <c r="F129" s="73">
        <f t="shared" si="1"/>
        <v>909792</v>
      </c>
      <c r="G129" s="112"/>
      <c r="H129" s="64"/>
    </row>
    <row r="130" spans="1:8" ht="17.25" x14ac:dyDescent="0.2">
      <c r="A130" s="71">
        <v>111</v>
      </c>
      <c r="B130" s="113"/>
      <c r="C130" s="72" t="s">
        <v>153</v>
      </c>
      <c r="D130" s="74">
        <v>96</v>
      </c>
      <c r="E130" s="63">
        <v>12802.000000000002</v>
      </c>
      <c r="F130" s="73">
        <f t="shared" si="1"/>
        <v>1228992.0000000002</v>
      </c>
      <c r="G130" s="112"/>
      <c r="H130" s="64"/>
    </row>
    <row r="131" spans="1:8" ht="17.25" x14ac:dyDescent="0.2">
      <c r="A131" s="71">
        <v>112</v>
      </c>
      <c r="B131" s="113"/>
      <c r="C131" s="72" t="s">
        <v>154</v>
      </c>
      <c r="D131" s="74">
        <v>108</v>
      </c>
      <c r="E131" s="63">
        <v>12120.000000000002</v>
      </c>
      <c r="F131" s="73">
        <f t="shared" si="1"/>
        <v>1308960.0000000002</v>
      </c>
      <c r="G131" s="112"/>
      <c r="H131" s="64"/>
    </row>
    <row r="132" spans="1:8" ht="17.25" x14ac:dyDescent="0.2">
      <c r="A132" s="71">
        <v>113</v>
      </c>
      <c r="B132" s="113"/>
      <c r="C132" s="72" t="s">
        <v>155</v>
      </c>
      <c r="D132" s="74">
        <v>96</v>
      </c>
      <c r="E132" s="63">
        <v>11816.000000000002</v>
      </c>
      <c r="F132" s="73">
        <f t="shared" si="1"/>
        <v>1134336.0000000002</v>
      </c>
      <c r="G132" s="112"/>
      <c r="H132" s="64"/>
    </row>
    <row r="133" spans="1:8" ht="17.25" x14ac:dyDescent="0.2">
      <c r="A133" s="71">
        <v>114</v>
      </c>
      <c r="B133" s="113"/>
      <c r="C133" s="72" t="s">
        <v>156</v>
      </c>
      <c r="D133" s="74">
        <v>96</v>
      </c>
      <c r="E133" s="63">
        <v>10786.000000000002</v>
      </c>
      <c r="F133" s="73">
        <f t="shared" si="1"/>
        <v>1035456.0000000002</v>
      </c>
      <c r="G133" s="112"/>
      <c r="H133" s="64"/>
    </row>
    <row r="134" spans="1:8" ht="17.25" x14ac:dyDescent="0.2">
      <c r="A134" s="71">
        <v>115</v>
      </c>
      <c r="B134" s="113"/>
      <c r="C134" s="72" t="s">
        <v>157</v>
      </c>
      <c r="D134" s="74">
        <v>144</v>
      </c>
      <c r="E134" s="63">
        <v>12079.000000000002</v>
      </c>
      <c r="F134" s="73">
        <f t="shared" si="1"/>
        <v>1739376.0000000002</v>
      </c>
      <c r="G134" s="112"/>
      <c r="H134" s="64"/>
    </row>
    <row r="135" spans="1:8" ht="17.25" x14ac:dyDescent="0.2">
      <c r="A135" s="71">
        <v>116</v>
      </c>
      <c r="B135" s="113"/>
      <c r="C135" s="72" t="s">
        <v>158</v>
      </c>
      <c r="D135" s="74">
        <v>288</v>
      </c>
      <c r="E135" s="63">
        <v>13803</v>
      </c>
      <c r="F135" s="73">
        <f t="shared" si="1"/>
        <v>3975264</v>
      </c>
      <c r="G135" s="112"/>
      <c r="H135" s="64"/>
    </row>
    <row r="136" spans="1:8" ht="17.25" x14ac:dyDescent="0.2">
      <c r="A136" s="71">
        <v>117</v>
      </c>
      <c r="B136" s="113"/>
      <c r="C136" s="72" t="s">
        <v>159</v>
      </c>
      <c r="D136" s="74">
        <v>48</v>
      </c>
      <c r="E136" s="63">
        <v>10850.000000000002</v>
      </c>
      <c r="F136" s="73">
        <f t="shared" si="1"/>
        <v>520800.00000000012</v>
      </c>
      <c r="G136" s="112"/>
      <c r="H136" s="64"/>
    </row>
    <row r="137" spans="1:8" ht="17.25" x14ac:dyDescent="0.2">
      <c r="A137" s="71">
        <v>118</v>
      </c>
      <c r="B137" s="113"/>
      <c r="C137" s="72" t="s">
        <v>160</v>
      </c>
      <c r="D137" s="74">
        <v>60</v>
      </c>
      <c r="E137" s="63">
        <v>6157.0000000000009</v>
      </c>
      <c r="F137" s="73">
        <f t="shared" si="1"/>
        <v>369420.00000000006</v>
      </c>
      <c r="G137" s="112"/>
      <c r="H137" s="64"/>
    </row>
    <row r="138" spans="1:8" ht="17.25" x14ac:dyDescent="0.2">
      <c r="A138" s="71">
        <v>119</v>
      </c>
      <c r="B138" s="113"/>
      <c r="C138" s="72" t="s">
        <v>161</v>
      </c>
      <c r="D138" s="74">
        <v>60</v>
      </c>
      <c r="E138" s="63">
        <v>6157.0000000000009</v>
      </c>
      <c r="F138" s="73">
        <f t="shared" si="1"/>
        <v>369420.00000000006</v>
      </c>
      <c r="G138" s="112"/>
      <c r="H138" s="64"/>
    </row>
    <row r="139" spans="1:8" ht="17.25" x14ac:dyDescent="0.2">
      <c r="A139" s="71">
        <v>120</v>
      </c>
      <c r="B139" s="113"/>
      <c r="C139" s="72" t="s">
        <v>162</v>
      </c>
      <c r="D139" s="74">
        <v>60</v>
      </c>
      <c r="E139" s="63">
        <v>6157.0000000000009</v>
      </c>
      <c r="F139" s="73">
        <f t="shared" si="1"/>
        <v>369420.00000000006</v>
      </c>
      <c r="G139" s="112"/>
      <c r="H139" s="64"/>
    </row>
    <row r="140" spans="1:8" ht="17.25" x14ac:dyDescent="0.2">
      <c r="A140" s="71">
        <v>121</v>
      </c>
      <c r="B140" s="113"/>
      <c r="C140" s="72" t="s">
        <v>163</v>
      </c>
      <c r="D140" s="74">
        <v>36</v>
      </c>
      <c r="E140" s="63">
        <v>10850.000000000002</v>
      </c>
      <c r="F140" s="73">
        <f t="shared" si="1"/>
        <v>390600.00000000006</v>
      </c>
      <c r="G140" s="112"/>
      <c r="H140" s="64"/>
    </row>
    <row r="141" spans="1:8" ht="17.25" x14ac:dyDescent="0.2">
      <c r="A141" s="71">
        <v>122</v>
      </c>
      <c r="B141" s="113"/>
      <c r="C141" s="72" t="s">
        <v>164</v>
      </c>
      <c r="D141" s="74">
        <v>900</v>
      </c>
      <c r="E141" s="63">
        <v>1603.0000000000002</v>
      </c>
      <c r="F141" s="73">
        <f t="shared" si="1"/>
        <v>1442700.0000000002</v>
      </c>
      <c r="G141" s="112"/>
      <c r="H141" s="64"/>
    </row>
    <row r="142" spans="1:8" ht="17.25" x14ac:dyDescent="0.2">
      <c r="A142" s="71">
        <v>123</v>
      </c>
      <c r="B142" s="113"/>
      <c r="C142" s="72" t="s">
        <v>165</v>
      </c>
      <c r="D142" s="74">
        <v>120</v>
      </c>
      <c r="E142" s="63">
        <v>13579.000000000002</v>
      </c>
      <c r="F142" s="73">
        <f t="shared" si="1"/>
        <v>1629480.0000000002</v>
      </c>
      <c r="G142" s="112"/>
      <c r="H142" s="64"/>
    </row>
    <row r="143" spans="1:8" ht="17.25" x14ac:dyDescent="0.2">
      <c r="A143" s="71">
        <v>124</v>
      </c>
      <c r="B143" s="113"/>
      <c r="C143" s="72" t="s">
        <v>166</v>
      </c>
      <c r="D143" s="74">
        <v>216</v>
      </c>
      <c r="E143" s="63">
        <v>16286</v>
      </c>
      <c r="F143" s="73">
        <f t="shared" si="1"/>
        <v>3517776</v>
      </c>
      <c r="G143" s="112"/>
      <c r="H143" s="64"/>
    </row>
    <row r="144" spans="1:8" ht="17.25" x14ac:dyDescent="0.2">
      <c r="A144" s="71">
        <v>125</v>
      </c>
      <c r="B144" s="113"/>
      <c r="C144" s="72" t="s">
        <v>167</v>
      </c>
      <c r="D144" s="74">
        <v>192</v>
      </c>
      <c r="E144" s="63">
        <v>12220.000000000002</v>
      </c>
      <c r="F144" s="73">
        <f t="shared" si="1"/>
        <v>2346240.0000000005</v>
      </c>
      <c r="G144" s="112"/>
      <c r="H144" s="64"/>
    </row>
    <row r="145" spans="1:8" ht="17.25" x14ac:dyDescent="0.2">
      <c r="A145" s="71">
        <v>126</v>
      </c>
      <c r="B145" s="113"/>
      <c r="C145" s="72" t="s">
        <v>168</v>
      </c>
      <c r="D145" s="74">
        <v>840</v>
      </c>
      <c r="E145" s="63">
        <v>796</v>
      </c>
      <c r="F145" s="73">
        <f t="shared" si="1"/>
        <v>668640</v>
      </c>
      <c r="G145" s="112"/>
      <c r="H145" s="64"/>
    </row>
    <row r="146" spans="1:8" ht="17.25" x14ac:dyDescent="0.2">
      <c r="A146" s="71">
        <v>127</v>
      </c>
      <c r="B146" s="113"/>
      <c r="C146" s="72" t="s">
        <v>169</v>
      </c>
      <c r="D146" s="74">
        <v>560</v>
      </c>
      <c r="E146" s="63">
        <v>1515.0000000000002</v>
      </c>
      <c r="F146" s="73">
        <f t="shared" si="1"/>
        <v>848400.00000000012</v>
      </c>
      <c r="G146" s="112"/>
      <c r="H146" s="64"/>
    </row>
    <row r="147" spans="1:8" ht="17.25" x14ac:dyDescent="0.2">
      <c r="A147" s="71">
        <v>128</v>
      </c>
      <c r="B147" s="113"/>
      <c r="C147" s="72" t="s">
        <v>170</v>
      </c>
      <c r="D147" s="74">
        <v>120</v>
      </c>
      <c r="E147" s="63">
        <v>9477</v>
      </c>
      <c r="F147" s="73">
        <f t="shared" si="1"/>
        <v>1137240</v>
      </c>
      <c r="G147" s="112"/>
      <c r="H147" s="64"/>
    </row>
    <row r="148" spans="1:8" ht="17.25" x14ac:dyDescent="0.2">
      <c r="A148" s="71">
        <v>129</v>
      </c>
      <c r="B148" s="113"/>
      <c r="C148" s="72" t="s">
        <v>171</v>
      </c>
      <c r="D148" s="74">
        <v>168</v>
      </c>
      <c r="E148" s="63">
        <v>3017.0000000000005</v>
      </c>
      <c r="F148" s="73">
        <f t="shared" ref="F148:F211" si="2">+E148*D148</f>
        <v>506856.00000000006</v>
      </c>
      <c r="G148" s="112"/>
      <c r="H148" s="64"/>
    </row>
    <row r="149" spans="1:8" ht="17.25" x14ac:dyDescent="0.2">
      <c r="A149" s="71">
        <v>130</v>
      </c>
      <c r="B149" s="113"/>
      <c r="C149" s="72" t="s">
        <v>172</v>
      </c>
      <c r="D149" s="74">
        <v>48</v>
      </c>
      <c r="E149" s="63">
        <v>10850.000000000002</v>
      </c>
      <c r="F149" s="73">
        <f t="shared" si="2"/>
        <v>520800.00000000012</v>
      </c>
      <c r="G149" s="112"/>
      <c r="H149" s="64"/>
    </row>
    <row r="150" spans="1:8" ht="17.25" x14ac:dyDescent="0.2">
      <c r="A150" s="71">
        <v>131</v>
      </c>
      <c r="B150" s="113"/>
      <c r="C150" s="72" t="s">
        <v>173</v>
      </c>
      <c r="D150" s="74">
        <v>48</v>
      </c>
      <c r="E150" s="63">
        <v>15599.000000000002</v>
      </c>
      <c r="F150" s="73">
        <f t="shared" si="2"/>
        <v>748752.00000000012</v>
      </c>
      <c r="G150" s="112"/>
      <c r="H150" s="64"/>
    </row>
    <row r="151" spans="1:8" ht="17.25" x14ac:dyDescent="0.2">
      <c r="A151" s="71">
        <v>132</v>
      </c>
      <c r="B151" s="113"/>
      <c r="C151" s="72" t="s">
        <v>174</v>
      </c>
      <c r="D151" s="74">
        <v>48</v>
      </c>
      <c r="E151" s="63">
        <v>19590</v>
      </c>
      <c r="F151" s="73">
        <f t="shared" si="2"/>
        <v>940320</v>
      </c>
      <c r="G151" s="112"/>
      <c r="H151" s="64"/>
    </row>
    <row r="152" spans="1:8" ht="17.25" x14ac:dyDescent="0.2">
      <c r="A152" s="71">
        <v>133</v>
      </c>
      <c r="B152" s="113"/>
      <c r="C152" s="72" t="s">
        <v>175</v>
      </c>
      <c r="D152" s="74">
        <v>50</v>
      </c>
      <c r="E152" s="63">
        <v>3238</v>
      </c>
      <c r="F152" s="73">
        <f t="shared" si="2"/>
        <v>161900</v>
      </c>
      <c r="G152" s="112"/>
      <c r="H152" s="64"/>
    </row>
    <row r="153" spans="1:8" ht="17.25" x14ac:dyDescent="0.2">
      <c r="A153" s="71">
        <v>134</v>
      </c>
      <c r="B153" s="113"/>
      <c r="C153" s="72" t="s">
        <v>176</v>
      </c>
      <c r="D153" s="74">
        <v>1000</v>
      </c>
      <c r="E153" s="63">
        <v>2544</v>
      </c>
      <c r="F153" s="73">
        <f t="shared" si="2"/>
        <v>2544000</v>
      </c>
      <c r="G153" s="112"/>
      <c r="H153" s="64"/>
    </row>
    <row r="154" spans="1:8" ht="17.25" x14ac:dyDescent="0.2">
      <c r="A154" s="71">
        <v>135</v>
      </c>
      <c r="B154" s="113"/>
      <c r="C154" s="72" t="s">
        <v>177</v>
      </c>
      <c r="D154" s="74">
        <v>60</v>
      </c>
      <c r="E154" s="63">
        <v>3406.0000000000005</v>
      </c>
      <c r="F154" s="73">
        <f t="shared" si="2"/>
        <v>204360.00000000003</v>
      </c>
      <c r="G154" s="112"/>
      <c r="H154" s="64"/>
    </row>
    <row r="155" spans="1:8" ht="17.25" x14ac:dyDescent="0.2">
      <c r="A155" s="71">
        <v>136</v>
      </c>
      <c r="B155" s="113"/>
      <c r="C155" s="72" t="s">
        <v>178</v>
      </c>
      <c r="D155" s="74">
        <v>112</v>
      </c>
      <c r="E155" s="63">
        <v>16286</v>
      </c>
      <c r="F155" s="73">
        <f t="shared" si="2"/>
        <v>1824032</v>
      </c>
      <c r="G155" s="112"/>
      <c r="H155" s="64"/>
    </row>
    <row r="156" spans="1:8" ht="17.25" x14ac:dyDescent="0.2">
      <c r="A156" s="71">
        <v>137</v>
      </c>
      <c r="B156" s="113"/>
      <c r="C156" s="72" t="s">
        <v>179</v>
      </c>
      <c r="D156" s="74">
        <v>96</v>
      </c>
      <c r="E156" s="63">
        <v>5880.0000000000009</v>
      </c>
      <c r="F156" s="73">
        <f t="shared" si="2"/>
        <v>564480.00000000012</v>
      </c>
      <c r="G156" s="112"/>
      <c r="H156" s="64"/>
    </row>
    <row r="157" spans="1:8" ht="17.25" x14ac:dyDescent="0.2">
      <c r="A157" s="71">
        <v>138</v>
      </c>
      <c r="B157" s="113"/>
      <c r="C157" s="72" t="s">
        <v>180</v>
      </c>
      <c r="D157" s="74">
        <v>48</v>
      </c>
      <c r="E157" s="63">
        <v>12581.000000000002</v>
      </c>
      <c r="F157" s="73">
        <f t="shared" si="2"/>
        <v>603888.00000000012</v>
      </c>
      <c r="G157" s="112"/>
      <c r="H157" s="64"/>
    </row>
    <row r="158" spans="1:8" ht="17.25" x14ac:dyDescent="0.2">
      <c r="A158" s="71">
        <v>139</v>
      </c>
      <c r="B158" s="113"/>
      <c r="C158" s="72" t="s">
        <v>181</v>
      </c>
      <c r="D158" s="74">
        <v>48</v>
      </c>
      <c r="E158" s="63">
        <v>9954.9999999999982</v>
      </c>
      <c r="F158" s="73">
        <f t="shared" si="2"/>
        <v>477839.99999999988</v>
      </c>
      <c r="G158" s="112"/>
      <c r="H158" s="64"/>
    </row>
    <row r="159" spans="1:8" ht="17.25" x14ac:dyDescent="0.2">
      <c r="A159" s="71">
        <v>140</v>
      </c>
      <c r="B159" s="113"/>
      <c r="C159" s="72" t="s">
        <v>182</v>
      </c>
      <c r="D159" s="74">
        <v>144</v>
      </c>
      <c r="E159" s="63">
        <v>12673.000000000002</v>
      </c>
      <c r="F159" s="73">
        <f t="shared" si="2"/>
        <v>1824912.0000000002</v>
      </c>
      <c r="G159" s="112"/>
      <c r="H159" s="64"/>
    </row>
    <row r="160" spans="1:8" ht="17.25" x14ac:dyDescent="0.2">
      <c r="A160" s="71">
        <v>141</v>
      </c>
      <c r="B160" s="113"/>
      <c r="C160" s="72" t="s">
        <v>183</v>
      </c>
      <c r="D160" s="74">
        <v>560</v>
      </c>
      <c r="E160" s="63">
        <v>1603.0000000000002</v>
      </c>
      <c r="F160" s="73">
        <f t="shared" si="2"/>
        <v>897680.00000000012</v>
      </c>
      <c r="G160" s="112"/>
      <c r="H160" s="64"/>
    </row>
    <row r="161" spans="1:8" ht="17.25" x14ac:dyDescent="0.2">
      <c r="A161" s="71">
        <v>142</v>
      </c>
      <c r="B161" s="113"/>
      <c r="C161" s="72" t="s">
        <v>184</v>
      </c>
      <c r="D161" s="74">
        <v>48</v>
      </c>
      <c r="E161" s="63">
        <v>10355</v>
      </c>
      <c r="F161" s="73">
        <f t="shared" si="2"/>
        <v>497040</v>
      </c>
      <c r="G161" s="112"/>
      <c r="H161" s="64"/>
    </row>
    <row r="162" spans="1:8" ht="17.25" x14ac:dyDescent="0.2">
      <c r="A162" s="71">
        <v>143</v>
      </c>
      <c r="B162" s="113"/>
      <c r="C162" s="72" t="s">
        <v>185</v>
      </c>
      <c r="D162" s="74">
        <v>240</v>
      </c>
      <c r="E162" s="63">
        <v>9477</v>
      </c>
      <c r="F162" s="73">
        <f t="shared" si="2"/>
        <v>2274480</v>
      </c>
      <c r="G162" s="112"/>
      <c r="H162" s="64"/>
    </row>
    <row r="163" spans="1:8" ht="17.25" x14ac:dyDescent="0.2">
      <c r="A163" s="71">
        <v>144</v>
      </c>
      <c r="B163" s="113"/>
      <c r="C163" s="72" t="s">
        <v>186</v>
      </c>
      <c r="D163" s="74">
        <v>192</v>
      </c>
      <c r="E163" s="63">
        <v>10229</v>
      </c>
      <c r="F163" s="73">
        <f t="shared" si="2"/>
        <v>1963968</v>
      </c>
      <c r="G163" s="112"/>
      <c r="H163" s="64"/>
    </row>
    <row r="164" spans="1:8" ht="17.25" x14ac:dyDescent="0.2">
      <c r="A164" s="71">
        <v>145</v>
      </c>
      <c r="B164" s="113"/>
      <c r="C164" s="72" t="s">
        <v>187</v>
      </c>
      <c r="D164" s="74">
        <v>560</v>
      </c>
      <c r="E164" s="63">
        <v>1603.0000000000002</v>
      </c>
      <c r="F164" s="73">
        <f t="shared" si="2"/>
        <v>897680.00000000012</v>
      </c>
      <c r="G164" s="112"/>
      <c r="H164" s="64"/>
    </row>
    <row r="165" spans="1:8" ht="17.25" x14ac:dyDescent="0.2">
      <c r="A165" s="71">
        <v>146</v>
      </c>
      <c r="B165" s="113"/>
      <c r="C165" s="72" t="s">
        <v>188</v>
      </c>
      <c r="D165" s="74">
        <v>48</v>
      </c>
      <c r="E165" s="63">
        <v>11767.000000000002</v>
      </c>
      <c r="F165" s="73">
        <f t="shared" si="2"/>
        <v>564816.00000000012</v>
      </c>
      <c r="G165" s="112"/>
      <c r="H165" s="64"/>
    </row>
    <row r="166" spans="1:8" ht="17.25" x14ac:dyDescent="0.2">
      <c r="A166" s="71">
        <v>147</v>
      </c>
      <c r="B166" s="113"/>
      <c r="C166" s="72" t="s">
        <v>189</v>
      </c>
      <c r="D166" s="74">
        <v>192</v>
      </c>
      <c r="E166" s="63">
        <v>6784.0000000000009</v>
      </c>
      <c r="F166" s="73">
        <f t="shared" si="2"/>
        <v>1302528.0000000002</v>
      </c>
      <c r="G166" s="112"/>
      <c r="H166" s="64"/>
    </row>
    <row r="167" spans="1:8" ht="17.25" x14ac:dyDescent="0.2">
      <c r="A167" s="71">
        <v>148</v>
      </c>
      <c r="B167" s="113"/>
      <c r="C167" s="72" t="s">
        <v>190</v>
      </c>
      <c r="D167" s="74">
        <v>192</v>
      </c>
      <c r="E167" s="63">
        <v>6784.0000000000009</v>
      </c>
      <c r="F167" s="73">
        <f t="shared" si="2"/>
        <v>1302528.0000000002</v>
      </c>
      <c r="G167" s="112"/>
      <c r="H167" s="64"/>
    </row>
    <row r="168" spans="1:8" ht="17.25" x14ac:dyDescent="0.2">
      <c r="A168" s="71">
        <v>149</v>
      </c>
      <c r="B168" s="113"/>
      <c r="C168" s="72" t="s">
        <v>191</v>
      </c>
      <c r="D168" s="74">
        <v>192</v>
      </c>
      <c r="E168" s="63">
        <v>6784.0000000000009</v>
      </c>
      <c r="F168" s="73">
        <f t="shared" si="2"/>
        <v>1302528.0000000002</v>
      </c>
      <c r="G168" s="112"/>
      <c r="H168" s="64"/>
    </row>
    <row r="169" spans="1:8" ht="17.25" x14ac:dyDescent="0.2">
      <c r="A169" s="71">
        <v>150</v>
      </c>
      <c r="B169" s="113"/>
      <c r="C169" s="72" t="s">
        <v>192</v>
      </c>
      <c r="D169" s="74">
        <v>192</v>
      </c>
      <c r="E169" s="63">
        <v>6784.0000000000009</v>
      </c>
      <c r="F169" s="73">
        <f t="shared" si="2"/>
        <v>1302528.0000000002</v>
      </c>
      <c r="G169" s="112"/>
      <c r="H169" s="64"/>
    </row>
    <row r="170" spans="1:8" ht="17.25" x14ac:dyDescent="0.2">
      <c r="A170" s="71">
        <v>151</v>
      </c>
      <c r="B170" s="113"/>
      <c r="C170" s="72" t="s">
        <v>193</v>
      </c>
      <c r="D170" s="74">
        <v>96</v>
      </c>
      <c r="E170" s="63">
        <v>8143</v>
      </c>
      <c r="F170" s="73">
        <f t="shared" si="2"/>
        <v>781728</v>
      </c>
      <c r="G170" s="112"/>
      <c r="H170" s="64"/>
    </row>
    <row r="171" spans="1:8" ht="17.25" x14ac:dyDescent="0.2">
      <c r="A171" s="71">
        <v>152</v>
      </c>
      <c r="B171" s="113"/>
      <c r="C171" s="72" t="s">
        <v>194</v>
      </c>
      <c r="D171" s="74">
        <v>96</v>
      </c>
      <c r="E171" s="63">
        <v>8143</v>
      </c>
      <c r="F171" s="73">
        <f t="shared" si="2"/>
        <v>781728</v>
      </c>
      <c r="G171" s="112"/>
      <c r="H171" s="64"/>
    </row>
    <row r="172" spans="1:8" ht="17.25" x14ac:dyDescent="0.2">
      <c r="A172" s="71">
        <v>153</v>
      </c>
      <c r="B172" s="113"/>
      <c r="C172" s="72" t="s">
        <v>195</v>
      </c>
      <c r="D172" s="74">
        <v>48</v>
      </c>
      <c r="E172" s="63">
        <v>10786.000000000002</v>
      </c>
      <c r="F172" s="73">
        <f t="shared" si="2"/>
        <v>517728.00000000012</v>
      </c>
      <c r="G172" s="112"/>
      <c r="H172" s="64"/>
    </row>
    <row r="173" spans="1:8" ht="17.25" x14ac:dyDescent="0.2">
      <c r="A173" s="71">
        <v>154</v>
      </c>
      <c r="B173" s="113"/>
      <c r="C173" s="72" t="s">
        <v>196</v>
      </c>
      <c r="D173" s="74">
        <v>96</v>
      </c>
      <c r="E173" s="63">
        <v>19203</v>
      </c>
      <c r="F173" s="73">
        <f t="shared" si="2"/>
        <v>1843488</v>
      </c>
      <c r="G173" s="112"/>
      <c r="H173" s="64"/>
    </row>
    <row r="174" spans="1:8" ht="17.25" x14ac:dyDescent="0.2">
      <c r="A174" s="71">
        <v>155</v>
      </c>
      <c r="B174" s="113"/>
      <c r="C174" s="72" t="s">
        <v>197</v>
      </c>
      <c r="D174" s="74">
        <v>144</v>
      </c>
      <c r="E174" s="63">
        <v>9493</v>
      </c>
      <c r="F174" s="73">
        <f t="shared" si="2"/>
        <v>1366992</v>
      </c>
      <c r="G174" s="112"/>
      <c r="H174" s="64"/>
    </row>
    <row r="175" spans="1:8" ht="17.25" x14ac:dyDescent="0.2">
      <c r="A175" s="71">
        <v>156</v>
      </c>
      <c r="B175" s="113"/>
      <c r="C175" s="72" t="s">
        <v>198</v>
      </c>
      <c r="D175" s="74">
        <v>108</v>
      </c>
      <c r="E175" s="63">
        <v>9493</v>
      </c>
      <c r="F175" s="73">
        <f t="shared" si="2"/>
        <v>1025244</v>
      </c>
      <c r="G175" s="112"/>
      <c r="H175" s="64"/>
    </row>
    <row r="176" spans="1:8" ht="17.25" x14ac:dyDescent="0.2">
      <c r="A176" s="71">
        <v>157</v>
      </c>
      <c r="B176" s="113"/>
      <c r="C176" s="72" t="s">
        <v>199</v>
      </c>
      <c r="D176" s="74">
        <v>96</v>
      </c>
      <c r="E176" s="63">
        <v>14485.000000000002</v>
      </c>
      <c r="F176" s="73">
        <f t="shared" si="2"/>
        <v>1390560.0000000002</v>
      </c>
      <c r="G176" s="112"/>
      <c r="H176" s="64"/>
    </row>
    <row r="177" spans="1:8" ht="17.25" x14ac:dyDescent="0.2">
      <c r="A177" s="71">
        <v>158</v>
      </c>
      <c r="B177" s="113"/>
      <c r="C177" s="72" t="s">
        <v>200</v>
      </c>
      <c r="D177" s="74">
        <v>96</v>
      </c>
      <c r="E177" s="63">
        <v>19004</v>
      </c>
      <c r="F177" s="73">
        <f t="shared" si="2"/>
        <v>1824384</v>
      </c>
      <c r="G177" s="112"/>
      <c r="H177" s="64"/>
    </row>
    <row r="178" spans="1:8" ht="17.25" x14ac:dyDescent="0.2">
      <c r="A178" s="71">
        <v>159</v>
      </c>
      <c r="B178" s="113"/>
      <c r="C178" s="72" t="s">
        <v>201</v>
      </c>
      <c r="D178" s="74">
        <v>96</v>
      </c>
      <c r="E178" s="63">
        <v>23534.000000000004</v>
      </c>
      <c r="F178" s="73">
        <f t="shared" si="2"/>
        <v>2259264.0000000005</v>
      </c>
      <c r="G178" s="112"/>
      <c r="H178" s="64"/>
    </row>
    <row r="179" spans="1:8" ht="17.25" x14ac:dyDescent="0.2">
      <c r="A179" s="71">
        <v>160</v>
      </c>
      <c r="B179" s="113"/>
      <c r="C179" s="72" t="s">
        <v>202</v>
      </c>
      <c r="D179" s="74">
        <v>80</v>
      </c>
      <c r="E179" s="63">
        <v>34395</v>
      </c>
      <c r="F179" s="73">
        <f t="shared" si="2"/>
        <v>2751600</v>
      </c>
      <c r="G179" s="112"/>
      <c r="H179" s="64"/>
    </row>
    <row r="180" spans="1:8" ht="17.25" x14ac:dyDescent="0.2">
      <c r="A180" s="71">
        <v>161</v>
      </c>
      <c r="B180" s="113"/>
      <c r="C180" s="72" t="s">
        <v>203</v>
      </c>
      <c r="D180" s="74">
        <v>48</v>
      </c>
      <c r="E180" s="63">
        <v>18067</v>
      </c>
      <c r="F180" s="73">
        <f t="shared" si="2"/>
        <v>867216</v>
      </c>
      <c r="G180" s="112"/>
      <c r="H180" s="64"/>
    </row>
    <row r="181" spans="1:8" ht="17.25" x14ac:dyDescent="0.2">
      <c r="A181" s="71">
        <v>162</v>
      </c>
      <c r="B181" s="113"/>
      <c r="C181" s="72" t="s">
        <v>204</v>
      </c>
      <c r="D181" s="74">
        <v>96</v>
      </c>
      <c r="E181" s="63">
        <v>23632.000000000004</v>
      </c>
      <c r="F181" s="73">
        <f t="shared" si="2"/>
        <v>2268672.0000000005</v>
      </c>
      <c r="G181" s="112"/>
      <c r="H181" s="64"/>
    </row>
    <row r="182" spans="1:8" ht="17.25" x14ac:dyDescent="0.2">
      <c r="A182" s="71">
        <v>163</v>
      </c>
      <c r="B182" s="113"/>
      <c r="C182" s="72" t="s">
        <v>205</v>
      </c>
      <c r="D182" s="74">
        <v>48</v>
      </c>
      <c r="E182" s="63">
        <v>12930.000000000002</v>
      </c>
      <c r="F182" s="73">
        <f t="shared" si="2"/>
        <v>620640.00000000012</v>
      </c>
      <c r="G182" s="112"/>
      <c r="H182" s="64"/>
    </row>
    <row r="183" spans="1:8" ht="17.25" x14ac:dyDescent="0.2">
      <c r="A183" s="71">
        <v>164</v>
      </c>
      <c r="B183" s="113"/>
      <c r="C183" s="72" t="s">
        <v>206</v>
      </c>
      <c r="D183" s="74">
        <v>48</v>
      </c>
      <c r="E183" s="63">
        <v>12930.000000000002</v>
      </c>
      <c r="F183" s="73">
        <f t="shared" si="2"/>
        <v>620640.00000000012</v>
      </c>
      <c r="G183" s="112"/>
      <c r="H183" s="64"/>
    </row>
    <row r="184" spans="1:8" ht="17.25" x14ac:dyDescent="0.2">
      <c r="A184" s="71">
        <v>165</v>
      </c>
      <c r="B184" s="113"/>
      <c r="C184" s="72" t="s">
        <v>207</v>
      </c>
      <c r="D184" s="74">
        <v>48</v>
      </c>
      <c r="E184" s="63">
        <v>12930.000000000002</v>
      </c>
      <c r="F184" s="73">
        <f t="shared" si="2"/>
        <v>620640.00000000012</v>
      </c>
      <c r="G184" s="112"/>
      <c r="H184" s="64"/>
    </row>
    <row r="185" spans="1:8" ht="17.25" x14ac:dyDescent="0.2">
      <c r="A185" s="71">
        <v>166</v>
      </c>
      <c r="B185" s="113"/>
      <c r="C185" s="72" t="s">
        <v>208</v>
      </c>
      <c r="D185" s="74">
        <v>120</v>
      </c>
      <c r="E185" s="63">
        <v>11767.000000000002</v>
      </c>
      <c r="F185" s="73">
        <f t="shared" si="2"/>
        <v>1412040.0000000002</v>
      </c>
      <c r="G185" s="112"/>
      <c r="H185" s="64"/>
    </row>
    <row r="186" spans="1:8" ht="17.25" x14ac:dyDescent="0.2">
      <c r="A186" s="71">
        <v>167</v>
      </c>
      <c r="B186" s="113"/>
      <c r="C186" s="72" t="s">
        <v>209</v>
      </c>
      <c r="D186" s="74">
        <v>72</v>
      </c>
      <c r="E186" s="63">
        <v>11217.000000000002</v>
      </c>
      <c r="F186" s="73">
        <f t="shared" si="2"/>
        <v>807624.00000000012</v>
      </c>
      <c r="G186" s="112"/>
      <c r="H186" s="64"/>
    </row>
    <row r="187" spans="1:8" ht="17.25" x14ac:dyDescent="0.2">
      <c r="A187" s="71">
        <v>168</v>
      </c>
      <c r="B187" s="113"/>
      <c r="C187" s="72" t="s">
        <v>210</v>
      </c>
      <c r="D187" s="74">
        <v>48</v>
      </c>
      <c r="E187" s="63">
        <v>11134</v>
      </c>
      <c r="F187" s="73">
        <f t="shared" si="2"/>
        <v>534432</v>
      </c>
      <c r="G187" s="112"/>
      <c r="H187" s="64"/>
    </row>
    <row r="188" spans="1:8" ht="17.25" x14ac:dyDescent="0.2">
      <c r="A188" s="71">
        <v>169</v>
      </c>
      <c r="B188" s="113"/>
      <c r="C188" s="72" t="s">
        <v>211</v>
      </c>
      <c r="D188" s="74">
        <v>180</v>
      </c>
      <c r="E188" s="63">
        <v>9924</v>
      </c>
      <c r="F188" s="73">
        <f t="shared" si="2"/>
        <v>1786320</v>
      </c>
      <c r="G188" s="112"/>
      <c r="H188" s="64"/>
    </row>
    <row r="189" spans="1:8" ht="17.25" x14ac:dyDescent="0.2">
      <c r="A189" s="71">
        <v>170</v>
      </c>
      <c r="B189" s="113"/>
      <c r="C189" s="72" t="s">
        <v>212</v>
      </c>
      <c r="D189" s="74">
        <v>96</v>
      </c>
      <c r="E189" s="63">
        <v>11816.000000000002</v>
      </c>
      <c r="F189" s="73">
        <f t="shared" si="2"/>
        <v>1134336.0000000002</v>
      </c>
      <c r="G189" s="112"/>
      <c r="H189" s="64"/>
    </row>
    <row r="190" spans="1:8" ht="17.25" x14ac:dyDescent="0.2">
      <c r="A190" s="71">
        <v>171</v>
      </c>
      <c r="B190" s="113"/>
      <c r="C190" s="72" t="s">
        <v>213</v>
      </c>
      <c r="D190" s="74">
        <v>72</v>
      </c>
      <c r="E190" s="63">
        <v>9198</v>
      </c>
      <c r="F190" s="73">
        <f t="shared" si="2"/>
        <v>662256</v>
      </c>
      <c r="G190" s="112"/>
      <c r="H190" s="64"/>
    </row>
    <row r="191" spans="1:8" ht="17.25" x14ac:dyDescent="0.2">
      <c r="A191" s="71">
        <v>172</v>
      </c>
      <c r="B191" s="113"/>
      <c r="C191" s="72" t="s">
        <v>214</v>
      </c>
      <c r="D191" s="74">
        <v>144</v>
      </c>
      <c r="E191" s="63">
        <v>9924</v>
      </c>
      <c r="F191" s="73">
        <f t="shared" si="2"/>
        <v>1429056</v>
      </c>
      <c r="G191" s="112"/>
      <c r="H191" s="64"/>
    </row>
    <row r="192" spans="1:8" ht="17.25" x14ac:dyDescent="0.2">
      <c r="A192" s="71">
        <v>173</v>
      </c>
      <c r="B192" s="113"/>
      <c r="C192" s="72" t="s">
        <v>215</v>
      </c>
      <c r="D192" s="74">
        <v>144</v>
      </c>
      <c r="E192" s="63">
        <v>11816.000000000002</v>
      </c>
      <c r="F192" s="73">
        <f t="shared" si="2"/>
        <v>1701504.0000000002</v>
      </c>
      <c r="G192" s="112"/>
      <c r="H192" s="64"/>
    </row>
    <row r="193" spans="1:8" ht="17.25" x14ac:dyDescent="0.2">
      <c r="A193" s="71">
        <v>174</v>
      </c>
      <c r="B193" s="113"/>
      <c r="C193" s="72" t="s">
        <v>216</v>
      </c>
      <c r="D193" s="74">
        <v>144</v>
      </c>
      <c r="E193" s="63">
        <v>11816.000000000002</v>
      </c>
      <c r="F193" s="73">
        <f t="shared" si="2"/>
        <v>1701504.0000000002</v>
      </c>
      <c r="G193" s="112"/>
      <c r="H193" s="64"/>
    </row>
    <row r="194" spans="1:8" ht="17.25" x14ac:dyDescent="0.2">
      <c r="A194" s="71">
        <v>175</v>
      </c>
      <c r="B194" s="113"/>
      <c r="C194" s="72" t="s">
        <v>217</v>
      </c>
      <c r="D194" s="74">
        <v>144</v>
      </c>
      <c r="E194" s="63">
        <v>11816.000000000002</v>
      </c>
      <c r="F194" s="73">
        <f t="shared" si="2"/>
        <v>1701504.0000000002</v>
      </c>
      <c r="G194" s="112"/>
      <c r="H194" s="64"/>
    </row>
    <row r="195" spans="1:8" ht="17.25" x14ac:dyDescent="0.2">
      <c r="A195" s="71">
        <v>176</v>
      </c>
      <c r="B195" s="113"/>
      <c r="C195" s="72" t="s">
        <v>218</v>
      </c>
      <c r="D195" s="74">
        <v>48</v>
      </c>
      <c r="E195" s="63">
        <v>10861.000000000002</v>
      </c>
      <c r="F195" s="73">
        <f t="shared" si="2"/>
        <v>521328.00000000012</v>
      </c>
      <c r="G195" s="112"/>
      <c r="H195" s="64"/>
    </row>
    <row r="196" spans="1:8" ht="17.25" x14ac:dyDescent="0.2">
      <c r="A196" s="71">
        <v>177</v>
      </c>
      <c r="B196" s="109" t="s">
        <v>257</v>
      </c>
      <c r="C196" s="77" t="s">
        <v>221</v>
      </c>
      <c r="D196" s="78">
        <v>432</v>
      </c>
      <c r="E196" s="79">
        <v>6500</v>
      </c>
      <c r="F196" s="73">
        <f t="shared" si="2"/>
        <v>2808000</v>
      </c>
      <c r="G196" s="112">
        <f>SUM(F196:F227)</f>
        <v>52150600</v>
      </c>
      <c r="H196" s="64"/>
    </row>
    <row r="197" spans="1:8" ht="17.25" x14ac:dyDescent="0.2">
      <c r="A197" s="71">
        <v>178</v>
      </c>
      <c r="B197" s="110"/>
      <c r="C197" s="72" t="s">
        <v>222</v>
      </c>
      <c r="D197" s="74">
        <v>576</v>
      </c>
      <c r="E197" s="63">
        <v>6000</v>
      </c>
      <c r="F197" s="73">
        <f t="shared" si="2"/>
        <v>3456000</v>
      </c>
      <c r="G197" s="112"/>
      <c r="H197" s="64"/>
    </row>
    <row r="198" spans="1:8" ht="17.25" x14ac:dyDescent="0.2">
      <c r="A198" s="71">
        <v>179</v>
      </c>
      <c r="B198" s="110"/>
      <c r="C198" s="72" t="s">
        <v>223</v>
      </c>
      <c r="D198" s="74">
        <v>432</v>
      </c>
      <c r="E198" s="63">
        <v>6500</v>
      </c>
      <c r="F198" s="73">
        <f t="shared" si="2"/>
        <v>2808000</v>
      </c>
      <c r="G198" s="112"/>
      <c r="H198" s="64"/>
    </row>
    <row r="199" spans="1:8" ht="17.25" x14ac:dyDescent="0.2">
      <c r="A199" s="71">
        <v>180</v>
      </c>
      <c r="B199" s="110"/>
      <c r="C199" s="72" t="s">
        <v>224</v>
      </c>
      <c r="D199" s="74">
        <v>576</v>
      </c>
      <c r="E199" s="63">
        <v>6000</v>
      </c>
      <c r="F199" s="73">
        <f t="shared" si="2"/>
        <v>3456000</v>
      </c>
      <c r="G199" s="112"/>
      <c r="H199" s="64"/>
    </row>
    <row r="200" spans="1:8" ht="17.25" x14ac:dyDescent="0.2">
      <c r="A200" s="71">
        <v>181</v>
      </c>
      <c r="B200" s="110"/>
      <c r="C200" s="72" t="s">
        <v>225</v>
      </c>
      <c r="D200" s="74">
        <v>432</v>
      </c>
      <c r="E200" s="63">
        <v>6000</v>
      </c>
      <c r="F200" s="73">
        <f t="shared" si="2"/>
        <v>2592000</v>
      </c>
      <c r="G200" s="112"/>
      <c r="H200" s="64"/>
    </row>
    <row r="201" spans="1:8" ht="17.25" x14ac:dyDescent="0.2">
      <c r="A201" s="71">
        <v>182</v>
      </c>
      <c r="B201" s="110"/>
      <c r="C201" s="72" t="s">
        <v>226</v>
      </c>
      <c r="D201" s="74">
        <v>720</v>
      </c>
      <c r="E201" s="63">
        <v>6500</v>
      </c>
      <c r="F201" s="73">
        <f t="shared" si="2"/>
        <v>4680000</v>
      </c>
      <c r="G201" s="112"/>
      <c r="H201" s="64"/>
    </row>
    <row r="202" spans="1:8" ht="17.25" x14ac:dyDescent="0.2">
      <c r="A202" s="71">
        <v>183</v>
      </c>
      <c r="B202" s="110"/>
      <c r="C202" s="72" t="s">
        <v>256</v>
      </c>
      <c r="D202" s="74">
        <v>288</v>
      </c>
      <c r="E202" s="63">
        <v>6500</v>
      </c>
      <c r="F202" s="73">
        <f t="shared" si="2"/>
        <v>1872000</v>
      </c>
      <c r="G202" s="112"/>
      <c r="H202" s="64"/>
    </row>
    <row r="203" spans="1:8" ht="17.25" x14ac:dyDescent="0.2">
      <c r="A203" s="71">
        <v>184</v>
      </c>
      <c r="B203" s="110"/>
      <c r="C203" s="72" t="s">
        <v>227</v>
      </c>
      <c r="D203" s="74">
        <v>576</v>
      </c>
      <c r="E203" s="63">
        <v>6500</v>
      </c>
      <c r="F203" s="73">
        <f t="shared" si="2"/>
        <v>3744000</v>
      </c>
      <c r="G203" s="112"/>
      <c r="H203" s="64"/>
    </row>
    <row r="204" spans="1:8" ht="17.25" x14ac:dyDescent="0.2">
      <c r="A204" s="71">
        <v>185</v>
      </c>
      <c r="B204" s="110"/>
      <c r="C204" s="72" t="s">
        <v>228</v>
      </c>
      <c r="D204" s="74">
        <v>576</v>
      </c>
      <c r="E204" s="63">
        <v>6500</v>
      </c>
      <c r="F204" s="73">
        <f t="shared" si="2"/>
        <v>3744000</v>
      </c>
      <c r="G204" s="112"/>
      <c r="H204" s="64"/>
    </row>
    <row r="205" spans="1:8" ht="17.25" x14ac:dyDescent="0.2">
      <c r="A205" s="71">
        <v>186</v>
      </c>
      <c r="B205" s="110"/>
      <c r="C205" s="72" t="s">
        <v>229</v>
      </c>
      <c r="D205" s="74">
        <v>90</v>
      </c>
      <c r="E205" s="63">
        <v>7600</v>
      </c>
      <c r="F205" s="73">
        <f t="shared" si="2"/>
        <v>684000</v>
      </c>
      <c r="G205" s="112"/>
      <c r="H205" s="64"/>
    </row>
    <row r="206" spans="1:8" ht="17.25" x14ac:dyDescent="0.2">
      <c r="A206" s="71">
        <v>187</v>
      </c>
      <c r="B206" s="110"/>
      <c r="C206" s="72" t="s">
        <v>230</v>
      </c>
      <c r="D206" s="74">
        <v>60</v>
      </c>
      <c r="E206" s="63">
        <v>7600</v>
      </c>
      <c r="F206" s="73">
        <f t="shared" si="2"/>
        <v>456000</v>
      </c>
      <c r="G206" s="112"/>
      <c r="H206" s="64"/>
    </row>
    <row r="207" spans="1:8" ht="17.25" x14ac:dyDescent="0.2">
      <c r="A207" s="71">
        <v>188</v>
      </c>
      <c r="B207" s="110"/>
      <c r="C207" s="72" t="s">
        <v>231</v>
      </c>
      <c r="D207" s="74">
        <v>60</v>
      </c>
      <c r="E207" s="63">
        <v>7600</v>
      </c>
      <c r="F207" s="73">
        <f t="shared" si="2"/>
        <v>456000</v>
      </c>
      <c r="G207" s="112"/>
      <c r="H207" s="64"/>
    </row>
    <row r="208" spans="1:8" ht="17.25" x14ac:dyDescent="0.2">
      <c r="A208" s="71">
        <v>189</v>
      </c>
      <c r="B208" s="110"/>
      <c r="C208" s="72" t="s">
        <v>232</v>
      </c>
      <c r="D208" s="74">
        <v>60</v>
      </c>
      <c r="E208" s="63">
        <v>7600</v>
      </c>
      <c r="F208" s="73">
        <f t="shared" si="2"/>
        <v>456000</v>
      </c>
      <c r="G208" s="112"/>
      <c r="H208" s="64"/>
    </row>
    <row r="209" spans="1:8" ht="17.25" x14ac:dyDescent="0.2">
      <c r="A209" s="71">
        <v>190</v>
      </c>
      <c r="B209" s="110"/>
      <c r="C209" s="72" t="s">
        <v>233</v>
      </c>
      <c r="D209" s="74">
        <v>216</v>
      </c>
      <c r="E209" s="63">
        <v>7100</v>
      </c>
      <c r="F209" s="73">
        <f t="shared" si="2"/>
        <v>1533600</v>
      </c>
      <c r="G209" s="112"/>
      <c r="H209" s="64"/>
    </row>
    <row r="210" spans="1:8" ht="17.25" x14ac:dyDescent="0.2">
      <c r="A210" s="71">
        <v>191</v>
      </c>
      <c r="B210" s="110"/>
      <c r="C210" s="72" t="s">
        <v>234</v>
      </c>
      <c r="D210" s="74">
        <v>300</v>
      </c>
      <c r="E210" s="63">
        <v>8500</v>
      </c>
      <c r="F210" s="73">
        <f t="shared" si="2"/>
        <v>2550000</v>
      </c>
      <c r="G210" s="112"/>
      <c r="H210" s="64"/>
    </row>
    <row r="211" spans="1:8" ht="17.25" x14ac:dyDescent="0.2">
      <c r="A211" s="71">
        <v>192</v>
      </c>
      <c r="B211" s="110"/>
      <c r="C211" s="72" t="s">
        <v>235</v>
      </c>
      <c r="D211" s="74">
        <v>360</v>
      </c>
      <c r="E211" s="63">
        <v>6700</v>
      </c>
      <c r="F211" s="73">
        <f t="shared" si="2"/>
        <v>2412000</v>
      </c>
      <c r="G211" s="112"/>
      <c r="H211" s="64"/>
    </row>
    <row r="212" spans="1:8" ht="17.25" x14ac:dyDescent="0.2">
      <c r="A212" s="71">
        <v>193</v>
      </c>
      <c r="B212" s="110"/>
      <c r="C212" s="72" t="s">
        <v>236</v>
      </c>
      <c r="D212" s="74">
        <v>320</v>
      </c>
      <c r="E212" s="63">
        <v>1200</v>
      </c>
      <c r="F212" s="73">
        <f t="shared" ref="F212:F275" si="3">+E212*D212</f>
        <v>384000</v>
      </c>
      <c r="G212" s="112"/>
      <c r="H212" s="64"/>
    </row>
    <row r="213" spans="1:8" ht="17.25" x14ac:dyDescent="0.2">
      <c r="A213" s="71">
        <v>194</v>
      </c>
      <c r="B213" s="110"/>
      <c r="C213" s="72" t="s">
        <v>237</v>
      </c>
      <c r="D213" s="74">
        <v>90</v>
      </c>
      <c r="E213" s="63">
        <v>7100</v>
      </c>
      <c r="F213" s="73">
        <f t="shared" si="3"/>
        <v>639000</v>
      </c>
      <c r="G213" s="112"/>
      <c r="H213" s="64"/>
    </row>
    <row r="214" spans="1:8" ht="17.25" x14ac:dyDescent="0.2">
      <c r="A214" s="71">
        <v>195</v>
      </c>
      <c r="B214" s="110"/>
      <c r="C214" s="72" t="s">
        <v>238</v>
      </c>
      <c r="D214" s="74">
        <v>640</v>
      </c>
      <c r="E214" s="63">
        <v>880</v>
      </c>
      <c r="F214" s="73">
        <f t="shared" si="3"/>
        <v>563200</v>
      </c>
      <c r="G214" s="112"/>
      <c r="H214" s="64"/>
    </row>
    <row r="215" spans="1:8" ht="17.25" x14ac:dyDescent="0.2">
      <c r="A215" s="71">
        <v>196</v>
      </c>
      <c r="B215" s="110"/>
      <c r="C215" s="72" t="s">
        <v>239</v>
      </c>
      <c r="D215" s="74">
        <v>640</v>
      </c>
      <c r="E215" s="63">
        <v>880</v>
      </c>
      <c r="F215" s="73">
        <f t="shared" si="3"/>
        <v>563200</v>
      </c>
      <c r="G215" s="112"/>
      <c r="H215" s="64"/>
    </row>
    <row r="216" spans="1:8" ht="17.25" x14ac:dyDescent="0.2">
      <c r="A216" s="71">
        <v>197</v>
      </c>
      <c r="B216" s="110"/>
      <c r="C216" s="72" t="s">
        <v>240</v>
      </c>
      <c r="D216" s="74">
        <v>144</v>
      </c>
      <c r="E216" s="63">
        <v>4800</v>
      </c>
      <c r="F216" s="73">
        <f t="shared" si="3"/>
        <v>691200</v>
      </c>
      <c r="G216" s="112"/>
      <c r="H216" s="64"/>
    </row>
    <row r="217" spans="1:8" ht="17.25" x14ac:dyDescent="0.2">
      <c r="A217" s="71">
        <v>198</v>
      </c>
      <c r="B217" s="110"/>
      <c r="C217" s="72" t="s">
        <v>241</v>
      </c>
      <c r="D217" s="74">
        <v>800</v>
      </c>
      <c r="E217" s="63">
        <v>950</v>
      </c>
      <c r="F217" s="73">
        <f t="shared" si="3"/>
        <v>760000</v>
      </c>
      <c r="G217" s="112"/>
      <c r="H217" s="64"/>
    </row>
    <row r="218" spans="1:8" ht="17.25" x14ac:dyDescent="0.2">
      <c r="A218" s="71">
        <v>199</v>
      </c>
      <c r="B218" s="110"/>
      <c r="C218" s="72" t="s">
        <v>242</v>
      </c>
      <c r="D218" s="74">
        <v>320</v>
      </c>
      <c r="E218" s="63">
        <v>2600</v>
      </c>
      <c r="F218" s="73">
        <f t="shared" si="3"/>
        <v>832000</v>
      </c>
      <c r="G218" s="112"/>
      <c r="H218" s="64"/>
    </row>
    <row r="219" spans="1:8" ht="17.25" x14ac:dyDescent="0.2">
      <c r="A219" s="71">
        <v>200</v>
      </c>
      <c r="B219" s="110"/>
      <c r="C219" s="72" t="s">
        <v>243</v>
      </c>
      <c r="D219" s="74">
        <v>240</v>
      </c>
      <c r="E219" s="63">
        <v>2300</v>
      </c>
      <c r="F219" s="73">
        <f t="shared" si="3"/>
        <v>552000</v>
      </c>
      <c r="G219" s="112"/>
      <c r="H219" s="64"/>
    </row>
    <row r="220" spans="1:8" ht="17.25" x14ac:dyDescent="0.2">
      <c r="A220" s="71">
        <v>201</v>
      </c>
      <c r="B220" s="110"/>
      <c r="C220" s="72" t="s">
        <v>244</v>
      </c>
      <c r="D220" s="74">
        <v>300</v>
      </c>
      <c r="E220" s="63">
        <v>7100</v>
      </c>
      <c r="F220" s="73">
        <f t="shared" si="3"/>
        <v>2130000</v>
      </c>
      <c r="G220" s="112"/>
      <c r="H220" s="64"/>
    </row>
    <row r="221" spans="1:8" ht="17.25" x14ac:dyDescent="0.2">
      <c r="A221" s="71">
        <v>202</v>
      </c>
      <c r="B221" s="110"/>
      <c r="C221" s="72" t="s">
        <v>245</v>
      </c>
      <c r="D221" s="74">
        <v>300</v>
      </c>
      <c r="E221" s="63">
        <v>7100</v>
      </c>
      <c r="F221" s="73">
        <f t="shared" si="3"/>
        <v>2130000</v>
      </c>
      <c r="G221" s="112"/>
      <c r="H221" s="64"/>
    </row>
    <row r="222" spans="1:8" ht="17.25" x14ac:dyDescent="0.2">
      <c r="A222" s="71">
        <v>203</v>
      </c>
      <c r="B222" s="110"/>
      <c r="C222" s="72" t="s">
        <v>246</v>
      </c>
      <c r="D222" s="74">
        <v>80</v>
      </c>
      <c r="E222" s="63">
        <v>7100</v>
      </c>
      <c r="F222" s="73">
        <f t="shared" si="3"/>
        <v>568000</v>
      </c>
      <c r="G222" s="112"/>
      <c r="H222" s="64"/>
    </row>
    <row r="223" spans="1:8" ht="17.25" x14ac:dyDescent="0.2">
      <c r="A223" s="71">
        <v>204</v>
      </c>
      <c r="B223" s="110"/>
      <c r="C223" s="72" t="s">
        <v>247</v>
      </c>
      <c r="D223" s="74">
        <v>360</v>
      </c>
      <c r="E223" s="63">
        <v>3000</v>
      </c>
      <c r="F223" s="73">
        <f t="shared" si="3"/>
        <v>1080000</v>
      </c>
      <c r="G223" s="112"/>
      <c r="H223" s="64"/>
    </row>
    <row r="224" spans="1:8" ht="17.25" x14ac:dyDescent="0.2">
      <c r="A224" s="71">
        <v>205</v>
      </c>
      <c r="B224" s="110"/>
      <c r="C224" s="72" t="s">
        <v>248</v>
      </c>
      <c r="D224" s="74">
        <v>360</v>
      </c>
      <c r="E224" s="63">
        <v>3000</v>
      </c>
      <c r="F224" s="73">
        <f t="shared" si="3"/>
        <v>1080000</v>
      </c>
      <c r="G224" s="112"/>
      <c r="H224" s="64"/>
    </row>
    <row r="225" spans="1:8" ht="17.25" x14ac:dyDescent="0.2">
      <c r="A225" s="71">
        <v>206</v>
      </c>
      <c r="B225" s="110"/>
      <c r="C225" s="72" t="s">
        <v>249</v>
      </c>
      <c r="D225" s="74">
        <v>360</v>
      </c>
      <c r="E225" s="63">
        <v>3000</v>
      </c>
      <c r="F225" s="73">
        <f t="shared" si="3"/>
        <v>1080000</v>
      </c>
      <c r="G225" s="112"/>
      <c r="H225" s="64"/>
    </row>
    <row r="226" spans="1:8" ht="17.25" x14ac:dyDescent="0.2">
      <c r="A226" s="71">
        <v>207</v>
      </c>
      <c r="B226" s="110"/>
      <c r="C226" s="72" t="s">
        <v>222</v>
      </c>
      <c r="D226" s="74">
        <v>880</v>
      </c>
      <c r="E226" s="63">
        <v>790</v>
      </c>
      <c r="F226" s="73">
        <f t="shared" si="3"/>
        <v>695200</v>
      </c>
      <c r="G226" s="112"/>
      <c r="H226" s="64"/>
    </row>
    <row r="227" spans="1:8" ht="17.25" x14ac:dyDescent="0.2">
      <c r="A227" s="71">
        <v>208</v>
      </c>
      <c r="B227" s="111"/>
      <c r="C227" s="72" t="s">
        <v>221</v>
      </c>
      <c r="D227" s="74">
        <v>880</v>
      </c>
      <c r="E227" s="63">
        <v>790</v>
      </c>
      <c r="F227" s="73">
        <f t="shared" si="3"/>
        <v>695200</v>
      </c>
      <c r="G227" s="112"/>
      <c r="H227" s="64"/>
    </row>
    <row r="228" spans="1:8" ht="17.25" x14ac:dyDescent="0.2">
      <c r="A228" s="71">
        <v>209</v>
      </c>
      <c r="B228" s="113" t="s">
        <v>259</v>
      </c>
      <c r="C228" s="72" t="s">
        <v>258</v>
      </c>
      <c r="D228" s="74">
        <v>216</v>
      </c>
      <c r="E228" s="63">
        <v>6900</v>
      </c>
      <c r="F228" s="73">
        <f t="shared" si="3"/>
        <v>1490400</v>
      </c>
      <c r="G228" s="112">
        <f>SUM(F228:F234)</f>
        <v>8575200</v>
      </c>
      <c r="H228" s="64"/>
    </row>
    <row r="229" spans="1:8" ht="17.25" x14ac:dyDescent="0.2">
      <c r="A229" s="71">
        <v>210</v>
      </c>
      <c r="B229" s="113"/>
      <c r="C229" s="72" t="s">
        <v>250</v>
      </c>
      <c r="D229" s="74">
        <v>216</v>
      </c>
      <c r="E229" s="63">
        <v>6900</v>
      </c>
      <c r="F229" s="73">
        <f t="shared" si="3"/>
        <v>1490400</v>
      </c>
      <c r="G229" s="112"/>
      <c r="H229" s="64"/>
    </row>
    <row r="230" spans="1:8" ht="17.25" x14ac:dyDescent="0.2">
      <c r="A230" s="71">
        <v>211</v>
      </c>
      <c r="B230" s="113"/>
      <c r="C230" s="72" t="s">
        <v>251</v>
      </c>
      <c r="D230" s="74">
        <v>216</v>
      </c>
      <c r="E230" s="63">
        <v>6500</v>
      </c>
      <c r="F230" s="73">
        <f t="shared" si="3"/>
        <v>1404000</v>
      </c>
      <c r="G230" s="112"/>
      <c r="H230" s="64"/>
    </row>
    <row r="231" spans="1:8" ht="17.25" x14ac:dyDescent="0.2">
      <c r="A231" s="71">
        <v>212</v>
      </c>
      <c r="B231" s="113"/>
      <c r="C231" s="72" t="s">
        <v>252</v>
      </c>
      <c r="D231" s="74">
        <v>216</v>
      </c>
      <c r="E231" s="63">
        <v>6500</v>
      </c>
      <c r="F231" s="73">
        <f t="shared" si="3"/>
        <v>1404000</v>
      </c>
      <c r="G231" s="112"/>
      <c r="H231" s="64"/>
    </row>
    <row r="232" spans="1:8" ht="17.25" x14ac:dyDescent="0.2">
      <c r="A232" s="71">
        <v>213</v>
      </c>
      <c r="B232" s="113"/>
      <c r="C232" s="72" t="s">
        <v>253</v>
      </c>
      <c r="D232" s="74">
        <v>216</v>
      </c>
      <c r="E232" s="63">
        <v>6500</v>
      </c>
      <c r="F232" s="73">
        <f t="shared" si="3"/>
        <v>1404000</v>
      </c>
      <c r="G232" s="112"/>
      <c r="H232" s="64"/>
    </row>
    <row r="233" spans="1:8" ht="17.25" x14ac:dyDescent="0.2">
      <c r="A233" s="71">
        <v>214</v>
      </c>
      <c r="B233" s="113"/>
      <c r="C233" s="72" t="s">
        <v>254</v>
      </c>
      <c r="D233" s="74">
        <v>72</v>
      </c>
      <c r="E233" s="63">
        <v>9600</v>
      </c>
      <c r="F233" s="73">
        <f t="shared" si="3"/>
        <v>691200</v>
      </c>
      <c r="G233" s="112"/>
      <c r="H233" s="64"/>
    </row>
    <row r="234" spans="1:8" ht="17.25" x14ac:dyDescent="0.2">
      <c r="A234" s="71">
        <v>215</v>
      </c>
      <c r="B234" s="113"/>
      <c r="C234" s="72" t="s">
        <v>255</v>
      </c>
      <c r="D234" s="74">
        <v>72</v>
      </c>
      <c r="E234" s="63">
        <v>9600</v>
      </c>
      <c r="F234" s="73">
        <f t="shared" si="3"/>
        <v>691200</v>
      </c>
      <c r="G234" s="112"/>
      <c r="H234" s="64"/>
    </row>
    <row r="235" spans="1:8" ht="17.25" x14ac:dyDescent="0.2">
      <c r="A235" s="71">
        <v>216</v>
      </c>
      <c r="B235" s="109" t="s">
        <v>288</v>
      </c>
      <c r="C235" s="77" t="s">
        <v>287</v>
      </c>
      <c r="D235" s="78">
        <v>300</v>
      </c>
      <c r="E235" s="79">
        <v>2090</v>
      </c>
      <c r="F235" s="73">
        <f t="shared" si="3"/>
        <v>627000</v>
      </c>
      <c r="G235" s="112">
        <f>SUM(F235:F263)</f>
        <v>16151080</v>
      </c>
      <c r="H235" s="64"/>
    </row>
    <row r="236" spans="1:8" ht="17.25" x14ac:dyDescent="0.2">
      <c r="A236" s="71">
        <v>217</v>
      </c>
      <c r="B236" s="110"/>
      <c r="C236" s="77" t="s">
        <v>260</v>
      </c>
      <c r="D236" s="78">
        <v>300</v>
      </c>
      <c r="E236" s="79">
        <v>2090</v>
      </c>
      <c r="F236" s="73">
        <f t="shared" si="3"/>
        <v>627000</v>
      </c>
      <c r="G236" s="112"/>
      <c r="H236" s="64"/>
    </row>
    <row r="237" spans="1:8" ht="17.25" x14ac:dyDescent="0.2">
      <c r="A237" s="71">
        <v>218</v>
      </c>
      <c r="B237" s="110"/>
      <c r="C237" s="77" t="s">
        <v>261</v>
      </c>
      <c r="D237" s="78">
        <v>300</v>
      </c>
      <c r="E237" s="79">
        <v>2420</v>
      </c>
      <c r="F237" s="73">
        <f t="shared" si="3"/>
        <v>726000</v>
      </c>
      <c r="G237" s="112"/>
      <c r="H237" s="64"/>
    </row>
    <row r="238" spans="1:8" ht="17.25" x14ac:dyDescent="0.2">
      <c r="A238" s="71">
        <v>219</v>
      </c>
      <c r="B238" s="110"/>
      <c r="C238" s="77" t="s">
        <v>262</v>
      </c>
      <c r="D238" s="78">
        <v>200</v>
      </c>
      <c r="E238" s="79">
        <v>2035.0000000000002</v>
      </c>
      <c r="F238" s="73">
        <f t="shared" si="3"/>
        <v>407000.00000000006</v>
      </c>
      <c r="G238" s="112"/>
      <c r="H238" s="64"/>
    </row>
    <row r="239" spans="1:8" ht="17.25" x14ac:dyDescent="0.2">
      <c r="A239" s="71">
        <v>220</v>
      </c>
      <c r="B239" s="110"/>
      <c r="C239" s="77" t="s">
        <v>263</v>
      </c>
      <c r="D239" s="78">
        <v>200</v>
      </c>
      <c r="E239" s="79">
        <v>2035.0000000000002</v>
      </c>
      <c r="F239" s="73">
        <f t="shared" si="3"/>
        <v>407000.00000000006</v>
      </c>
      <c r="G239" s="112"/>
      <c r="H239" s="64"/>
    </row>
    <row r="240" spans="1:8" ht="17.25" x14ac:dyDescent="0.2">
      <c r="A240" s="71">
        <v>221</v>
      </c>
      <c r="B240" s="110"/>
      <c r="C240" s="77" t="s">
        <v>264</v>
      </c>
      <c r="D240" s="78">
        <v>200</v>
      </c>
      <c r="E240" s="79">
        <v>2035.0000000000002</v>
      </c>
      <c r="F240" s="73">
        <f t="shared" si="3"/>
        <v>407000.00000000006</v>
      </c>
      <c r="G240" s="112"/>
      <c r="H240" s="64"/>
    </row>
    <row r="241" spans="1:8" ht="17.25" x14ac:dyDescent="0.2">
      <c r="A241" s="71">
        <v>222</v>
      </c>
      <c r="B241" s="110"/>
      <c r="C241" s="77" t="s">
        <v>265</v>
      </c>
      <c r="D241" s="78">
        <v>400</v>
      </c>
      <c r="E241" s="79">
        <v>2640</v>
      </c>
      <c r="F241" s="73">
        <f t="shared" si="3"/>
        <v>1056000</v>
      </c>
      <c r="G241" s="112"/>
      <c r="H241" s="64"/>
    </row>
    <row r="242" spans="1:8" ht="17.25" x14ac:dyDescent="0.2">
      <c r="A242" s="71">
        <v>223</v>
      </c>
      <c r="B242" s="110"/>
      <c r="C242" s="77" t="s">
        <v>266</v>
      </c>
      <c r="D242" s="78">
        <v>400</v>
      </c>
      <c r="E242" s="79">
        <v>2640</v>
      </c>
      <c r="F242" s="73">
        <f t="shared" si="3"/>
        <v>1056000</v>
      </c>
      <c r="G242" s="112"/>
      <c r="H242" s="64"/>
    </row>
    <row r="243" spans="1:8" ht="17.25" x14ac:dyDescent="0.2">
      <c r="A243" s="71">
        <v>224</v>
      </c>
      <c r="B243" s="110"/>
      <c r="C243" s="77" t="s">
        <v>267</v>
      </c>
      <c r="D243" s="78">
        <v>400</v>
      </c>
      <c r="E243" s="79">
        <v>2640</v>
      </c>
      <c r="F243" s="73">
        <f t="shared" si="3"/>
        <v>1056000</v>
      </c>
      <c r="G243" s="112"/>
      <c r="H243" s="64"/>
    </row>
    <row r="244" spans="1:8" ht="17.25" x14ac:dyDescent="0.2">
      <c r="A244" s="71">
        <v>225</v>
      </c>
      <c r="B244" s="110"/>
      <c r="C244" s="77" t="s">
        <v>266</v>
      </c>
      <c r="D244" s="78">
        <v>400</v>
      </c>
      <c r="E244" s="79">
        <v>2640</v>
      </c>
      <c r="F244" s="73">
        <f t="shared" si="3"/>
        <v>1056000</v>
      </c>
      <c r="G244" s="112"/>
      <c r="H244" s="64"/>
    </row>
    <row r="245" spans="1:8" ht="17.25" x14ac:dyDescent="0.2">
      <c r="A245" s="71">
        <v>226</v>
      </c>
      <c r="B245" s="110"/>
      <c r="C245" s="77" t="s">
        <v>268</v>
      </c>
      <c r="D245" s="78">
        <v>400</v>
      </c>
      <c r="E245" s="79">
        <v>2640</v>
      </c>
      <c r="F245" s="73">
        <f t="shared" si="3"/>
        <v>1056000</v>
      </c>
      <c r="G245" s="112"/>
      <c r="H245" s="64"/>
    </row>
    <row r="246" spans="1:8" ht="17.25" x14ac:dyDescent="0.2">
      <c r="A246" s="71">
        <v>227</v>
      </c>
      <c r="B246" s="110"/>
      <c r="C246" s="77" t="s">
        <v>269</v>
      </c>
      <c r="D246" s="78">
        <v>80</v>
      </c>
      <c r="E246" s="79">
        <v>1870.0000000000002</v>
      </c>
      <c r="F246" s="73">
        <f t="shared" si="3"/>
        <v>149600.00000000003</v>
      </c>
      <c r="G246" s="112"/>
      <c r="H246" s="64"/>
    </row>
    <row r="247" spans="1:8" ht="17.25" x14ac:dyDescent="0.2">
      <c r="A247" s="71">
        <v>228</v>
      </c>
      <c r="B247" s="110"/>
      <c r="C247" s="77" t="s">
        <v>270</v>
      </c>
      <c r="D247" s="78">
        <v>80</v>
      </c>
      <c r="E247" s="79">
        <v>1870.0000000000002</v>
      </c>
      <c r="F247" s="73">
        <f t="shared" si="3"/>
        <v>149600.00000000003</v>
      </c>
      <c r="G247" s="112"/>
      <c r="H247" s="64"/>
    </row>
    <row r="248" spans="1:8" ht="17.25" x14ac:dyDescent="0.2">
      <c r="A248" s="71">
        <v>229</v>
      </c>
      <c r="B248" s="110"/>
      <c r="C248" s="77" t="s">
        <v>271</v>
      </c>
      <c r="D248" s="78">
        <v>80</v>
      </c>
      <c r="E248" s="79">
        <v>1870.0000000000002</v>
      </c>
      <c r="F248" s="73">
        <f t="shared" si="3"/>
        <v>149600.00000000003</v>
      </c>
      <c r="G248" s="112"/>
      <c r="H248" s="64"/>
    </row>
    <row r="249" spans="1:8" ht="17.25" x14ac:dyDescent="0.2">
      <c r="A249" s="71">
        <v>230</v>
      </c>
      <c r="B249" s="110"/>
      <c r="C249" s="77" t="s">
        <v>272</v>
      </c>
      <c r="D249" s="78">
        <v>80</v>
      </c>
      <c r="E249" s="79">
        <v>1870.0000000000002</v>
      </c>
      <c r="F249" s="73">
        <f t="shared" si="3"/>
        <v>149600.00000000003</v>
      </c>
      <c r="G249" s="112"/>
      <c r="H249" s="64"/>
    </row>
    <row r="250" spans="1:8" ht="17.25" x14ac:dyDescent="0.2">
      <c r="A250" s="71">
        <v>231</v>
      </c>
      <c r="B250" s="110"/>
      <c r="C250" s="77" t="s">
        <v>273</v>
      </c>
      <c r="D250" s="78">
        <v>80</v>
      </c>
      <c r="E250" s="79">
        <v>1980.0000000000002</v>
      </c>
      <c r="F250" s="73">
        <f t="shared" si="3"/>
        <v>158400.00000000003</v>
      </c>
      <c r="G250" s="112"/>
      <c r="H250" s="64"/>
    </row>
    <row r="251" spans="1:8" ht="17.25" x14ac:dyDescent="0.2">
      <c r="A251" s="71">
        <v>232</v>
      </c>
      <c r="B251" s="110"/>
      <c r="C251" s="77" t="s">
        <v>274</v>
      </c>
      <c r="D251" s="78">
        <v>80</v>
      </c>
      <c r="E251" s="79">
        <v>1980.0000000000002</v>
      </c>
      <c r="F251" s="73">
        <f t="shared" si="3"/>
        <v>158400.00000000003</v>
      </c>
      <c r="G251" s="112"/>
      <c r="H251" s="64"/>
    </row>
    <row r="252" spans="1:8" ht="17.25" x14ac:dyDescent="0.2">
      <c r="A252" s="71">
        <v>233</v>
      </c>
      <c r="B252" s="110"/>
      <c r="C252" s="77" t="s">
        <v>275</v>
      </c>
      <c r="D252" s="78">
        <v>80</v>
      </c>
      <c r="E252" s="79">
        <v>1980.0000000000002</v>
      </c>
      <c r="F252" s="73">
        <f t="shared" si="3"/>
        <v>158400.00000000003</v>
      </c>
      <c r="G252" s="112"/>
      <c r="H252" s="64"/>
    </row>
    <row r="253" spans="1:8" ht="17.25" x14ac:dyDescent="0.2">
      <c r="A253" s="71">
        <v>234</v>
      </c>
      <c r="B253" s="110"/>
      <c r="C253" s="77" t="s">
        <v>276</v>
      </c>
      <c r="D253" s="78">
        <v>60</v>
      </c>
      <c r="E253" s="79">
        <v>4620</v>
      </c>
      <c r="F253" s="73">
        <f t="shared" si="3"/>
        <v>277200</v>
      </c>
      <c r="G253" s="112"/>
      <c r="H253" s="64"/>
    </row>
    <row r="254" spans="1:8" ht="17.25" x14ac:dyDescent="0.2">
      <c r="A254" s="71">
        <v>235</v>
      </c>
      <c r="B254" s="110"/>
      <c r="C254" s="77" t="s">
        <v>277</v>
      </c>
      <c r="D254" s="78">
        <v>60</v>
      </c>
      <c r="E254" s="79">
        <v>4620</v>
      </c>
      <c r="F254" s="73">
        <f t="shared" si="3"/>
        <v>277200</v>
      </c>
      <c r="G254" s="112"/>
      <c r="H254" s="64"/>
    </row>
    <row r="255" spans="1:8" ht="17.25" x14ac:dyDescent="0.2">
      <c r="A255" s="71">
        <v>236</v>
      </c>
      <c r="B255" s="110"/>
      <c r="C255" s="77" t="s">
        <v>278</v>
      </c>
      <c r="D255" s="78">
        <v>60</v>
      </c>
      <c r="E255" s="79">
        <v>4620</v>
      </c>
      <c r="F255" s="73">
        <f t="shared" si="3"/>
        <v>277200</v>
      </c>
      <c r="G255" s="112"/>
      <c r="H255" s="64"/>
    </row>
    <row r="256" spans="1:8" ht="17.25" x14ac:dyDescent="0.2">
      <c r="A256" s="71">
        <v>237</v>
      </c>
      <c r="B256" s="110"/>
      <c r="C256" s="77" t="s">
        <v>279</v>
      </c>
      <c r="D256" s="78">
        <v>60</v>
      </c>
      <c r="E256" s="79">
        <v>4620</v>
      </c>
      <c r="F256" s="73">
        <f t="shared" si="3"/>
        <v>277200</v>
      </c>
      <c r="G256" s="112"/>
      <c r="H256" s="64"/>
    </row>
    <row r="257" spans="1:8" ht="17.25" x14ac:dyDescent="0.2">
      <c r="A257" s="71">
        <v>238</v>
      </c>
      <c r="B257" s="110"/>
      <c r="C257" s="77" t="s">
        <v>280</v>
      </c>
      <c r="D257" s="78">
        <v>200</v>
      </c>
      <c r="E257" s="79">
        <v>748.00000000000011</v>
      </c>
      <c r="F257" s="73">
        <f t="shared" si="3"/>
        <v>149600.00000000003</v>
      </c>
      <c r="G257" s="112"/>
      <c r="H257" s="64"/>
    </row>
    <row r="258" spans="1:8" ht="17.25" x14ac:dyDescent="0.2">
      <c r="A258" s="71">
        <v>239</v>
      </c>
      <c r="B258" s="110"/>
      <c r="C258" s="77" t="s">
        <v>281</v>
      </c>
      <c r="D258" s="78">
        <v>200</v>
      </c>
      <c r="E258" s="79">
        <v>748.00000000000011</v>
      </c>
      <c r="F258" s="73">
        <f t="shared" si="3"/>
        <v>149600.00000000003</v>
      </c>
      <c r="G258" s="112"/>
      <c r="H258" s="64"/>
    </row>
    <row r="259" spans="1:8" ht="17.25" x14ac:dyDescent="0.2">
      <c r="A259" s="71">
        <v>240</v>
      </c>
      <c r="B259" s="110"/>
      <c r="C259" s="77" t="s">
        <v>282</v>
      </c>
      <c r="D259" s="78">
        <v>200</v>
      </c>
      <c r="E259" s="79">
        <v>748.00000000000011</v>
      </c>
      <c r="F259" s="73">
        <f t="shared" si="3"/>
        <v>149600.00000000003</v>
      </c>
      <c r="G259" s="112"/>
      <c r="H259" s="64"/>
    </row>
    <row r="260" spans="1:8" ht="17.25" x14ac:dyDescent="0.2">
      <c r="A260" s="71">
        <v>241</v>
      </c>
      <c r="B260" s="110"/>
      <c r="C260" s="77" t="s">
        <v>283</v>
      </c>
      <c r="D260" s="78">
        <v>400</v>
      </c>
      <c r="E260" s="79">
        <v>1595.0000000000002</v>
      </c>
      <c r="F260" s="73">
        <f t="shared" si="3"/>
        <v>638000.00000000012</v>
      </c>
      <c r="G260" s="112"/>
      <c r="H260" s="64"/>
    </row>
    <row r="261" spans="1:8" ht="17.25" x14ac:dyDescent="0.2">
      <c r="A261" s="71">
        <v>242</v>
      </c>
      <c r="B261" s="110"/>
      <c r="C261" s="77" t="s">
        <v>284</v>
      </c>
      <c r="D261" s="78">
        <v>800</v>
      </c>
      <c r="E261" s="79">
        <v>764.50000000000011</v>
      </c>
      <c r="F261" s="73">
        <f t="shared" si="3"/>
        <v>611600.00000000012</v>
      </c>
      <c r="G261" s="112"/>
      <c r="H261" s="64"/>
    </row>
    <row r="262" spans="1:8" ht="17.25" x14ac:dyDescent="0.2">
      <c r="A262" s="71">
        <v>243</v>
      </c>
      <c r="B262" s="110"/>
      <c r="C262" s="77" t="s">
        <v>285</v>
      </c>
      <c r="D262" s="78">
        <v>640</v>
      </c>
      <c r="E262" s="79">
        <v>764.50000000000011</v>
      </c>
      <c r="F262" s="73">
        <f t="shared" si="3"/>
        <v>489280.00000000006</v>
      </c>
      <c r="G262" s="112"/>
      <c r="H262" s="64"/>
    </row>
    <row r="263" spans="1:8" ht="17.25" x14ac:dyDescent="0.2">
      <c r="A263" s="71">
        <v>244</v>
      </c>
      <c r="B263" s="111"/>
      <c r="C263" s="77" t="s">
        <v>286</v>
      </c>
      <c r="D263" s="78">
        <v>1200</v>
      </c>
      <c r="E263" s="79">
        <v>2750</v>
      </c>
      <c r="F263" s="73">
        <f t="shared" si="3"/>
        <v>3300000</v>
      </c>
      <c r="G263" s="112"/>
      <c r="H263" s="64"/>
    </row>
    <row r="264" spans="1:8" ht="17.25" x14ac:dyDescent="0.2">
      <c r="A264" s="71">
        <v>245</v>
      </c>
      <c r="B264" s="109" t="s">
        <v>408</v>
      </c>
      <c r="C264" s="72" t="s">
        <v>289</v>
      </c>
      <c r="D264" s="74">
        <v>120</v>
      </c>
      <c r="E264" s="63">
        <v>9514</v>
      </c>
      <c r="F264" s="73">
        <f t="shared" si="3"/>
        <v>1141680</v>
      </c>
      <c r="G264" s="112">
        <f>SUM(F264:F383)</f>
        <v>73472276</v>
      </c>
      <c r="H264" s="64"/>
    </row>
    <row r="265" spans="1:8" ht="17.25" x14ac:dyDescent="0.2">
      <c r="A265" s="71">
        <v>246</v>
      </c>
      <c r="B265" s="110"/>
      <c r="C265" s="72" t="s">
        <v>290</v>
      </c>
      <c r="D265" s="74">
        <v>252</v>
      </c>
      <c r="E265" s="63">
        <v>7389.9999999999991</v>
      </c>
      <c r="F265" s="73">
        <f t="shared" si="3"/>
        <v>1862279.9999999998</v>
      </c>
      <c r="G265" s="112"/>
      <c r="H265" s="64"/>
    </row>
    <row r="266" spans="1:8" ht="17.25" x14ac:dyDescent="0.2">
      <c r="A266" s="71">
        <v>247</v>
      </c>
      <c r="B266" s="110"/>
      <c r="C266" s="72" t="s">
        <v>407</v>
      </c>
      <c r="D266" s="74">
        <v>126</v>
      </c>
      <c r="E266" s="63">
        <v>10648</v>
      </c>
      <c r="F266" s="73">
        <f t="shared" si="3"/>
        <v>1341648</v>
      </c>
      <c r="G266" s="112"/>
      <c r="H266" s="64"/>
    </row>
    <row r="267" spans="1:8" ht="17.25" x14ac:dyDescent="0.2">
      <c r="A267" s="71">
        <v>248</v>
      </c>
      <c r="B267" s="110"/>
      <c r="C267" s="72" t="s">
        <v>291</v>
      </c>
      <c r="D267" s="74">
        <v>50</v>
      </c>
      <c r="E267" s="63">
        <v>9952.0000000000018</v>
      </c>
      <c r="F267" s="73">
        <f t="shared" si="3"/>
        <v>497600.00000000012</v>
      </c>
      <c r="G267" s="112"/>
      <c r="H267" s="64"/>
    </row>
    <row r="268" spans="1:8" ht="17.25" x14ac:dyDescent="0.2">
      <c r="A268" s="71">
        <v>249</v>
      </c>
      <c r="B268" s="110"/>
      <c r="C268" s="72" t="s">
        <v>292</v>
      </c>
      <c r="D268" s="74">
        <v>60</v>
      </c>
      <c r="E268" s="63">
        <v>11144</v>
      </c>
      <c r="F268" s="73">
        <f t="shared" si="3"/>
        <v>668640</v>
      </c>
      <c r="G268" s="112"/>
      <c r="H268" s="64"/>
    </row>
    <row r="269" spans="1:8" ht="17.25" x14ac:dyDescent="0.2">
      <c r="A269" s="71">
        <v>250</v>
      </c>
      <c r="B269" s="110"/>
      <c r="C269" s="72" t="s">
        <v>293</v>
      </c>
      <c r="D269" s="74">
        <v>80</v>
      </c>
      <c r="E269" s="63">
        <v>11283.999999999998</v>
      </c>
      <c r="F269" s="73">
        <f t="shared" si="3"/>
        <v>902719.99999999988</v>
      </c>
      <c r="G269" s="112"/>
      <c r="H269" s="64"/>
    </row>
    <row r="270" spans="1:8" ht="17.25" x14ac:dyDescent="0.2">
      <c r="A270" s="71">
        <v>251</v>
      </c>
      <c r="B270" s="110"/>
      <c r="C270" s="72" t="s">
        <v>294</v>
      </c>
      <c r="D270" s="74">
        <v>50</v>
      </c>
      <c r="E270" s="63">
        <v>9864</v>
      </c>
      <c r="F270" s="73">
        <f t="shared" si="3"/>
        <v>493200</v>
      </c>
      <c r="G270" s="112"/>
      <c r="H270" s="64"/>
    </row>
    <row r="271" spans="1:8" ht="17.25" x14ac:dyDescent="0.2">
      <c r="A271" s="71">
        <v>252</v>
      </c>
      <c r="B271" s="110"/>
      <c r="C271" s="72" t="s">
        <v>295</v>
      </c>
      <c r="D271" s="74">
        <v>200</v>
      </c>
      <c r="E271" s="63">
        <v>6168</v>
      </c>
      <c r="F271" s="73">
        <f t="shared" si="3"/>
        <v>1233600</v>
      </c>
      <c r="G271" s="112"/>
      <c r="H271" s="64"/>
    </row>
    <row r="272" spans="1:8" ht="17.25" x14ac:dyDescent="0.2">
      <c r="A272" s="71">
        <v>253</v>
      </c>
      <c r="B272" s="110"/>
      <c r="C272" s="72" t="s">
        <v>296</v>
      </c>
      <c r="D272" s="74">
        <v>80</v>
      </c>
      <c r="E272" s="63">
        <v>10088.000000000002</v>
      </c>
      <c r="F272" s="73">
        <f t="shared" si="3"/>
        <v>807040.00000000012</v>
      </c>
      <c r="G272" s="112"/>
      <c r="H272" s="64"/>
    </row>
    <row r="273" spans="1:8" ht="17.25" x14ac:dyDescent="0.2">
      <c r="A273" s="71">
        <v>254</v>
      </c>
      <c r="B273" s="110"/>
      <c r="C273" s="72" t="s">
        <v>297</v>
      </c>
      <c r="D273" s="74">
        <v>90</v>
      </c>
      <c r="E273" s="63">
        <v>11254</v>
      </c>
      <c r="F273" s="73">
        <f t="shared" si="3"/>
        <v>1012860</v>
      </c>
      <c r="G273" s="112"/>
      <c r="H273" s="64"/>
    </row>
    <row r="274" spans="1:8" ht="17.25" x14ac:dyDescent="0.2">
      <c r="A274" s="71">
        <v>255</v>
      </c>
      <c r="B274" s="110"/>
      <c r="C274" s="72" t="s">
        <v>298</v>
      </c>
      <c r="D274" s="74">
        <v>60</v>
      </c>
      <c r="E274" s="63">
        <v>10011.999999999998</v>
      </c>
      <c r="F274" s="73">
        <f t="shared" si="3"/>
        <v>600719.99999999988</v>
      </c>
      <c r="G274" s="112"/>
      <c r="H274" s="64"/>
    </row>
    <row r="275" spans="1:8" ht="17.25" x14ac:dyDescent="0.2">
      <c r="A275" s="71">
        <v>256</v>
      </c>
      <c r="B275" s="110"/>
      <c r="C275" s="72" t="s">
        <v>299</v>
      </c>
      <c r="D275" s="74">
        <v>60</v>
      </c>
      <c r="E275" s="63">
        <v>9734</v>
      </c>
      <c r="F275" s="73">
        <f t="shared" si="3"/>
        <v>584040</v>
      </c>
      <c r="G275" s="112"/>
      <c r="H275" s="64"/>
    </row>
    <row r="276" spans="1:8" ht="17.25" x14ac:dyDescent="0.2">
      <c r="A276" s="71">
        <v>257</v>
      </c>
      <c r="B276" s="110"/>
      <c r="C276" s="72" t="s">
        <v>300</v>
      </c>
      <c r="D276" s="74">
        <v>160</v>
      </c>
      <c r="E276" s="63">
        <v>6172</v>
      </c>
      <c r="F276" s="73">
        <f t="shared" ref="F276:F339" si="4">+E276*D276</f>
        <v>987520</v>
      </c>
      <c r="G276" s="112"/>
      <c r="H276" s="64"/>
    </row>
    <row r="277" spans="1:8" ht="17.25" x14ac:dyDescent="0.2">
      <c r="A277" s="71">
        <v>258</v>
      </c>
      <c r="B277" s="110"/>
      <c r="C277" s="72" t="s">
        <v>301</v>
      </c>
      <c r="D277" s="74">
        <v>50</v>
      </c>
      <c r="E277" s="63">
        <v>14033.999999999998</v>
      </c>
      <c r="F277" s="73">
        <f t="shared" si="4"/>
        <v>701699.99999999988</v>
      </c>
      <c r="G277" s="112"/>
      <c r="H277" s="64"/>
    </row>
    <row r="278" spans="1:8" ht="17.25" x14ac:dyDescent="0.2">
      <c r="A278" s="71">
        <v>259</v>
      </c>
      <c r="B278" s="110"/>
      <c r="C278" s="72" t="s">
        <v>302</v>
      </c>
      <c r="D278" s="74">
        <v>56</v>
      </c>
      <c r="E278" s="63">
        <v>10430</v>
      </c>
      <c r="F278" s="73">
        <f t="shared" si="4"/>
        <v>584080</v>
      </c>
      <c r="G278" s="112"/>
      <c r="H278" s="64"/>
    </row>
    <row r="279" spans="1:8" ht="17.25" x14ac:dyDescent="0.2">
      <c r="A279" s="71">
        <v>260</v>
      </c>
      <c r="B279" s="110"/>
      <c r="C279" s="72" t="s">
        <v>303</v>
      </c>
      <c r="D279" s="74">
        <v>80</v>
      </c>
      <c r="E279" s="63">
        <v>10548.000000000002</v>
      </c>
      <c r="F279" s="73">
        <f t="shared" si="4"/>
        <v>843840.00000000012</v>
      </c>
      <c r="G279" s="112"/>
      <c r="H279" s="64"/>
    </row>
    <row r="280" spans="1:8" ht="17.25" x14ac:dyDescent="0.2">
      <c r="A280" s="71">
        <v>261</v>
      </c>
      <c r="B280" s="110"/>
      <c r="C280" s="72" t="s">
        <v>304</v>
      </c>
      <c r="D280" s="74">
        <v>40</v>
      </c>
      <c r="E280" s="63">
        <v>8082.0000000000009</v>
      </c>
      <c r="F280" s="73">
        <f t="shared" si="4"/>
        <v>323280.00000000006</v>
      </c>
      <c r="G280" s="112"/>
      <c r="H280" s="64"/>
    </row>
    <row r="281" spans="1:8" ht="17.25" x14ac:dyDescent="0.2">
      <c r="A281" s="71">
        <v>262</v>
      </c>
      <c r="B281" s="110"/>
      <c r="C281" s="72" t="s">
        <v>305</v>
      </c>
      <c r="D281" s="74">
        <v>40</v>
      </c>
      <c r="E281" s="63">
        <v>7580</v>
      </c>
      <c r="F281" s="73">
        <f t="shared" si="4"/>
        <v>303200</v>
      </c>
      <c r="G281" s="112"/>
      <c r="H281" s="64"/>
    </row>
    <row r="282" spans="1:8" ht="17.25" x14ac:dyDescent="0.2">
      <c r="A282" s="71">
        <v>263</v>
      </c>
      <c r="B282" s="110"/>
      <c r="C282" s="72" t="s">
        <v>306</v>
      </c>
      <c r="D282" s="74">
        <v>60</v>
      </c>
      <c r="E282" s="63">
        <v>7964.0000000000009</v>
      </c>
      <c r="F282" s="73">
        <f t="shared" si="4"/>
        <v>477840.00000000006</v>
      </c>
      <c r="G282" s="112"/>
      <c r="H282" s="64"/>
    </row>
    <row r="283" spans="1:8" ht="17.25" x14ac:dyDescent="0.2">
      <c r="A283" s="71">
        <v>264</v>
      </c>
      <c r="B283" s="110"/>
      <c r="C283" s="72" t="s">
        <v>307</v>
      </c>
      <c r="D283" s="74">
        <v>200</v>
      </c>
      <c r="E283" s="63">
        <v>8310.0000000000018</v>
      </c>
      <c r="F283" s="73">
        <f t="shared" si="4"/>
        <v>1662000.0000000005</v>
      </c>
      <c r="G283" s="112"/>
      <c r="H283" s="64"/>
    </row>
    <row r="284" spans="1:8" ht="17.25" x14ac:dyDescent="0.2">
      <c r="A284" s="71">
        <v>265</v>
      </c>
      <c r="B284" s="110"/>
      <c r="C284" s="72" t="s">
        <v>308</v>
      </c>
      <c r="D284" s="74">
        <v>36</v>
      </c>
      <c r="E284" s="63">
        <v>9758</v>
      </c>
      <c r="F284" s="73">
        <f t="shared" si="4"/>
        <v>351288</v>
      </c>
      <c r="G284" s="112"/>
      <c r="H284" s="64"/>
    </row>
    <row r="285" spans="1:8" ht="17.25" x14ac:dyDescent="0.2">
      <c r="A285" s="71">
        <v>266</v>
      </c>
      <c r="B285" s="110"/>
      <c r="C285" s="72" t="s">
        <v>309</v>
      </c>
      <c r="D285" s="74">
        <v>60</v>
      </c>
      <c r="E285" s="63">
        <v>8144.9999999999991</v>
      </c>
      <c r="F285" s="73">
        <f t="shared" si="4"/>
        <v>488699.99999999994</v>
      </c>
      <c r="G285" s="112"/>
      <c r="H285" s="64"/>
    </row>
    <row r="286" spans="1:8" ht="17.25" x14ac:dyDescent="0.2">
      <c r="A286" s="71">
        <v>267</v>
      </c>
      <c r="B286" s="110"/>
      <c r="C286" s="72" t="s">
        <v>310</v>
      </c>
      <c r="D286" s="74">
        <v>40</v>
      </c>
      <c r="E286" s="63">
        <v>7469.9999999999991</v>
      </c>
      <c r="F286" s="73">
        <f t="shared" si="4"/>
        <v>298799.99999999994</v>
      </c>
      <c r="G286" s="112"/>
      <c r="H286" s="64"/>
    </row>
    <row r="287" spans="1:8" ht="17.25" x14ac:dyDescent="0.2">
      <c r="A287" s="71">
        <v>268</v>
      </c>
      <c r="B287" s="110"/>
      <c r="C287" s="72" t="s">
        <v>311</v>
      </c>
      <c r="D287" s="74">
        <v>96</v>
      </c>
      <c r="E287" s="63">
        <v>7726</v>
      </c>
      <c r="F287" s="73">
        <f t="shared" si="4"/>
        <v>741696</v>
      </c>
      <c r="G287" s="112"/>
      <c r="H287" s="64"/>
    </row>
    <row r="288" spans="1:8" ht="17.25" x14ac:dyDescent="0.2">
      <c r="A288" s="71">
        <v>269</v>
      </c>
      <c r="B288" s="110"/>
      <c r="C288" s="72" t="s">
        <v>312</v>
      </c>
      <c r="D288" s="74">
        <v>12</v>
      </c>
      <c r="E288" s="63">
        <v>19179.999999999996</v>
      </c>
      <c r="F288" s="73">
        <f t="shared" si="4"/>
        <v>230159.99999999994</v>
      </c>
      <c r="G288" s="112"/>
      <c r="H288" s="64"/>
    </row>
    <row r="289" spans="1:8" ht="17.25" x14ac:dyDescent="0.2">
      <c r="A289" s="71">
        <v>270</v>
      </c>
      <c r="B289" s="110"/>
      <c r="C289" s="72" t="s">
        <v>313</v>
      </c>
      <c r="D289" s="74">
        <v>48</v>
      </c>
      <c r="E289" s="63">
        <v>5052</v>
      </c>
      <c r="F289" s="73">
        <f t="shared" si="4"/>
        <v>242496</v>
      </c>
      <c r="G289" s="112"/>
      <c r="H289" s="64"/>
    </row>
    <row r="290" spans="1:8" ht="17.25" x14ac:dyDescent="0.2">
      <c r="A290" s="71">
        <v>271</v>
      </c>
      <c r="B290" s="110"/>
      <c r="C290" s="72" t="s">
        <v>314</v>
      </c>
      <c r="D290" s="74">
        <v>63</v>
      </c>
      <c r="E290" s="63">
        <v>5838</v>
      </c>
      <c r="F290" s="73">
        <f t="shared" si="4"/>
        <v>367794</v>
      </c>
      <c r="G290" s="112"/>
      <c r="H290" s="64"/>
    </row>
    <row r="291" spans="1:8" ht="17.25" x14ac:dyDescent="0.2">
      <c r="A291" s="71">
        <v>272</v>
      </c>
      <c r="B291" s="110"/>
      <c r="C291" s="72" t="s">
        <v>315</v>
      </c>
      <c r="D291" s="74">
        <v>30</v>
      </c>
      <c r="E291" s="63">
        <v>4770</v>
      </c>
      <c r="F291" s="73">
        <f t="shared" si="4"/>
        <v>143100</v>
      </c>
      <c r="G291" s="112"/>
      <c r="H291" s="64"/>
    </row>
    <row r="292" spans="1:8" ht="17.25" x14ac:dyDescent="0.2">
      <c r="A292" s="71">
        <v>273</v>
      </c>
      <c r="B292" s="110"/>
      <c r="C292" s="72" t="s">
        <v>316</v>
      </c>
      <c r="D292" s="74">
        <v>24</v>
      </c>
      <c r="E292" s="63">
        <v>12689.999999999998</v>
      </c>
      <c r="F292" s="73">
        <f t="shared" si="4"/>
        <v>304559.99999999994</v>
      </c>
      <c r="G292" s="112"/>
      <c r="H292" s="64"/>
    </row>
    <row r="293" spans="1:8" ht="17.25" x14ac:dyDescent="0.2">
      <c r="A293" s="71">
        <v>274</v>
      </c>
      <c r="B293" s="110"/>
      <c r="C293" s="72" t="s">
        <v>317</v>
      </c>
      <c r="D293" s="74">
        <v>56</v>
      </c>
      <c r="E293" s="63">
        <v>15400</v>
      </c>
      <c r="F293" s="73">
        <f t="shared" si="4"/>
        <v>862400</v>
      </c>
      <c r="G293" s="112"/>
      <c r="H293" s="64"/>
    </row>
    <row r="294" spans="1:8" ht="17.25" x14ac:dyDescent="0.2">
      <c r="A294" s="71">
        <v>275</v>
      </c>
      <c r="B294" s="110"/>
      <c r="C294" s="72" t="s">
        <v>318</v>
      </c>
      <c r="D294" s="74">
        <v>24</v>
      </c>
      <c r="E294" s="63">
        <v>9734</v>
      </c>
      <c r="F294" s="73">
        <f t="shared" si="4"/>
        <v>233616</v>
      </c>
      <c r="G294" s="112"/>
      <c r="H294" s="64"/>
    </row>
    <row r="295" spans="1:8" ht="17.25" x14ac:dyDescent="0.2">
      <c r="A295" s="71">
        <v>276</v>
      </c>
      <c r="B295" s="110"/>
      <c r="C295" s="72" t="s">
        <v>319</v>
      </c>
      <c r="D295" s="74">
        <v>240</v>
      </c>
      <c r="E295" s="63">
        <v>6530</v>
      </c>
      <c r="F295" s="73">
        <f t="shared" si="4"/>
        <v>1567200</v>
      </c>
      <c r="G295" s="112"/>
      <c r="H295" s="64"/>
    </row>
    <row r="296" spans="1:8" ht="17.25" x14ac:dyDescent="0.2">
      <c r="A296" s="71">
        <v>277</v>
      </c>
      <c r="B296" s="110"/>
      <c r="C296" s="72" t="s">
        <v>320</v>
      </c>
      <c r="D296" s="74">
        <v>72</v>
      </c>
      <c r="E296" s="63">
        <v>9900</v>
      </c>
      <c r="F296" s="73">
        <f t="shared" si="4"/>
        <v>712800</v>
      </c>
      <c r="G296" s="112"/>
      <c r="H296" s="64"/>
    </row>
    <row r="297" spans="1:8" ht="17.25" x14ac:dyDescent="0.2">
      <c r="A297" s="71">
        <v>278</v>
      </c>
      <c r="B297" s="110"/>
      <c r="C297" s="72" t="s">
        <v>321</v>
      </c>
      <c r="D297" s="74">
        <v>56</v>
      </c>
      <c r="E297" s="63">
        <v>10852</v>
      </c>
      <c r="F297" s="73">
        <f t="shared" si="4"/>
        <v>607712</v>
      </c>
      <c r="G297" s="112"/>
      <c r="H297" s="64"/>
    </row>
    <row r="298" spans="1:8" ht="17.25" x14ac:dyDescent="0.2">
      <c r="A298" s="71">
        <v>279</v>
      </c>
      <c r="B298" s="110"/>
      <c r="C298" s="72" t="s">
        <v>322</v>
      </c>
      <c r="D298" s="74">
        <v>40</v>
      </c>
      <c r="E298" s="63">
        <v>12936</v>
      </c>
      <c r="F298" s="73">
        <f t="shared" si="4"/>
        <v>517440</v>
      </c>
      <c r="G298" s="112"/>
      <c r="H298" s="64"/>
    </row>
    <row r="299" spans="1:8" ht="17.25" x14ac:dyDescent="0.2">
      <c r="A299" s="71">
        <v>280</v>
      </c>
      <c r="B299" s="110"/>
      <c r="C299" s="72" t="s">
        <v>323</v>
      </c>
      <c r="D299" s="74">
        <v>24</v>
      </c>
      <c r="E299" s="63">
        <v>4596</v>
      </c>
      <c r="F299" s="73">
        <f t="shared" si="4"/>
        <v>110304</v>
      </c>
      <c r="G299" s="112"/>
      <c r="H299" s="64"/>
    </row>
    <row r="300" spans="1:8" ht="17.25" x14ac:dyDescent="0.2">
      <c r="A300" s="71">
        <v>281</v>
      </c>
      <c r="B300" s="110"/>
      <c r="C300" s="72" t="s">
        <v>323</v>
      </c>
      <c r="D300" s="74">
        <v>40</v>
      </c>
      <c r="E300" s="63">
        <v>8954</v>
      </c>
      <c r="F300" s="73">
        <f t="shared" si="4"/>
        <v>358160</v>
      </c>
      <c r="G300" s="112"/>
      <c r="H300" s="64"/>
    </row>
    <row r="301" spans="1:8" ht="17.25" x14ac:dyDescent="0.2">
      <c r="A301" s="71">
        <v>282</v>
      </c>
      <c r="B301" s="110"/>
      <c r="C301" s="72" t="s">
        <v>324</v>
      </c>
      <c r="D301" s="74">
        <v>28</v>
      </c>
      <c r="E301" s="63">
        <v>10694</v>
      </c>
      <c r="F301" s="73">
        <f t="shared" si="4"/>
        <v>299432</v>
      </c>
      <c r="G301" s="112"/>
      <c r="H301" s="64"/>
    </row>
    <row r="302" spans="1:8" ht="17.25" x14ac:dyDescent="0.2">
      <c r="A302" s="71">
        <v>283</v>
      </c>
      <c r="B302" s="110"/>
      <c r="C302" s="72" t="s">
        <v>325</v>
      </c>
      <c r="D302" s="74">
        <v>240</v>
      </c>
      <c r="E302" s="63">
        <v>6530</v>
      </c>
      <c r="F302" s="73">
        <f t="shared" si="4"/>
        <v>1567200</v>
      </c>
      <c r="G302" s="112"/>
      <c r="H302" s="64"/>
    </row>
    <row r="303" spans="1:8" ht="17.25" x14ac:dyDescent="0.2">
      <c r="A303" s="71">
        <v>284</v>
      </c>
      <c r="B303" s="110"/>
      <c r="C303" s="72" t="s">
        <v>326</v>
      </c>
      <c r="D303" s="74">
        <v>30</v>
      </c>
      <c r="E303" s="63">
        <v>7880</v>
      </c>
      <c r="F303" s="73">
        <f t="shared" si="4"/>
        <v>236400</v>
      </c>
      <c r="G303" s="112"/>
      <c r="H303" s="64"/>
    </row>
    <row r="304" spans="1:8" ht="17.25" x14ac:dyDescent="0.2">
      <c r="A304" s="71">
        <v>285</v>
      </c>
      <c r="B304" s="110"/>
      <c r="C304" s="72" t="s">
        <v>327</v>
      </c>
      <c r="D304" s="74">
        <v>48</v>
      </c>
      <c r="E304" s="63">
        <v>9734</v>
      </c>
      <c r="F304" s="73">
        <f t="shared" si="4"/>
        <v>467232</v>
      </c>
      <c r="G304" s="112"/>
      <c r="H304" s="64"/>
    </row>
    <row r="305" spans="1:8" ht="17.25" x14ac:dyDescent="0.2">
      <c r="A305" s="71">
        <v>286</v>
      </c>
      <c r="B305" s="110"/>
      <c r="C305" s="72" t="s">
        <v>328</v>
      </c>
      <c r="D305" s="74">
        <v>480</v>
      </c>
      <c r="E305" s="63">
        <v>3721.9999999999995</v>
      </c>
      <c r="F305" s="73">
        <f t="shared" si="4"/>
        <v>1786559.9999999998</v>
      </c>
      <c r="G305" s="112"/>
      <c r="H305" s="64"/>
    </row>
    <row r="306" spans="1:8" ht="17.25" x14ac:dyDescent="0.2">
      <c r="A306" s="71">
        <v>287</v>
      </c>
      <c r="B306" s="110"/>
      <c r="C306" s="72" t="s">
        <v>329</v>
      </c>
      <c r="D306" s="74">
        <v>60</v>
      </c>
      <c r="E306" s="63">
        <v>8004</v>
      </c>
      <c r="F306" s="73">
        <f t="shared" si="4"/>
        <v>480240</v>
      </c>
      <c r="G306" s="112"/>
      <c r="H306" s="64"/>
    </row>
    <row r="307" spans="1:8" ht="17.25" x14ac:dyDescent="0.2">
      <c r="A307" s="71">
        <v>288</v>
      </c>
      <c r="B307" s="110"/>
      <c r="C307" s="72" t="s">
        <v>330</v>
      </c>
      <c r="D307" s="74">
        <v>50</v>
      </c>
      <c r="E307" s="63">
        <v>8004</v>
      </c>
      <c r="F307" s="73">
        <f t="shared" si="4"/>
        <v>400200</v>
      </c>
      <c r="G307" s="112"/>
      <c r="H307" s="64"/>
    </row>
    <row r="308" spans="1:8" ht="17.25" x14ac:dyDescent="0.2">
      <c r="A308" s="71">
        <v>289</v>
      </c>
      <c r="B308" s="110"/>
      <c r="C308" s="72" t="s">
        <v>331</v>
      </c>
      <c r="D308" s="74">
        <v>50</v>
      </c>
      <c r="E308" s="63">
        <v>7674.0000000000009</v>
      </c>
      <c r="F308" s="73">
        <f t="shared" si="4"/>
        <v>383700.00000000006</v>
      </c>
      <c r="G308" s="112"/>
      <c r="H308" s="64"/>
    </row>
    <row r="309" spans="1:8" ht="17.25" x14ac:dyDescent="0.2">
      <c r="A309" s="71">
        <v>290</v>
      </c>
      <c r="B309" s="110"/>
      <c r="C309" s="72" t="s">
        <v>332</v>
      </c>
      <c r="D309" s="74">
        <v>50</v>
      </c>
      <c r="E309" s="63">
        <v>7131.9999999999991</v>
      </c>
      <c r="F309" s="73">
        <f t="shared" si="4"/>
        <v>356599.99999999994</v>
      </c>
      <c r="G309" s="112"/>
      <c r="H309" s="64"/>
    </row>
    <row r="310" spans="1:8" ht="17.25" x14ac:dyDescent="0.2">
      <c r="A310" s="71">
        <v>291</v>
      </c>
      <c r="B310" s="110"/>
      <c r="C310" s="72" t="s">
        <v>333</v>
      </c>
      <c r="D310" s="74">
        <v>60</v>
      </c>
      <c r="E310" s="63">
        <v>3480</v>
      </c>
      <c r="F310" s="73">
        <f t="shared" si="4"/>
        <v>208800</v>
      </c>
      <c r="G310" s="112"/>
      <c r="H310" s="64"/>
    </row>
    <row r="311" spans="1:8" ht="17.25" x14ac:dyDescent="0.2">
      <c r="A311" s="71">
        <v>292</v>
      </c>
      <c r="B311" s="110"/>
      <c r="C311" s="72" t="s">
        <v>334</v>
      </c>
      <c r="D311" s="74">
        <v>30</v>
      </c>
      <c r="E311" s="63">
        <v>5648</v>
      </c>
      <c r="F311" s="73">
        <f t="shared" si="4"/>
        <v>169440</v>
      </c>
      <c r="G311" s="112"/>
      <c r="H311" s="64"/>
    </row>
    <row r="312" spans="1:8" ht="17.25" x14ac:dyDescent="0.2">
      <c r="A312" s="71">
        <v>293</v>
      </c>
      <c r="B312" s="110"/>
      <c r="C312" s="72" t="s">
        <v>335</v>
      </c>
      <c r="D312" s="74">
        <v>150</v>
      </c>
      <c r="E312" s="63">
        <v>6144</v>
      </c>
      <c r="F312" s="73">
        <f t="shared" si="4"/>
        <v>921600</v>
      </c>
      <c r="G312" s="112"/>
      <c r="H312" s="64"/>
    </row>
    <row r="313" spans="1:8" ht="17.25" x14ac:dyDescent="0.2">
      <c r="A313" s="71">
        <v>294</v>
      </c>
      <c r="B313" s="110"/>
      <c r="C313" s="72" t="s">
        <v>336</v>
      </c>
      <c r="D313" s="74">
        <v>86</v>
      </c>
      <c r="E313" s="63">
        <v>7806</v>
      </c>
      <c r="F313" s="73">
        <f t="shared" si="4"/>
        <v>671316</v>
      </c>
      <c r="G313" s="112"/>
      <c r="H313" s="64"/>
    </row>
    <row r="314" spans="1:8" ht="17.25" x14ac:dyDescent="0.2">
      <c r="A314" s="71">
        <v>295</v>
      </c>
      <c r="B314" s="110"/>
      <c r="C314" s="72" t="s">
        <v>337</v>
      </c>
      <c r="D314" s="74">
        <v>70</v>
      </c>
      <c r="E314" s="63">
        <v>7938</v>
      </c>
      <c r="F314" s="73">
        <f t="shared" si="4"/>
        <v>555660</v>
      </c>
      <c r="G314" s="112"/>
      <c r="H314" s="64"/>
    </row>
    <row r="315" spans="1:8" ht="17.25" x14ac:dyDescent="0.2">
      <c r="A315" s="71">
        <v>296</v>
      </c>
      <c r="B315" s="110"/>
      <c r="C315" s="72" t="s">
        <v>338</v>
      </c>
      <c r="D315" s="74">
        <v>150</v>
      </c>
      <c r="E315" s="63">
        <v>6144</v>
      </c>
      <c r="F315" s="73">
        <f t="shared" si="4"/>
        <v>921600</v>
      </c>
      <c r="G315" s="112"/>
      <c r="H315" s="64"/>
    </row>
    <row r="316" spans="1:8" ht="17.25" x14ac:dyDescent="0.2">
      <c r="A316" s="71">
        <v>297</v>
      </c>
      <c r="B316" s="110"/>
      <c r="C316" s="72" t="s">
        <v>339</v>
      </c>
      <c r="D316" s="74">
        <v>48</v>
      </c>
      <c r="E316" s="63">
        <v>5052</v>
      </c>
      <c r="F316" s="73">
        <f t="shared" si="4"/>
        <v>242496</v>
      </c>
      <c r="G316" s="112"/>
      <c r="H316" s="64"/>
    </row>
    <row r="317" spans="1:8" ht="17.25" x14ac:dyDescent="0.2">
      <c r="A317" s="71">
        <v>298</v>
      </c>
      <c r="B317" s="110"/>
      <c r="C317" s="72" t="s">
        <v>340</v>
      </c>
      <c r="D317" s="74">
        <v>50</v>
      </c>
      <c r="E317" s="63">
        <v>9634</v>
      </c>
      <c r="F317" s="73">
        <f t="shared" si="4"/>
        <v>481700</v>
      </c>
      <c r="G317" s="112"/>
      <c r="H317" s="64"/>
    </row>
    <row r="318" spans="1:8" ht="17.25" x14ac:dyDescent="0.2">
      <c r="A318" s="71">
        <v>299</v>
      </c>
      <c r="B318" s="110"/>
      <c r="C318" s="72" t="s">
        <v>341</v>
      </c>
      <c r="D318" s="74">
        <v>60</v>
      </c>
      <c r="E318" s="63">
        <v>9330</v>
      </c>
      <c r="F318" s="73">
        <f t="shared" si="4"/>
        <v>559800</v>
      </c>
      <c r="G318" s="112"/>
      <c r="H318" s="64"/>
    </row>
    <row r="319" spans="1:8" ht="17.25" x14ac:dyDescent="0.2">
      <c r="A319" s="71">
        <v>300</v>
      </c>
      <c r="B319" s="110"/>
      <c r="C319" s="72" t="s">
        <v>342</v>
      </c>
      <c r="D319" s="74">
        <v>300</v>
      </c>
      <c r="E319" s="63">
        <v>702</v>
      </c>
      <c r="F319" s="73">
        <f t="shared" si="4"/>
        <v>210600</v>
      </c>
      <c r="G319" s="112"/>
      <c r="H319" s="64"/>
    </row>
    <row r="320" spans="1:8" ht="17.25" x14ac:dyDescent="0.2">
      <c r="A320" s="71">
        <v>301</v>
      </c>
      <c r="B320" s="110"/>
      <c r="C320" s="72" t="s">
        <v>343</v>
      </c>
      <c r="D320" s="74">
        <v>54</v>
      </c>
      <c r="E320" s="63">
        <v>6978</v>
      </c>
      <c r="F320" s="73">
        <f t="shared" si="4"/>
        <v>376812</v>
      </c>
      <c r="G320" s="112"/>
      <c r="H320" s="64"/>
    </row>
    <row r="321" spans="1:8" ht="17.25" x14ac:dyDescent="0.2">
      <c r="A321" s="71">
        <v>302</v>
      </c>
      <c r="B321" s="110"/>
      <c r="C321" s="72" t="s">
        <v>344</v>
      </c>
      <c r="D321" s="74">
        <v>154</v>
      </c>
      <c r="E321" s="63">
        <v>7382.0000000000009</v>
      </c>
      <c r="F321" s="73">
        <f t="shared" si="4"/>
        <v>1136828.0000000002</v>
      </c>
      <c r="G321" s="112"/>
      <c r="H321" s="64"/>
    </row>
    <row r="322" spans="1:8" ht="17.25" x14ac:dyDescent="0.2">
      <c r="A322" s="71">
        <v>303</v>
      </c>
      <c r="B322" s="110"/>
      <c r="C322" s="72" t="s">
        <v>345</v>
      </c>
      <c r="D322" s="74">
        <v>50</v>
      </c>
      <c r="E322" s="63">
        <v>7090.0000000000009</v>
      </c>
      <c r="F322" s="73">
        <f t="shared" si="4"/>
        <v>354500.00000000006</v>
      </c>
      <c r="G322" s="112"/>
      <c r="H322" s="64"/>
    </row>
    <row r="323" spans="1:8" ht="17.25" x14ac:dyDescent="0.2">
      <c r="A323" s="71">
        <v>304</v>
      </c>
      <c r="B323" s="110"/>
      <c r="C323" s="72" t="s">
        <v>346</v>
      </c>
      <c r="D323" s="74">
        <v>56</v>
      </c>
      <c r="E323" s="63">
        <v>15339.999999999998</v>
      </c>
      <c r="F323" s="73">
        <f t="shared" si="4"/>
        <v>859039.99999999988</v>
      </c>
      <c r="G323" s="112"/>
      <c r="H323" s="64"/>
    </row>
    <row r="324" spans="1:8" ht="17.25" x14ac:dyDescent="0.2">
      <c r="A324" s="71">
        <v>305</v>
      </c>
      <c r="B324" s="110"/>
      <c r="C324" s="72" t="s">
        <v>347</v>
      </c>
      <c r="D324" s="74">
        <v>100</v>
      </c>
      <c r="E324" s="63">
        <v>2120</v>
      </c>
      <c r="F324" s="73">
        <f t="shared" si="4"/>
        <v>212000</v>
      </c>
      <c r="G324" s="112"/>
      <c r="H324" s="64"/>
    </row>
    <row r="325" spans="1:8" ht="17.25" x14ac:dyDescent="0.2">
      <c r="A325" s="71">
        <v>306</v>
      </c>
      <c r="B325" s="110"/>
      <c r="C325" s="72" t="s">
        <v>348</v>
      </c>
      <c r="D325" s="74">
        <v>40</v>
      </c>
      <c r="E325" s="63">
        <v>7389.9999999999991</v>
      </c>
      <c r="F325" s="73">
        <f t="shared" si="4"/>
        <v>295599.99999999994</v>
      </c>
      <c r="G325" s="112"/>
      <c r="H325" s="64"/>
    </row>
    <row r="326" spans="1:8" ht="17.25" x14ac:dyDescent="0.2">
      <c r="A326" s="71">
        <v>307</v>
      </c>
      <c r="B326" s="110"/>
      <c r="C326" s="72" t="s">
        <v>349</v>
      </c>
      <c r="D326" s="74">
        <v>48</v>
      </c>
      <c r="E326" s="63">
        <v>5052</v>
      </c>
      <c r="F326" s="73">
        <f t="shared" si="4"/>
        <v>242496</v>
      </c>
      <c r="G326" s="112"/>
      <c r="H326" s="64"/>
    </row>
    <row r="327" spans="1:8" ht="17.25" x14ac:dyDescent="0.2">
      <c r="A327" s="71">
        <v>308</v>
      </c>
      <c r="B327" s="110"/>
      <c r="C327" s="72" t="s">
        <v>350</v>
      </c>
      <c r="D327" s="74">
        <v>30</v>
      </c>
      <c r="E327" s="63">
        <v>5648</v>
      </c>
      <c r="F327" s="73">
        <f t="shared" si="4"/>
        <v>169440</v>
      </c>
      <c r="G327" s="112"/>
      <c r="H327" s="64"/>
    </row>
    <row r="328" spans="1:8" ht="17.25" x14ac:dyDescent="0.2">
      <c r="A328" s="71">
        <v>309</v>
      </c>
      <c r="B328" s="110"/>
      <c r="C328" s="72" t="s">
        <v>351</v>
      </c>
      <c r="D328" s="74">
        <v>20</v>
      </c>
      <c r="E328" s="63">
        <v>8098.0000000000009</v>
      </c>
      <c r="F328" s="73">
        <f t="shared" si="4"/>
        <v>161960.00000000003</v>
      </c>
      <c r="G328" s="112"/>
      <c r="H328" s="64"/>
    </row>
    <row r="329" spans="1:8" ht="17.25" x14ac:dyDescent="0.2">
      <c r="A329" s="71">
        <v>310</v>
      </c>
      <c r="B329" s="110"/>
      <c r="C329" s="72" t="s">
        <v>352</v>
      </c>
      <c r="D329" s="74">
        <v>100</v>
      </c>
      <c r="E329" s="63">
        <v>7254.0000000000009</v>
      </c>
      <c r="F329" s="73">
        <f t="shared" si="4"/>
        <v>725400.00000000012</v>
      </c>
      <c r="G329" s="112"/>
      <c r="H329" s="64"/>
    </row>
    <row r="330" spans="1:8" ht="17.25" x14ac:dyDescent="0.2">
      <c r="A330" s="71">
        <v>311</v>
      </c>
      <c r="B330" s="110"/>
      <c r="C330" s="72" t="s">
        <v>353</v>
      </c>
      <c r="D330" s="74">
        <v>40</v>
      </c>
      <c r="E330" s="63">
        <v>9630.0000000000018</v>
      </c>
      <c r="F330" s="73">
        <f t="shared" si="4"/>
        <v>385200.00000000006</v>
      </c>
      <c r="G330" s="112"/>
      <c r="H330" s="64"/>
    </row>
    <row r="331" spans="1:8" ht="17.25" x14ac:dyDescent="0.2">
      <c r="A331" s="71">
        <v>312</v>
      </c>
      <c r="B331" s="110"/>
      <c r="C331" s="72" t="s">
        <v>354</v>
      </c>
      <c r="D331" s="74">
        <v>60</v>
      </c>
      <c r="E331" s="63">
        <v>9660</v>
      </c>
      <c r="F331" s="73">
        <f t="shared" si="4"/>
        <v>579600</v>
      </c>
      <c r="G331" s="112"/>
      <c r="H331" s="64"/>
    </row>
    <row r="332" spans="1:8" ht="17.25" x14ac:dyDescent="0.2">
      <c r="A332" s="71">
        <v>313</v>
      </c>
      <c r="B332" s="110"/>
      <c r="C332" s="72" t="s">
        <v>355</v>
      </c>
      <c r="D332" s="74">
        <v>20</v>
      </c>
      <c r="E332" s="63">
        <v>22568</v>
      </c>
      <c r="F332" s="73">
        <f t="shared" si="4"/>
        <v>451360</v>
      </c>
      <c r="G332" s="112"/>
      <c r="H332" s="64"/>
    </row>
    <row r="333" spans="1:8" ht="17.25" x14ac:dyDescent="0.2">
      <c r="A333" s="71">
        <v>314</v>
      </c>
      <c r="B333" s="110"/>
      <c r="C333" s="72" t="s">
        <v>356</v>
      </c>
      <c r="D333" s="74">
        <v>56</v>
      </c>
      <c r="E333" s="63">
        <v>9970.0000000000018</v>
      </c>
      <c r="F333" s="73">
        <f t="shared" si="4"/>
        <v>558320.00000000012</v>
      </c>
      <c r="G333" s="112"/>
      <c r="H333" s="64"/>
    </row>
    <row r="334" spans="1:8" ht="17.25" x14ac:dyDescent="0.2">
      <c r="A334" s="71">
        <v>315</v>
      </c>
      <c r="B334" s="110"/>
      <c r="C334" s="72" t="s">
        <v>357</v>
      </c>
      <c r="D334" s="74">
        <v>60</v>
      </c>
      <c r="E334" s="63">
        <v>9200.0000000000018</v>
      </c>
      <c r="F334" s="73">
        <f t="shared" si="4"/>
        <v>552000.00000000012</v>
      </c>
      <c r="G334" s="112"/>
      <c r="H334" s="64"/>
    </row>
    <row r="335" spans="1:8" ht="17.25" x14ac:dyDescent="0.2">
      <c r="A335" s="71">
        <v>316</v>
      </c>
      <c r="B335" s="110"/>
      <c r="C335" s="72" t="s">
        <v>358</v>
      </c>
      <c r="D335" s="74">
        <v>121</v>
      </c>
      <c r="E335" s="63">
        <v>3543.9999999999995</v>
      </c>
      <c r="F335" s="73">
        <f t="shared" si="4"/>
        <v>428823.99999999994</v>
      </c>
      <c r="G335" s="112"/>
      <c r="H335" s="64"/>
    </row>
    <row r="336" spans="1:8" ht="17.25" x14ac:dyDescent="0.2">
      <c r="A336" s="71">
        <v>317</v>
      </c>
      <c r="B336" s="110"/>
      <c r="C336" s="72" t="s">
        <v>359</v>
      </c>
      <c r="D336" s="74">
        <v>36</v>
      </c>
      <c r="E336" s="63">
        <v>8793.9999999999982</v>
      </c>
      <c r="F336" s="73">
        <f t="shared" si="4"/>
        <v>316583.99999999994</v>
      </c>
      <c r="G336" s="112"/>
      <c r="H336" s="64"/>
    </row>
    <row r="337" spans="1:8" ht="17.25" x14ac:dyDescent="0.2">
      <c r="A337" s="71">
        <v>318</v>
      </c>
      <c r="B337" s="110"/>
      <c r="C337" s="72" t="s">
        <v>360</v>
      </c>
      <c r="D337" s="74">
        <v>120</v>
      </c>
      <c r="E337" s="63">
        <v>7230</v>
      </c>
      <c r="F337" s="73">
        <f t="shared" si="4"/>
        <v>867600</v>
      </c>
      <c r="G337" s="112"/>
      <c r="H337" s="64"/>
    </row>
    <row r="338" spans="1:8" ht="17.25" x14ac:dyDescent="0.2">
      <c r="A338" s="71">
        <v>319</v>
      </c>
      <c r="B338" s="110"/>
      <c r="C338" s="72" t="s">
        <v>361</v>
      </c>
      <c r="D338" s="74">
        <v>77</v>
      </c>
      <c r="E338" s="63">
        <v>7270</v>
      </c>
      <c r="F338" s="73">
        <f t="shared" si="4"/>
        <v>559790</v>
      </c>
      <c r="G338" s="112"/>
      <c r="H338" s="64"/>
    </row>
    <row r="339" spans="1:8" ht="17.25" x14ac:dyDescent="0.2">
      <c r="A339" s="71">
        <v>320</v>
      </c>
      <c r="B339" s="110"/>
      <c r="C339" s="72" t="s">
        <v>362</v>
      </c>
      <c r="D339" s="74">
        <v>77</v>
      </c>
      <c r="E339" s="63">
        <v>7760</v>
      </c>
      <c r="F339" s="73">
        <f t="shared" si="4"/>
        <v>597520</v>
      </c>
      <c r="G339" s="112"/>
      <c r="H339" s="64"/>
    </row>
    <row r="340" spans="1:8" ht="17.25" x14ac:dyDescent="0.2">
      <c r="A340" s="71">
        <v>321</v>
      </c>
      <c r="B340" s="110"/>
      <c r="C340" s="72" t="s">
        <v>363</v>
      </c>
      <c r="D340" s="74">
        <v>130</v>
      </c>
      <c r="E340" s="63">
        <v>8734</v>
      </c>
      <c r="F340" s="73">
        <f t="shared" ref="F340:F401" si="5">+E340*D340</f>
        <v>1135420</v>
      </c>
      <c r="G340" s="112"/>
      <c r="H340" s="64"/>
    </row>
    <row r="341" spans="1:8" ht="17.25" x14ac:dyDescent="0.2">
      <c r="A341" s="71">
        <v>322</v>
      </c>
      <c r="B341" s="110"/>
      <c r="C341" s="72" t="s">
        <v>364</v>
      </c>
      <c r="D341" s="74">
        <v>50</v>
      </c>
      <c r="E341" s="63">
        <v>8734</v>
      </c>
      <c r="F341" s="73">
        <f t="shared" si="5"/>
        <v>436700</v>
      </c>
      <c r="G341" s="112"/>
      <c r="H341" s="64"/>
    </row>
    <row r="342" spans="1:8" ht="17.25" x14ac:dyDescent="0.2">
      <c r="A342" s="71">
        <v>323</v>
      </c>
      <c r="B342" s="110"/>
      <c r="C342" s="72" t="s">
        <v>365</v>
      </c>
      <c r="D342" s="74">
        <v>56</v>
      </c>
      <c r="E342" s="63">
        <v>7151.0000000000009</v>
      </c>
      <c r="F342" s="73">
        <f t="shared" si="5"/>
        <v>400456.00000000006</v>
      </c>
      <c r="G342" s="112"/>
      <c r="H342" s="64"/>
    </row>
    <row r="343" spans="1:8" ht="17.25" x14ac:dyDescent="0.2">
      <c r="A343" s="71">
        <v>324</v>
      </c>
      <c r="B343" s="110"/>
      <c r="C343" s="72" t="s">
        <v>366</v>
      </c>
      <c r="D343" s="74">
        <v>60</v>
      </c>
      <c r="E343" s="63">
        <v>7614.9999999999991</v>
      </c>
      <c r="F343" s="73">
        <f t="shared" si="5"/>
        <v>456899.99999999994</v>
      </c>
      <c r="G343" s="112"/>
      <c r="H343" s="64"/>
    </row>
    <row r="344" spans="1:8" ht="17.25" x14ac:dyDescent="0.2">
      <c r="A344" s="71">
        <v>325</v>
      </c>
      <c r="B344" s="110"/>
      <c r="C344" s="72" t="s">
        <v>367</v>
      </c>
      <c r="D344" s="74">
        <v>150</v>
      </c>
      <c r="E344" s="63">
        <v>7382.0000000000009</v>
      </c>
      <c r="F344" s="73">
        <f t="shared" si="5"/>
        <v>1107300.0000000002</v>
      </c>
      <c r="G344" s="112"/>
      <c r="H344" s="64"/>
    </row>
    <row r="345" spans="1:8" ht="17.25" x14ac:dyDescent="0.2">
      <c r="A345" s="71">
        <v>326</v>
      </c>
      <c r="B345" s="110"/>
      <c r="C345" s="72" t="s">
        <v>368</v>
      </c>
      <c r="D345" s="74">
        <v>100</v>
      </c>
      <c r="E345" s="63">
        <v>8436</v>
      </c>
      <c r="F345" s="73">
        <f t="shared" si="5"/>
        <v>843600</v>
      </c>
      <c r="G345" s="112"/>
      <c r="H345" s="64"/>
    </row>
    <row r="346" spans="1:8" ht="17.25" x14ac:dyDescent="0.2">
      <c r="A346" s="71">
        <v>327</v>
      </c>
      <c r="B346" s="110"/>
      <c r="C346" s="72" t="s">
        <v>369</v>
      </c>
      <c r="D346" s="74">
        <v>195</v>
      </c>
      <c r="E346" s="63">
        <v>7004.0000000000009</v>
      </c>
      <c r="F346" s="73">
        <f t="shared" si="5"/>
        <v>1365780.0000000002</v>
      </c>
      <c r="G346" s="112"/>
      <c r="H346" s="64"/>
    </row>
    <row r="347" spans="1:8" ht="17.25" x14ac:dyDescent="0.2">
      <c r="A347" s="71">
        <v>328</v>
      </c>
      <c r="B347" s="110"/>
      <c r="C347" s="72" t="s">
        <v>370</v>
      </c>
      <c r="D347" s="74">
        <v>40</v>
      </c>
      <c r="E347" s="63">
        <v>13554</v>
      </c>
      <c r="F347" s="73">
        <f t="shared" si="5"/>
        <v>542160</v>
      </c>
      <c r="G347" s="112"/>
      <c r="H347" s="64"/>
    </row>
    <row r="348" spans="1:8" ht="17.25" x14ac:dyDescent="0.2">
      <c r="A348" s="71">
        <v>329</v>
      </c>
      <c r="B348" s="110"/>
      <c r="C348" s="72" t="s">
        <v>371</v>
      </c>
      <c r="D348" s="74">
        <v>100</v>
      </c>
      <c r="E348" s="63">
        <v>7156</v>
      </c>
      <c r="F348" s="73">
        <f t="shared" si="5"/>
        <v>715600</v>
      </c>
      <c r="G348" s="112"/>
      <c r="H348" s="64"/>
    </row>
    <row r="349" spans="1:8" ht="17.25" x14ac:dyDescent="0.2">
      <c r="A349" s="71">
        <v>330</v>
      </c>
      <c r="B349" s="110"/>
      <c r="C349" s="72" t="s">
        <v>372</v>
      </c>
      <c r="D349" s="74">
        <v>40</v>
      </c>
      <c r="E349" s="63">
        <v>13766.000000000002</v>
      </c>
      <c r="F349" s="73">
        <f t="shared" si="5"/>
        <v>550640.00000000012</v>
      </c>
      <c r="G349" s="112"/>
      <c r="H349" s="64"/>
    </row>
    <row r="350" spans="1:8" ht="17.25" x14ac:dyDescent="0.2">
      <c r="A350" s="71">
        <v>331</v>
      </c>
      <c r="B350" s="110"/>
      <c r="C350" s="72" t="s">
        <v>373</v>
      </c>
      <c r="D350" s="74">
        <v>40</v>
      </c>
      <c r="E350" s="63">
        <v>13554</v>
      </c>
      <c r="F350" s="73">
        <f t="shared" si="5"/>
        <v>542160</v>
      </c>
      <c r="G350" s="112"/>
      <c r="H350" s="64"/>
    </row>
    <row r="351" spans="1:8" ht="17.25" x14ac:dyDescent="0.2">
      <c r="A351" s="71">
        <v>332</v>
      </c>
      <c r="B351" s="110"/>
      <c r="C351" s="72" t="s">
        <v>374</v>
      </c>
      <c r="D351" s="74">
        <v>70</v>
      </c>
      <c r="E351" s="63">
        <v>9230</v>
      </c>
      <c r="F351" s="73">
        <f t="shared" si="5"/>
        <v>646100</v>
      </c>
      <c r="G351" s="112"/>
      <c r="H351" s="64"/>
    </row>
    <row r="352" spans="1:8" ht="17.25" x14ac:dyDescent="0.2">
      <c r="A352" s="71">
        <v>333</v>
      </c>
      <c r="B352" s="110"/>
      <c r="C352" s="72" t="s">
        <v>375</v>
      </c>
      <c r="D352" s="74">
        <v>50</v>
      </c>
      <c r="E352" s="63">
        <v>8480</v>
      </c>
      <c r="F352" s="73">
        <f t="shared" si="5"/>
        <v>424000</v>
      </c>
      <c r="G352" s="112"/>
      <c r="H352" s="64"/>
    </row>
    <row r="353" spans="1:8" ht="17.25" x14ac:dyDescent="0.2">
      <c r="A353" s="71">
        <v>334</v>
      </c>
      <c r="B353" s="110"/>
      <c r="C353" s="72" t="s">
        <v>376</v>
      </c>
      <c r="D353" s="74">
        <v>84</v>
      </c>
      <c r="E353" s="63">
        <v>8210</v>
      </c>
      <c r="F353" s="73">
        <f t="shared" si="5"/>
        <v>689640</v>
      </c>
      <c r="G353" s="112"/>
      <c r="H353" s="64"/>
    </row>
    <row r="354" spans="1:8" ht="17.25" x14ac:dyDescent="0.2">
      <c r="A354" s="71">
        <v>335</v>
      </c>
      <c r="B354" s="110"/>
      <c r="C354" s="72" t="s">
        <v>377</v>
      </c>
      <c r="D354" s="74">
        <v>150</v>
      </c>
      <c r="E354" s="63">
        <v>7110</v>
      </c>
      <c r="F354" s="73">
        <f t="shared" si="5"/>
        <v>1066500</v>
      </c>
      <c r="G354" s="112"/>
      <c r="H354" s="64"/>
    </row>
    <row r="355" spans="1:8" ht="17.25" x14ac:dyDescent="0.2">
      <c r="A355" s="71">
        <v>336</v>
      </c>
      <c r="B355" s="110"/>
      <c r="C355" s="72" t="s">
        <v>378</v>
      </c>
      <c r="D355" s="74">
        <v>50</v>
      </c>
      <c r="E355" s="63">
        <v>7674.0000000000009</v>
      </c>
      <c r="F355" s="73">
        <f t="shared" si="5"/>
        <v>383700.00000000006</v>
      </c>
      <c r="G355" s="112"/>
      <c r="H355" s="64"/>
    </row>
    <row r="356" spans="1:8" ht="17.25" x14ac:dyDescent="0.2">
      <c r="A356" s="71">
        <v>337</v>
      </c>
      <c r="B356" s="110"/>
      <c r="C356" s="72" t="s">
        <v>379</v>
      </c>
      <c r="D356" s="74">
        <v>40</v>
      </c>
      <c r="E356" s="63">
        <v>6845.0000000000009</v>
      </c>
      <c r="F356" s="73">
        <f t="shared" si="5"/>
        <v>273800.00000000006</v>
      </c>
      <c r="G356" s="112"/>
      <c r="H356" s="64"/>
    </row>
    <row r="357" spans="1:8" ht="17.25" x14ac:dyDescent="0.2">
      <c r="A357" s="71">
        <v>338</v>
      </c>
      <c r="B357" s="110"/>
      <c r="C357" s="72" t="s">
        <v>380</v>
      </c>
      <c r="D357" s="74">
        <v>40</v>
      </c>
      <c r="E357" s="63">
        <v>6686</v>
      </c>
      <c r="F357" s="73">
        <f t="shared" si="5"/>
        <v>267440</v>
      </c>
      <c r="G357" s="112"/>
      <c r="H357" s="64"/>
    </row>
    <row r="358" spans="1:8" ht="17.25" x14ac:dyDescent="0.2">
      <c r="A358" s="71">
        <v>339</v>
      </c>
      <c r="B358" s="110"/>
      <c r="C358" s="72" t="s">
        <v>381</v>
      </c>
      <c r="D358" s="74">
        <v>50</v>
      </c>
      <c r="E358" s="63">
        <v>7661.9999999999991</v>
      </c>
      <c r="F358" s="73">
        <f t="shared" si="5"/>
        <v>383099.99999999994</v>
      </c>
      <c r="G358" s="112"/>
      <c r="H358" s="64"/>
    </row>
    <row r="359" spans="1:8" ht="17.25" x14ac:dyDescent="0.2">
      <c r="A359" s="71">
        <v>340</v>
      </c>
      <c r="B359" s="110"/>
      <c r="C359" s="72" t="s">
        <v>382</v>
      </c>
      <c r="D359" s="74">
        <v>10</v>
      </c>
      <c r="E359" s="63">
        <v>28160.000000000004</v>
      </c>
      <c r="F359" s="73">
        <f t="shared" si="5"/>
        <v>281600.00000000006</v>
      </c>
      <c r="G359" s="112"/>
      <c r="H359" s="64"/>
    </row>
    <row r="360" spans="1:8" ht="17.25" x14ac:dyDescent="0.2">
      <c r="A360" s="71">
        <v>341</v>
      </c>
      <c r="B360" s="110"/>
      <c r="C360" s="72" t="s">
        <v>383</v>
      </c>
      <c r="D360" s="74">
        <v>117</v>
      </c>
      <c r="E360" s="63">
        <v>6512</v>
      </c>
      <c r="F360" s="73">
        <f t="shared" si="5"/>
        <v>761904</v>
      </c>
      <c r="G360" s="112"/>
      <c r="H360" s="64"/>
    </row>
    <row r="361" spans="1:8" ht="17.25" x14ac:dyDescent="0.2">
      <c r="A361" s="71">
        <v>342</v>
      </c>
      <c r="B361" s="110"/>
      <c r="C361" s="72" t="s">
        <v>384</v>
      </c>
      <c r="D361" s="74">
        <v>40</v>
      </c>
      <c r="E361" s="63">
        <v>7646</v>
      </c>
      <c r="F361" s="73">
        <f t="shared" si="5"/>
        <v>305840</v>
      </c>
      <c r="G361" s="112"/>
      <c r="H361" s="64"/>
    </row>
    <row r="362" spans="1:8" ht="17.25" x14ac:dyDescent="0.2">
      <c r="A362" s="71">
        <v>343</v>
      </c>
      <c r="B362" s="110"/>
      <c r="C362" s="72" t="s">
        <v>385</v>
      </c>
      <c r="D362" s="74">
        <v>150</v>
      </c>
      <c r="E362" s="63">
        <v>7488</v>
      </c>
      <c r="F362" s="73">
        <f t="shared" si="5"/>
        <v>1123200</v>
      </c>
      <c r="G362" s="112"/>
      <c r="H362" s="64"/>
    </row>
    <row r="363" spans="1:8" ht="17.25" x14ac:dyDescent="0.2">
      <c r="A363" s="71">
        <v>344</v>
      </c>
      <c r="B363" s="110"/>
      <c r="C363" s="72" t="s">
        <v>386</v>
      </c>
      <c r="D363" s="74">
        <v>200</v>
      </c>
      <c r="E363" s="63">
        <v>7110</v>
      </c>
      <c r="F363" s="73">
        <f t="shared" si="5"/>
        <v>1422000</v>
      </c>
      <c r="G363" s="112"/>
      <c r="H363" s="64"/>
    </row>
    <row r="364" spans="1:8" ht="17.25" x14ac:dyDescent="0.2">
      <c r="A364" s="71">
        <v>345</v>
      </c>
      <c r="B364" s="110"/>
      <c r="C364" s="72" t="s">
        <v>387</v>
      </c>
      <c r="D364" s="74">
        <v>154</v>
      </c>
      <c r="E364" s="63">
        <v>7190.0000000000009</v>
      </c>
      <c r="F364" s="73">
        <f t="shared" si="5"/>
        <v>1107260.0000000002</v>
      </c>
      <c r="G364" s="112"/>
      <c r="H364" s="64"/>
    </row>
    <row r="365" spans="1:8" ht="17.25" x14ac:dyDescent="0.2">
      <c r="A365" s="71">
        <v>346</v>
      </c>
      <c r="B365" s="110"/>
      <c r="C365" s="72" t="s">
        <v>388</v>
      </c>
      <c r="D365" s="74">
        <v>200</v>
      </c>
      <c r="E365" s="63">
        <v>6210</v>
      </c>
      <c r="F365" s="73">
        <f t="shared" si="5"/>
        <v>1242000</v>
      </c>
      <c r="G365" s="112"/>
      <c r="H365" s="64"/>
    </row>
    <row r="366" spans="1:8" ht="17.25" x14ac:dyDescent="0.2">
      <c r="A366" s="71">
        <v>347</v>
      </c>
      <c r="B366" s="110"/>
      <c r="C366" s="72" t="s">
        <v>389</v>
      </c>
      <c r="D366" s="74">
        <v>50</v>
      </c>
      <c r="E366" s="63">
        <v>7090.0000000000009</v>
      </c>
      <c r="F366" s="73">
        <f t="shared" si="5"/>
        <v>354500.00000000006</v>
      </c>
      <c r="G366" s="112"/>
      <c r="H366" s="64"/>
    </row>
    <row r="367" spans="1:8" ht="17.25" x14ac:dyDescent="0.2">
      <c r="A367" s="71">
        <v>348</v>
      </c>
      <c r="B367" s="110"/>
      <c r="C367" s="72" t="s">
        <v>390</v>
      </c>
      <c r="D367" s="74">
        <v>54</v>
      </c>
      <c r="E367" s="63">
        <v>6660</v>
      </c>
      <c r="F367" s="73">
        <f t="shared" si="5"/>
        <v>359640</v>
      </c>
      <c r="G367" s="112"/>
      <c r="H367" s="64"/>
    </row>
    <row r="368" spans="1:8" ht="17.25" x14ac:dyDescent="0.2">
      <c r="A368" s="71">
        <v>349</v>
      </c>
      <c r="B368" s="110"/>
      <c r="C368" s="72" t="s">
        <v>391</v>
      </c>
      <c r="D368" s="74">
        <v>40</v>
      </c>
      <c r="E368" s="63">
        <v>13652</v>
      </c>
      <c r="F368" s="73">
        <f t="shared" si="5"/>
        <v>546080</v>
      </c>
      <c r="G368" s="112"/>
      <c r="H368" s="64"/>
    </row>
    <row r="369" spans="1:8" ht="17.25" x14ac:dyDescent="0.2">
      <c r="A369" s="71">
        <v>350</v>
      </c>
      <c r="B369" s="110"/>
      <c r="C369" s="72" t="s">
        <v>392</v>
      </c>
      <c r="D369" s="74">
        <v>50</v>
      </c>
      <c r="E369" s="63">
        <v>13128</v>
      </c>
      <c r="F369" s="73">
        <f t="shared" si="5"/>
        <v>656400</v>
      </c>
      <c r="G369" s="112"/>
      <c r="H369" s="64"/>
    </row>
    <row r="370" spans="1:8" ht="17.25" x14ac:dyDescent="0.2">
      <c r="A370" s="71">
        <v>351</v>
      </c>
      <c r="B370" s="110"/>
      <c r="C370" s="72" t="s">
        <v>393</v>
      </c>
      <c r="D370" s="74">
        <v>300</v>
      </c>
      <c r="E370" s="63">
        <v>4226</v>
      </c>
      <c r="F370" s="73">
        <f t="shared" si="5"/>
        <v>1267800</v>
      </c>
      <c r="G370" s="112"/>
      <c r="H370" s="64"/>
    </row>
    <row r="371" spans="1:8" ht="17.25" x14ac:dyDescent="0.2">
      <c r="A371" s="71">
        <v>352</v>
      </c>
      <c r="B371" s="110"/>
      <c r="C371" s="72" t="s">
        <v>394</v>
      </c>
      <c r="D371" s="74">
        <v>60</v>
      </c>
      <c r="E371" s="63">
        <v>7274</v>
      </c>
      <c r="F371" s="73">
        <f t="shared" si="5"/>
        <v>436440</v>
      </c>
      <c r="G371" s="112"/>
      <c r="H371" s="64"/>
    </row>
    <row r="372" spans="1:8" ht="17.25" x14ac:dyDescent="0.2">
      <c r="A372" s="71">
        <v>353</v>
      </c>
      <c r="B372" s="110"/>
      <c r="C372" s="72" t="s">
        <v>395</v>
      </c>
      <c r="D372" s="74">
        <v>30</v>
      </c>
      <c r="E372" s="63">
        <v>4770</v>
      </c>
      <c r="F372" s="73">
        <f t="shared" si="5"/>
        <v>143100</v>
      </c>
      <c r="G372" s="112"/>
      <c r="H372" s="64"/>
    </row>
    <row r="373" spans="1:8" ht="17.25" x14ac:dyDescent="0.2">
      <c r="A373" s="71">
        <v>354</v>
      </c>
      <c r="B373" s="110"/>
      <c r="C373" s="72" t="s">
        <v>396</v>
      </c>
      <c r="D373" s="74">
        <v>56</v>
      </c>
      <c r="E373" s="63">
        <v>11100</v>
      </c>
      <c r="F373" s="73">
        <f t="shared" si="5"/>
        <v>621600</v>
      </c>
      <c r="G373" s="112"/>
      <c r="H373" s="64"/>
    </row>
    <row r="374" spans="1:8" ht="17.25" x14ac:dyDescent="0.2">
      <c r="A374" s="71">
        <v>355</v>
      </c>
      <c r="B374" s="110"/>
      <c r="C374" s="72" t="s">
        <v>397</v>
      </c>
      <c r="D374" s="74">
        <v>100</v>
      </c>
      <c r="E374" s="63">
        <v>6772.0000000000009</v>
      </c>
      <c r="F374" s="73">
        <f t="shared" si="5"/>
        <v>677200.00000000012</v>
      </c>
      <c r="G374" s="112"/>
      <c r="H374" s="64"/>
    </row>
    <row r="375" spans="1:8" ht="17.25" x14ac:dyDescent="0.2">
      <c r="A375" s="71">
        <v>356</v>
      </c>
      <c r="B375" s="110"/>
      <c r="C375" s="72" t="s">
        <v>398</v>
      </c>
      <c r="D375" s="74">
        <v>100</v>
      </c>
      <c r="E375" s="63">
        <v>7812.0000000000009</v>
      </c>
      <c r="F375" s="73">
        <f t="shared" si="5"/>
        <v>781200.00000000012</v>
      </c>
      <c r="G375" s="112"/>
      <c r="H375" s="64"/>
    </row>
    <row r="376" spans="1:8" ht="17.25" x14ac:dyDescent="0.2">
      <c r="A376" s="71">
        <v>357</v>
      </c>
      <c r="B376" s="110"/>
      <c r="C376" s="72" t="s">
        <v>399</v>
      </c>
      <c r="D376" s="74">
        <v>20</v>
      </c>
      <c r="E376" s="63">
        <v>6820</v>
      </c>
      <c r="F376" s="73">
        <f t="shared" si="5"/>
        <v>136400</v>
      </c>
      <c r="G376" s="112"/>
      <c r="H376" s="64"/>
    </row>
    <row r="377" spans="1:8" ht="17.25" x14ac:dyDescent="0.2">
      <c r="A377" s="71">
        <v>358</v>
      </c>
      <c r="B377" s="110"/>
      <c r="C377" s="72" t="s">
        <v>400</v>
      </c>
      <c r="D377" s="74">
        <v>72</v>
      </c>
      <c r="E377" s="63">
        <v>6720</v>
      </c>
      <c r="F377" s="73">
        <f t="shared" si="5"/>
        <v>483840</v>
      </c>
      <c r="G377" s="112"/>
      <c r="H377" s="64"/>
    </row>
    <row r="378" spans="1:8" ht="17.25" x14ac:dyDescent="0.2">
      <c r="A378" s="71">
        <v>359</v>
      </c>
      <c r="B378" s="110"/>
      <c r="C378" s="72" t="s">
        <v>401</v>
      </c>
      <c r="D378" s="74">
        <v>72</v>
      </c>
      <c r="E378" s="63">
        <v>6720</v>
      </c>
      <c r="F378" s="73">
        <f t="shared" si="5"/>
        <v>483840</v>
      </c>
      <c r="G378" s="112"/>
      <c r="H378" s="64"/>
    </row>
    <row r="379" spans="1:8" ht="17.25" x14ac:dyDescent="0.2">
      <c r="A379" s="71">
        <v>360</v>
      </c>
      <c r="B379" s="110"/>
      <c r="C379" s="72" t="s">
        <v>402</v>
      </c>
      <c r="D379" s="74">
        <v>72</v>
      </c>
      <c r="E379" s="63">
        <v>6826</v>
      </c>
      <c r="F379" s="73">
        <f t="shared" si="5"/>
        <v>491472</v>
      </c>
      <c r="G379" s="112"/>
      <c r="H379" s="64"/>
    </row>
    <row r="380" spans="1:8" ht="17.25" x14ac:dyDescent="0.2">
      <c r="A380" s="71">
        <v>361</v>
      </c>
      <c r="B380" s="110"/>
      <c r="C380" s="72" t="s">
        <v>403</v>
      </c>
      <c r="D380" s="74">
        <v>72</v>
      </c>
      <c r="E380" s="63">
        <v>6720</v>
      </c>
      <c r="F380" s="73">
        <f t="shared" si="5"/>
        <v>483840</v>
      </c>
      <c r="G380" s="112"/>
      <c r="H380" s="64"/>
    </row>
    <row r="381" spans="1:8" ht="17.25" x14ac:dyDescent="0.2">
      <c r="A381" s="71">
        <v>362</v>
      </c>
      <c r="B381" s="110"/>
      <c r="C381" s="72" t="s">
        <v>404</v>
      </c>
      <c r="D381" s="74">
        <v>50</v>
      </c>
      <c r="E381" s="63">
        <v>7150.0000000000009</v>
      </c>
      <c r="F381" s="73">
        <f t="shared" si="5"/>
        <v>357500.00000000006</v>
      </c>
      <c r="G381" s="112"/>
      <c r="H381" s="64"/>
    </row>
    <row r="382" spans="1:8" ht="17.25" x14ac:dyDescent="0.2">
      <c r="A382" s="71">
        <v>363</v>
      </c>
      <c r="B382" s="110"/>
      <c r="C382" s="72" t="s">
        <v>405</v>
      </c>
      <c r="D382" s="74">
        <v>60</v>
      </c>
      <c r="E382" s="63">
        <v>7686</v>
      </c>
      <c r="F382" s="73">
        <f t="shared" si="5"/>
        <v>461160</v>
      </c>
      <c r="G382" s="112"/>
      <c r="H382" s="64"/>
    </row>
    <row r="383" spans="1:8" ht="17.25" x14ac:dyDescent="0.2">
      <c r="A383" s="71">
        <v>364</v>
      </c>
      <c r="B383" s="111"/>
      <c r="C383" s="72" t="s">
        <v>406</v>
      </c>
      <c r="D383" s="74">
        <v>50</v>
      </c>
      <c r="E383" s="63">
        <v>6726.0000000000009</v>
      </c>
      <c r="F383" s="73">
        <f t="shared" si="5"/>
        <v>336300.00000000006</v>
      </c>
      <c r="G383" s="112"/>
      <c r="H383" s="64"/>
    </row>
    <row r="384" spans="1:8" ht="17.25" x14ac:dyDescent="0.2">
      <c r="A384" s="71">
        <v>365</v>
      </c>
      <c r="B384" s="109" t="s">
        <v>413</v>
      </c>
      <c r="C384" s="72" t="s">
        <v>409</v>
      </c>
      <c r="D384" s="74">
        <v>2880</v>
      </c>
      <c r="E384" s="63">
        <v>3000</v>
      </c>
      <c r="F384" s="73">
        <f t="shared" si="5"/>
        <v>8640000</v>
      </c>
      <c r="G384" s="112">
        <f>SUM(F384:F387)</f>
        <v>32826000</v>
      </c>
      <c r="H384" s="64"/>
    </row>
    <row r="385" spans="1:8" ht="17.25" x14ac:dyDescent="0.2">
      <c r="A385" s="71">
        <v>366</v>
      </c>
      <c r="B385" s="110"/>
      <c r="C385" s="72" t="s">
        <v>410</v>
      </c>
      <c r="D385" s="74">
        <v>3000</v>
      </c>
      <c r="E385" s="63">
        <v>1150</v>
      </c>
      <c r="F385" s="73">
        <f t="shared" si="5"/>
        <v>3450000</v>
      </c>
      <c r="G385" s="112"/>
      <c r="H385" s="64"/>
    </row>
    <row r="386" spans="1:8" ht="17.25" x14ac:dyDescent="0.2">
      <c r="A386" s="71">
        <v>367</v>
      </c>
      <c r="B386" s="110"/>
      <c r="C386" s="72" t="s">
        <v>411</v>
      </c>
      <c r="D386" s="74">
        <v>2880</v>
      </c>
      <c r="E386" s="63">
        <v>2700</v>
      </c>
      <c r="F386" s="73">
        <f t="shared" si="5"/>
        <v>7776000</v>
      </c>
      <c r="G386" s="112"/>
      <c r="H386" s="64"/>
    </row>
    <row r="387" spans="1:8" ht="17.25" x14ac:dyDescent="0.2">
      <c r="A387" s="71">
        <v>368</v>
      </c>
      <c r="B387" s="111"/>
      <c r="C387" s="72" t="s">
        <v>412</v>
      </c>
      <c r="D387" s="74">
        <v>2400</v>
      </c>
      <c r="E387" s="63">
        <v>5400</v>
      </c>
      <c r="F387" s="73">
        <f t="shared" si="5"/>
        <v>12960000</v>
      </c>
      <c r="G387" s="112"/>
      <c r="H387" s="64"/>
    </row>
    <row r="388" spans="1:8" ht="17.25" x14ac:dyDescent="0.2">
      <c r="A388" s="71">
        <v>369</v>
      </c>
      <c r="B388" s="109" t="s">
        <v>428</v>
      </c>
      <c r="C388" s="72" t="s">
        <v>414</v>
      </c>
      <c r="D388" s="74">
        <v>200</v>
      </c>
      <c r="E388" s="63">
        <v>11660</v>
      </c>
      <c r="F388" s="73">
        <f t="shared" si="5"/>
        <v>2332000</v>
      </c>
      <c r="G388" s="112">
        <f>SUM(F388:F401)</f>
        <v>37312000</v>
      </c>
      <c r="H388" s="64"/>
    </row>
    <row r="389" spans="1:8" ht="17.25" x14ac:dyDescent="0.2">
      <c r="A389" s="71">
        <v>370</v>
      </c>
      <c r="B389" s="110"/>
      <c r="C389" s="72" t="s">
        <v>415</v>
      </c>
      <c r="D389" s="74">
        <v>100</v>
      </c>
      <c r="E389" s="63">
        <v>11660</v>
      </c>
      <c r="F389" s="73">
        <f t="shared" si="5"/>
        <v>1166000</v>
      </c>
      <c r="G389" s="112"/>
      <c r="H389" s="64"/>
    </row>
    <row r="390" spans="1:8" ht="17.25" x14ac:dyDescent="0.2">
      <c r="A390" s="71">
        <v>371</v>
      </c>
      <c r="B390" s="110"/>
      <c r="C390" s="72" t="s">
        <v>416</v>
      </c>
      <c r="D390" s="74">
        <v>100</v>
      </c>
      <c r="E390" s="63">
        <v>11660</v>
      </c>
      <c r="F390" s="73">
        <f t="shared" si="5"/>
        <v>1166000</v>
      </c>
      <c r="G390" s="112"/>
      <c r="H390" s="64"/>
    </row>
    <row r="391" spans="1:8" ht="17.25" x14ac:dyDescent="0.2">
      <c r="A391" s="71">
        <v>372</v>
      </c>
      <c r="B391" s="110"/>
      <c r="C391" s="72" t="s">
        <v>417</v>
      </c>
      <c r="D391" s="74">
        <v>100</v>
      </c>
      <c r="E391" s="63">
        <v>11660</v>
      </c>
      <c r="F391" s="73">
        <f t="shared" si="5"/>
        <v>1166000</v>
      </c>
      <c r="G391" s="112"/>
      <c r="H391" s="64"/>
    </row>
    <row r="392" spans="1:8" ht="17.25" x14ac:dyDescent="0.2">
      <c r="A392" s="71">
        <v>373</v>
      </c>
      <c r="B392" s="110"/>
      <c r="C392" s="72" t="s">
        <v>418</v>
      </c>
      <c r="D392" s="74">
        <v>100</v>
      </c>
      <c r="E392" s="63">
        <v>12540.000000000002</v>
      </c>
      <c r="F392" s="73">
        <f t="shared" si="5"/>
        <v>1254000.0000000002</v>
      </c>
      <c r="G392" s="112"/>
      <c r="H392" s="64"/>
    </row>
    <row r="393" spans="1:8" ht="17.25" x14ac:dyDescent="0.2">
      <c r="A393" s="71">
        <v>374</v>
      </c>
      <c r="B393" s="110"/>
      <c r="C393" s="72" t="s">
        <v>419</v>
      </c>
      <c r="D393" s="74">
        <v>100</v>
      </c>
      <c r="E393" s="63">
        <v>12540.000000000002</v>
      </c>
      <c r="F393" s="73">
        <f t="shared" si="5"/>
        <v>1254000.0000000002</v>
      </c>
      <c r="G393" s="112"/>
      <c r="H393" s="64"/>
    </row>
    <row r="394" spans="1:8" ht="17.25" x14ac:dyDescent="0.2">
      <c r="A394" s="71">
        <v>375</v>
      </c>
      <c r="B394" s="110"/>
      <c r="C394" s="72" t="s">
        <v>420</v>
      </c>
      <c r="D394" s="74">
        <v>100</v>
      </c>
      <c r="E394" s="63">
        <v>12540.000000000002</v>
      </c>
      <c r="F394" s="73">
        <f t="shared" si="5"/>
        <v>1254000.0000000002</v>
      </c>
      <c r="G394" s="112"/>
      <c r="H394" s="64"/>
    </row>
    <row r="395" spans="1:8" ht="17.25" x14ac:dyDescent="0.2">
      <c r="A395" s="71">
        <v>376</v>
      </c>
      <c r="B395" s="110"/>
      <c r="C395" s="72" t="s">
        <v>421</v>
      </c>
      <c r="D395" s="74">
        <v>100</v>
      </c>
      <c r="E395" s="63">
        <v>12540.000000000002</v>
      </c>
      <c r="F395" s="73">
        <f t="shared" si="5"/>
        <v>1254000.0000000002</v>
      </c>
      <c r="G395" s="112"/>
      <c r="H395" s="64"/>
    </row>
    <row r="396" spans="1:8" ht="17.25" x14ac:dyDescent="0.2">
      <c r="A396" s="71">
        <v>377</v>
      </c>
      <c r="B396" s="110"/>
      <c r="C396" s="72" t="s">
        <v>422</v>
      </c>
      <c r="D396" s="74">
        <v>100</v>
      </c>
      <c r="E396" s="63">
        <v>12540.000000000002</v>
      </c>
      <c r="F396" s="73">
        <f t="shared" si="5"/>
        <v>1254000.0000000002</v>
      </c>
      <c r="G396" s="112"/>
      <c r="H396" s="64"/>
    </row>
    <row r="397" spans="1:8" ht="17.25" x14ac:dyDescent="0.2">
      <c r="A397" s="71">
        <v>378</v>
      </c>
      <c r="B397" s="110"/>
      <c r="C397" s="72" t="s">
        <v>423</v>
      </c>
      <c r="D397" s="74">
        <v>200</v>
      </c>
      <c r="E397" s="63">
        <v>13110.000000000002</v>
      </c>
      <c r="F397" s="73">
        <f t="shared" si="5"/>
        <v>2622000.0000000005</v>
      </c>
      <c r="G397" s="112"/>
      <c r="H397" s="64"/>
    </row>
    <row r="398" spans="1:8" ht="17.25" x14ac:dyDescent="0.2">
      <c r="A398" s="71">
        <v>379</v>
      </c>
      <c r="B398" s="110"/>
      <c r="C398" s="72" t="s">
        <v>424</v>
      </c>
      <c r="D398" s="74">
        <v>3000</v>
      </c>
      <c r="E398" s="63">
        <v>2290</v>
      </c>
      <c r="F398" s="73">
        <f t="shared" si="5"/>
        <v>6870000</v>
      </c>
      <c r="G398" s="112"/>
      <c r="H398" s="64"/>
    </row>
    <row r="399" spans="1:8" ht="17.25" x14ac:dyDescent="0.2">
      <c r="A399" s="71">
        <v>380</v>
      </c>
      <c r="B399" s="110"/>
      <c r="C399" s="72" t="s">
        <v>425</v>
      </c>
      <c r="D399" s="74">
        <v>2000</v>
      </c>
      <c r="E399" s="63">
        <v>2400</v>
      </c>
      <c r="F399" s="73">
        <f t="shared" si="5"/>
        <v>4800000</v>
      </c>
      <c r="G399" s="112"/>
      <c r="H399" s="64"/>
    </row>
    <row r="400" spans="1:8" ht="17.25" x14ac:dyDescent="0.2">
      <c r="A400" s="71">
        <v>381</v>
      </c>
      <c r="B400" s="110"/>
      <c r="C400" s="72" t="s">
        <v>426</v>
      </c>
      <c r="D400" s="74">
        <v>2000</v>
      </c>
      <c r="E400" s="63">
        <v>2730</v>
      </c>
      <c r="F400" s="73">
        <f t="shared" si="5"/>
        <v>5460000</v>
      </c>
      <c r="G400" s="112"/>
      <c r="H400" s="64"/>
    </row>
    <row r="401" spans="1:8" ht="17.25" x14ac:dyDescent="0.2">
      <c r="A401" s="71">
        <v>382</v>
      </c>
      <c r="B401" s="111"/>
      <c r="C401" s="72" t="s">
        <v>427</v>
      </c>
      <c r="D401" s="74">
        <v>2000</v>
      </c>
      <c r="E401" s="63">
        <v>2730</v>
      </c>
      <c r="F401" s="73">
        <f t="shared" si="5"/>
        <v>5460000</v>
      </c>
      <c r="G401" s="112"/>
      <c r="H401" s="64"/>
    </row>
    <row r="402" spans="1:8" x14ac:dyDescent="0.2">
      <c r="A402" s="101" t="s">
        <v>22</v>
      </c>
      <c r="B402" s="101"/>
      <c r="C402" s="101"/>
      <c r="D402" s="102">
        <f>SUM(D20:D401)</f>
        <v>88361</v>
      </c>
      <c r="E402" s="104" t="s">
        <v>45</v>
      </c>
      <c r="F402" s="105">
        <f>SUM(F20:F401)</f>
        <v>453052451</v>
      </c>
      <c r="G402" s="106"/>
      <c r="H402" s="28"/>
    </row>
    <row r="403" spans="1:8" x14ac:dyDescent="0.2">
      <c r="A403" s="101"/>
      <c r="B403" s="101"/>
      <c r="C403" s="101"/>
      <c r="D403" s="103"/>
      <c r="E403" s="104"/>
      <c r="F403" s="107"/>
      <c r="G403" s="108"/>
      <c r="H403" s="28"/>
    </row>
    <row r="404" spans="1:8" ht="27" x14ac:dyDescent="0.3">
      <c r="B404" s="29" ph="1"/>
      <c r="C404" s="29" ph="1"/>
      <c r="D404" s="29" ph="1"/>
      <c r="E404" s="29" ph="1"/>
      <c r="F404" s="29" ph="1"/>
      <c r="G404" s="29" ph="1"/>
    </row>
    <row r="405" spans="1:8" ht="27" x14ac:dyDescent="0.3">
      <c r="B405" s="29" ph="1"/>
      <c r="C405" s="29" ph="1"/>
      <c r="D405" s="29" ph="1"/>
      <c r="E405" s="29" ph="1"/>
      <c r="F405" s="29" ph="1"/>
      <c r="G405" s="29" ph="1"/>
    </row>
    <row r="406" spans="1:8" ht="27" x14ac:dyDescent="0.3">
      <c r="B406" s="29" ph="1"/>
      <c r="C406" s="29" ph="1"/>
      <c r="D406" s="29" ph="1"/>
      <c r="E406" s="29" ph="1"/>
      <c r="F406" s="29" ph="1"/>
      <c r="G406" s="29" ph="1"/>
    </row>
    <row r="407" spans="1:8" ht="27" x14ac:dyDescent="0.3">
      <c r="B407" s="29" ph="1"/>
      <c r="C407" s="29" ph="1"/>
      <c r="D407" s="29" ph="1"/>
      <c r="E407" s="29" ph="1"/>
      <c r="F407" s="29" ph="1"/>
      <c r="G407" s="29" ph="1"/>
    </row>
    <row r="408" spans="1:8" ht="27" x14ac:dyDescent="0.3">
      <c r="B408" s="29" ph="1"/>
      <c r="C408" s="29" ph="1"/>
      <c r="D408" s="29" ph="1"/>
      <c r="E408" s="29" ph="1"/>
      <c r="F408" s="29" ph="1"/>
      <c r="G408" s="29" ph="1"/>
    </row>
    <row r="409" spans="1:8" ht="27" x14ac:dyDescent="0.3">
      <c r="B409" s="29" ph="1"/>
      <c r="C409" s="29" ph="1"/>
      <c r="D409" s="29" ph="1"/>
      <c r="E409" s="29" ph="1"/>
      <c r="F409" s="29" ph="1"/>
      <c r="G409" s="29" ph="1"/>
    </row>
    <row r="410" spans="1:8" ht="27" x14ac:dyDescent="0.3">
      <c r="D410" s="29" ph="1"/>
      <c r="E410" s="29" ph="1"/>
    </row>
    <row r="411" spans="1:8" ht="27" x14ac:dyDescent="0.3">
      <c r="D411" s="29" ph="1"/>
    </row>
    <row r="424" spans="2:7" ht="27" x14ac:dyDescent="0.3">
      <c r="B424" s="29" ph="1"/>
      <c r="C424" s="29" ph="1"/>
      <c r="D424" s="29" ph="1"/>
      <c r="E424" s="29" ph="1"/>
      <c r="F424" s="29" ph="1"/>
      <c r="G424" s="29" ph="1"/>
    </row>
    <row r="425" spans="2:7" ht="27" x14ac:dyDescent="0.3">
      <c r="B425" s="29" ph="1"/>
      <c r="C425" s="29" ph="1"/>
      <c r="D425" s="29" ph="1"/>
      <c r="E425" s="29" ph="1"/>
      <c r="F425" s="29" ph="1"/>
      <c r="G425" s="29" ph="1"/>
    </row>
    <row r="426" spans="2:7" ht="27" x14ac:dyDescent="0.3">
      <c r="B426" s="29" ph="1"/>
      <c r="C426" s="29" ph="1"/>
      <c r="D426" s="29" ph="1"/>
      <c r="E426" s="29" ph="1"/>
      <c r="F426" s="29" ph="1"/>
      <c r="G426" s="29" ph="1"/>
    </row>
    <row r="427" spans="2:7" ht="27" x14ac:dyDescent="0.3">
      <c r="B427" s="29" ph="1"/>
      <c r="C427" s="29" ph="1"/>
      <c r="D427" s="29" ph="1"/>
      <c r="E427" s="29" ph="1"/>
      <c r="F427" s="29" ph="1"/>
      <c r="G427" s="29" ph="1"/>
    </row>
    <row r="428" spans="2:7" ht="27" x14ac:dyDescent="0.3">
      <c r="B428" s="29" ph="1"/>
      <c r="C428" s="29" ph="1"/>
      <c r="D428" s="29" ph="1"/>
      <c r="E428" s="29" ph="1"/>
      <c r="F428" s="29" ph="1"/>
      <c r="G428" s="29" ph="1"/>
    </row>
    <row r="429" spans="2:7" ht="27" x14ac:dyDescent="0.3">
      <c r="B429" s="29" ph="1"/>
      <c r="C429" s="29" ph="1"/>
      <c r="D429" s="29" ph="1"/>
      <c r="E429" s="29" ph="1"/>
      <c r="F429" s="29" ph="1"/>
      <c r="G429" s="29" ph="1"/>
    </row>
    <row r="430" spans="2:7" ht="27" x14ac:dyDescent="0.3">
      <c r="D430" s="29" ph="1"/>
      <c r="E430" s="29" ph="1"/>
    </row>
    <row r="431" spans="2:7" ht="27" x14ac:dyDescent="0.3">
      <c r="D431" s="29" ph="1"/>
    </row>
    <row r="444" spans="2:7" ht="27" x14ac:dyDescent="0.3">
      <c r="B444" s="29" ph="1"/>
      <c r="C444" s="29" ph="1"/>
      <c r="D444" s="29" ph="1"/>
      <c r="E444" s="29" ph="1"/>
      <c r="F444" s="29" ph="1"/>
      <c r="G444" s="29" ph="1"/>
    </row>
    <row r="445" spans="2:7" ht="27" x14ac:dyDescent="0.3">
      <c r="B445" s="29" ph="1"/>
      <c r="C445" s="29" ph="1"/>
      <c r="D445" s="29" ph="1"/>
      <c r="E445" s="29" ph="1"/>
      <c r="F445" s="29" ph="1"/>
      <c r="G445" s="29" ph="1"/>
    </row>
    <row r="446" spans="2:7" ht="27" x14ac:dyDescent="0.3">
      <c r="B446" s="29" ph="1"/>
      <c r="C446" s="29" ph="1"/>
      <c r="D446" s="29" ph="1"/>
      <c r="E446" s="29" ph="1"/>
      <c r="F446" s="29" ph="1"/>
      <c r="G446" s="29" ph="1"/>
    </row>
    <row r="447" spans="2:7" ht="27" x14ac:dyDescent="0.3">
      <c r="B447" s="29" ph="1"/>
      <c r="C447" s="29" ph="1"/>
      <c r="D447" s="29" ph="1"/>
      <c r="E447" s="29" ph="1"/>
      <c r="F447" s="29" ph="1"/>
      <c r="G447" s="29" ph="1"/>
    </row>
    <row r="448" spans="2:7" ht="27" x14ac:dyDescent="0.3">
      <c r="B448" s="29" ph="1"/>
      <c r="C448" s="29" ph="1"/>
      <c r="D448" s="29" ph="1"/>
      <c r="E448" s="29" ph="1"/>
      <c r="F448" s="29" ph="1"/>
      <c r="G448" s="29" ph="1"/>
    </row>
    <row r="449" spans="2:7" ht="27" x14ac:dyDescent="0.3">
      <c r="B449" s="29" ph="1"/>
      <c r="C449" s="29" ph="1"/>
      <c r="D449" s="29" ph="1"/>
      <c r="E449" s="29" ph="1"/>
      <c r="F449" s="29" ph="1"/>
      <c r="G449" s="29" ph="1"/>
    </row>
    <row r="450" spans="2:7" ht="27" x14ac:dyDescent="0.3">
      <c r="B450" s="29" ph="1"/>
      <c r="C450" s="29" ph="1"/>
      <c r="D450" s="29" ph="1"/>
      <c r="E450" s="29" ph="1"/>
      <c r="F450" s="29" ph="1"/>
      <c r="G450" s="29" ph="1"/>
    </row>
    <row r="452" spans="2:7" ht="27" x14ac:dyDescent="0.3">
      <c r="B452" s="29" ph="1"/>
      <c r="C452" s="29" ph="1"/>
      <c r="D452" s="29" ph="1"/>
      <c r="E452" s="29" ph="1"/>
      <c r="F452" s="29" ph="1"/>
      <c r="G452" s="29" ph="1"/>
    </row>
    <row r="453" spans="2:7" ht="27" x14ac:dyDescent="0.3">
      <c r="B453" s="29" ph="1"/>
      <c r="C453" s="29" ph="1"/>
      <c r="D453" s="29" ph="1"/>
      <c r="E453" s="29" ph="1"/>
      <c r="F453" s="29" ph="1"/>
      <c r="G453" s="29" ph="1"/>
    </row>
    <row r="454" spans="2:7" ht="27" x14ac:dyDescent="0.3">
      <c r="B454" s="29" ph="1"/>
      <c r="C454" s="29" ph="1"/>
      <c r="D454" s="29" ph="1"/>
      <c r="E454" s="29" ph="1"/>
      <c r="F454" s="29" ph="1"/>
      <c r="G454" s="29" ph="1"/>
    </row>
    <row r="455" spans="2:7" ht="27" x14ac:dyDescent="0.3">
      <c r="B455" s="29" ph="1"/>
      <c r="C455" s="29" ph="1"/>
      <c r="D455" s="29" ph="1"/>
      <c r="E455" s="29" ph="1"/>
      <c r="F455" s="29" ph="1"/>
      <c r="G455" s="29" ph="1"/>
    </row>
    <row r="456" spans="2:7" ht="27" x14ac:dyDescent="0.3">
      <c r="B456" s="29" ph="1"/>
      <c r="C456" s="29" ph="1"/>
      <c r="D456" s="29" ph="1"/>
      <c r="E456" s="29" ph="1"/>
      <c r="F456" s="29" ph="1"/>
      <c r="G456" s="29" ph="1"/>
    </row>
    <row r="457" spans="2:7" ht="27" x14ac:dyDescent="0.3">
      <c r="B457" s="29" ph="1"/>
      <c r="C457" s="29" ph="1"/>
      <c r="D457" s="29" ph="1"/>
      <c r="E457" s="29" ph="1"/>
      <c r="F457" s="29" ph="1"/>
      <c r="G457" s="29" ph="1"/>
    </row>
    <row r="458" spans="2:7" ht="27" x14ac:dyDescent="0.3">
      <c r="B458" s="29" ph="1"/>
      <c r="C458" s="29" ph="1"/>
      <c r="D458" s="29" ph="1"/>
      <c r="E458" s="29" ph="1"/>
      <c r="F458" s="29" ph="1"/>
      <c r="G458" s="29" ph="1"/>
    </row>
    <row r="459" spans="2:7" ht="27" x14ac:dyDescent="0.3">
      <c r="B459" s="29" ph="1"/>
      <c r="C459" s="29" ph="1"/>
      <c r="D459" s="29" ph="1"/>
      <c r="E459" s="29" ph="1"/>
      <c r="F459" s="29" ph="1"/>
      <c r="G459" s="29" ph="1"/>
    </row>
    <row r="460" spans="2:7" ht="27" x14ac:dyDescent="0.3">
      <c r="B460" s="29" ph="1"/>
      <c r="C460" s="29" ph="1"/>
      <c r="D460" s="29" ph="1"/>
      <c r="E460" s="29" ph="1"/>
      <c r="F460" s="29" ph="1"/>
      <c r="G460" s="29" ph="1"/>
    </row>
    <row r="461" spans="2:7" ht="27" x14ac:dyDescent="0.3">
      <c r="D461" s="29" ph="1"/>
      <c r="E461" s="29" ph="1"/>
    </row>
    <row r="462" spans="2:7" ht="27" x14ac:dyDescent="0.3">
      <c r="D462" s="29" ph="1"/>
    </row>
    <row r="475" spans="2:7" ht="27" x14ac:dyDescent="0.3">
      <c r="B475" s="29" ph="1"/>
      <c r="C475" s="29" ph="1"/>
      <c r="D475" s="29" ph="1"/>
      <c r="E475" s="29" ph="1"/>
      <c r="F475" s="29" ph="1"/>
      <c r="G475" s="29" ph="1"/>
    </row>
    <row r="476" spans="2:7" ht="27" x14ac:dyDescent="0.3">
      <c r="B476" s="29" ph="1"/>
      <c r="C476" s="29" ph="1"/>
      <c r="D476" s="29" ph="1"/>
      <c r="E476" s="29" ph="1"/>
      <c r="F476" s="29" ph="1"/>
      <c r="G476" s="29" ph="1"/>
    </row>
    <row r="477" spans="2:7" ht="27" x14ac:dyDescent="0.3">
      <c r="B477" s="29" ph="1"/>
      <c r="C477" s="29" ph="1"/>
      <c r="D477" s="29" ph="1"/>
      <c r="E477" s="29" ph="1"/>
      <c r="F477" s="29" ph="1"/>
      <c r="G477" s="29" ph="1"/>
    </row>
    <row r="478" spans="2:7" ht="27" x14ac:dyDescent="0.3">
      <c r="B478" s="29" ph="1"/>
      <c r="C478" s="29" ph="1"/>
      <c r="D478" s="29" ph="1"/>
      <c r="E478" s="29" ph="1"/>
      <c r="F478" s="29" ph="1"/>
      <c r="G478" s="29" ph="1"/>
    </row>
    <row r="479" spans="2:7" ht="27" x14ac:dyDescent="0.3">
      <c r="B479" s="29" ph="1"/>
      <c r="C479" s="29" ph="1"/>
      <c r="D479" s="29" ph="1"/>
      <c r="E479" s="29" ph="1"/>
      <c r="F479" s="29" ph="1"/>
      <c r="G479" s="29" ph="1"/>
    </row>
    <row r="480" spans="2:7" ht="27" x14ac:dyDescent="0.3">
      <c r="B480" s="29" ph="1"/>
      <c r="C480" s="29" ph="1"/>
      <c r="D480" s="29" ph="1"/>
      <c r="E480" s="29" ph="1"/>
      <c r="F480" s="29" ph="1"/>
      <c r="G480" s="29" ph="1"/>
    </row>
    <row r="481" spans="2:7" ht="27" x14ac:dyDescent="0.3">
      <c r="B481" s="29" ph="1"/>
      <c r="C481" s="29" ph="1"/>
      <c r="D481" s="29" ph="1"/>
      <c r="E481" s="29" ph="1"/>
      <c r="F481" s="29" ph="1"/>
      <c r="G481" s="29" ph="1"/>
    </row>
    <row r="483" spans="2:7" ht="27" x14ac:dyDescent="0.3">
      <c r="B483" s="29" ph="1"/>
      <c r="C483" s="29" ph="1"/>
      <c r="D483" s="29" ph="1"/>
      <c r="E483" s="29" ph="1"/>
      <c r="F483" s="29" ph="1"/>
      <c r="G483" s="29" ph="1"/>
    </row>
    <row r="484" spans="2:7" ht="27" x14ac:dyDescent="0.3">
      <c r="B484" s="29" ph="1"/>
      <c r="C484" s="29" ph="1"/>
      <c r="D484" s="29" ph="1"/>
      <c r="E484" s="29" ph="1"/>
      <c r="F484" s="29" ph="1"/>
      <c r="G484" s="29" ph="1"/>
    </row>
    <row r="485" spans="2:7" ht="27" x14ac:dyDescent="0.3">
      <c r="B485" s="29" ph="1"/>
      <c r="C485" s="29" ph="1"/>
      <c r="D485" s="29" ph="1"/>
      <c r="E485" s="29" ph="1"/>
      <c r="F485" s="29" ph="1"/>
      <c r="G485" s="29" ph="1"/>
    </row>
    <row r="486" spans="2:7" ht="27" x14ac:dyDescent="0.3">
      <c r="B486" s="29" ph="1"/>
      <c r="C486" s="29" ph="1"/>
      <c r="D486" s="29" ph="1"/>
      <c r="E486" s="29" ph="1"/>
      <c r="F486" s="29" ph="1"/>
      <c r="G486" s="29" ph="1"/>
    </row>
    <row r="487" spans="2:7" ht="27" x14ac:dyDescent="0.3">
      <c r="B487" s="29" ph="1"/>
      <c r="C487" s="29" ph="1"/>
      <c r="D487" s="29" ph="1"/>
      <c r="E487" s="29" ph="1"/>
      <c r="F487" s="29" ph="1"/>
      <c r="G487" s="29" ph="1"/>
    </row>
    <row r="488" spans="2:7" ht="27" x14ac:dyDescent="0.3">
      <c r="B488" s="29" ph="1"/>
      <c r="C488" s="29" ph="1"/>
      <c r="D488" s="29" ph="1"/>
      <c r="E488" s="29" ph="1"/>
      <c r="F488" s="29" ph="1"/>
      <c r="G488" s="29" ph="1"/>
    </row>
    <row r="489" spans="2:7" ht="27" x14ac:dyDescent="0.3">
      <c r="B489" s="29" ph="1"/>
      <c r="C489" s="29" ph="1"/>
      <c r="D489" s="29" ph="1"/>
      <c r="E489" s="29" ph="1"/>
      <c r="F489" s="29" ph="1"/>
      <c r="G489" s="29" ph="1"/>
    </row>
    <row r="490" spans="2:7" ht="27" x14ac:dyDescent="0.3">
      <c r="B490" s="29" ph="1"/>
      <c r="C490" s="29" ph="1"/>
      <c r="D490" s="29" ph="1"/>
      <c r="E490" s="29" ph="1"/>
      <c r="F490" s="29" ph="1"/>
      <c r="G490" s="29" ph="1"/>
    </row>
    <row r="491" spans="2:7" ht="27" x14ac:dyDescent="0.3">
      <c r="B491" s="29" ph="1"/>
      <c r="C491" s="29" ph="1"/>
      <c r="D491" s="29" ph="1"/>
      <c r="E491" s="29" ph="1"/>
      <c r="F491" s="29" ph="1"/>
      <c r="G491" s="29" ph="1"/>
    </row>
    <row r="492" spans="2:7" ht="27" x14ac:dyDescent="0.3">
      <c r="B492" s="29" ph="1"/>
      <c r="C492" s="29" ph="1"/>
      <c r="D492" s="29" ph="1"/>
      <c r="E492" s="29" ph="1"/>
      <c r="F492" s="29" ph="1"/>
      <c r="G492" s="29" ph="1"/>
    </row>
    <row r="493" spans="2:7" ht="27" x14ac:dyDescent="0.3">
      <c r="B493" s="29" ph="1"/>
      <c r="C493" s="29" ph="1"/>
      <c r="D493" s="29" ph="1"/>
      <c r="E493" s="29" ph="1"/>
      <c r="F493" s="29" ph="1"/>
      <c r="G493" s="29" ph="1"/>
    </row>
    <row r="494" spans="2:7" ht="27" x14ac:dyDescent="0.3">
      <c r="D494" s="29" ph="1"/>
      <c r="E494" s="29" ph="1"/>
    </row>
    <row r="495" spans="2:7" ht="27" x14ac:dyDescent="0.3">
      <c r="D495" s="29" ph="1"/>
    </row>
    <row r="508" spans="2:7" ht="27" x14ac:dyDescent="0.3">
      <c r="B508" s="29" ph="1"/>
      <c r="C508" s="29" ph="1"/>
      <c r="D508" s="29" ph="1"/>
      <c r="E508" s="29" ph="1"/>
      <c r="F508" s="29" ph="1"/>
      <c r="G508" s="29" ph="1"/>
    </row>
    <row r="509" spans="2:7" ht="27" x14ac:dyDescent="0.3">
      <c r="B509" s="29" ph="1"/>
      <c r="C509" s="29" ph="1"/>
      <c r="D509" s="29" ph="1"/>
      <c r="E509" s="29" ph="1"/>
      <c r="F509" s="29" ph="1"/>
      <c r="G509" s="29" ph="1"/>
    </row>
    <row r="510" spans="2:7" ht="27" x14ac:dyDescent="0.3">
      <c r="B510" s="29" ph="1"/>
      <c r="C510" s="29" ph="1"/>
      <c r="D510" s="29" ph="1"/>
      <c r="E510" s="29" ph="1"/>
      <c r="F510" s="29" ph="1"/>
      <c r="G510" s="29" ph="1"/>
    </row>
    <row r="511" spans="2:7" ht="27" x14ac:dyDescent="0.3">
      <c r="B511" s="29" ph="1"/>
      <c r="C511" s="29" ph="1"/>
      <c r="D511" s="29" ph="1"/>
      <c r="E511" s="29" ph="1"/>
      <c r="F511" s="29" ph="1"/>
      <c r="G511" s="29" ph="1"/>
    </row>
    <row r="512" spans="2:7" ht="27" x14ac:dyDescent="0.3">
      <c r="B512" s="29" ph="1"/>
      <c r="C512" s="29" ph="1"/>
      <c r="D512" s="29" ph="1"/>
      <c r="E512" s="29" ph="1"/>
      <c r="F512" s="29" ph="1"/>
      <c r="G512" s="29" ph="1"/>
    </row>
    <row r="513" spans="2:7" ht="27" x14ac:dyDescent="0.3">
      <c r="B513" s="29" ph="1"/>
      <c r="C513" s="29" ph="1"/>
      <c r="D513" s="29" ph="1"/>
      <c r="E513" s="29" ph="1"/>
      <c r="F513" s="29" ph="1"/>
      <c r="G513" s="29" ph="1"/>
    </row>
    <row r="514" spans="2:7" ht="27" x14ac:dyDescent="0.3">
      <c r="B514" s="29" ph="1"/>
      <c r="C514" s="29" ph="1"/>
      <c r="D514" s="29" ph="1"/>
      <c r="E514" s="29" ph="1"/>
      <c r="F514" s="29" ph="1"/>
      <c r="G514" s="29" ph="1"/>
    </row>
    <row r="516" spans="2:7" ht="27" x14ac:dyDescent="0.3">
      <c r="B516" s="29" ph="1"/>
      <c r="C516" s="29" ph="1"/>
      <c r="D516" s="29" ph="1"/>
      <c r="E516" s="29" ph="1"/>
      <c r="F516" s="29" ph="1"/>
      <c r="G516" s="29" ph="1"/>
    </row>
    <row r="517" spans="2:7" ht="27" x14ac:dyDescent="0.3">
      <c r="B517" s="29" ph="1"/>
      <c r="C517" s="29" ph="1"/>
      <c r="D517" s="29" ph="1"/>
      <c r="E517" s="29" ph="1"/>
      <c r="F517" s="29" ph="1"/>
      <c r="G517" s="29" ph="1"/>
    </row>
    <row r="518" spans="2:7" ht="27" x14ac:dyDescent="0.3">
      <c r="B518" s="29" ph="1"/>
      <c r="C518" s="29" ph="1"/>
      <c r="D518" s="29" ph="1"/>
      <c r="E518" s="29" ph="1"/>
      <c r="F518" s="29" ph="1"/>
      <c r="G518" s="29" ph="1"/>
    </row>
    <row r="519" spans="2:7" ht="27" x14ac:dyDescent="0.3">
      <c r="B519" s="29" ph="1"/>
      <c r="C519" s="29" ph="1"/>
      <c r="D519" s="29" ph="1"/>
      <c r="E519" s="29" ph="1"/>
      <c r="F519" s="29" ph="1"/>
      <c r="G519" s="29" ph="1"/>
    </row>
    <row r="520" spans="2:7" ht="27" x14ac:dyDescent="0.3">
      <c r="B520" s="29" ph="1"/>
      <c r="C520" s="29" ph="1"/>
      <c r="D520" s="29" ph="1"/>
      <c r="E520" s="29" ph="1"/>
      <c r="F520" s="29" ph="1"/>
      <c r="G520" s="29" ph="1"/>
    </row>
    <row r="521" spans="2:7" ht="27" x14ac:dyDescent="0.3">
      <c r="B521" s="29" ph="1"/>
      <c r="C521" s="29" ph="1"/>
      <c r="D521" s="29" ph="1"/>
      <c r="E521" s="29" ph="1"/>
      <c r="F521" s="29" ph="1"/>
      <c r="G521" s="29" ph="1"/>
    </row>
    <row r="522" spans="2:7" ht="27" x14ac:dyDescent="0.3">
      <c r="B522" s="29" ph="1"/>
      <c r="C522" s="29" ph="1"/>
      <c r="D522" s="29" ph="1"/>
      <c r="E522" s="29" ph="1"/>
      <c r="F522" s="29" ph="1"/>
      <c r="G522" s="29" ph="1"/>
    </row>
    <row r="523" spans="2:7" ht="27" x14ac:dyDescent="0.3">
      <c r="B523" s="29" ph="1"/>
      <c r="C523" s="29" ph="1"/>
      <c r="D523" s="29" ph="1"/>
      <c r="E523" s="29" ph="1"/>
      <c r="F523" s="29" ph="1"/>
      <c r="G523" s="29" ph="1"/>
    </row>
    <row r="524" spans="2:7" ht="27" x14ac:dyDescent="0.3">
      <c r="B524" s="29" ph="1"/>
      <c r="C524" s="29" ph="1"/>
      <c r="D524" s="29" ph="1"/>
      <c r="E524" s="29" ph="1"/>
      <c r="F524" s="29" ph="1"/>
      <c r="G524" s="29" ph="1"/>
    </row>
    <row r="525" spans="2:7" ht="27" x14ac:dyDescent="0.3">
      <c r="B525" s="29" ph="1"/>
      <c r="C525" s="29" ph="1"/>
      <c r="D525" s="29" ph="1"/>
      <c r="E525" s="29" ph="1"/>
      <c r="F525" s="29" ph="1"/>
      <c r="G525" s="29" ph="1"/>
    </row>
    <row r="526" spans="2:7" ht="27" x14ac:dyDescent="0.3">
      <c r="B526" s="29" ph="1"/>
      <c r="C526" s="29" ph="1"/>
      <c r="D526" s="29" ph="1"/>
      <c r="E526" s="29" ph="1"/>
      <c r="F526" s="29" ph="1"/>
      <c r="G526" s="29" ph="1"/>
    </row>
    <row r="527" spans="2:7" ht="27" x14ac:dyDescent="0.3">
      <c r="B527" s="29" ph="1"/>
      <c r="C527" s="29" ph="1"/>
      <c r="D527" s="29" ph="1"/>
      <c r="E527" s="29" ph="1"/>
      <c r="F527" s="29" ph="1"/>
      <c r="G527" s="29" ph="1"/>
    </row>
    <row r="528" spans="2:7" ht="27" x14ac:dyDescent="0.3">
      <c r="B528" s="29" ph="1"/>
      <c r="C528" s="29" ph="1"/>
      <c r="D528" s="29" ph="1"/>
      <c r="E528" s="29" ph="1"/>
      <c r="F528" s="29" ph="1"/>
      <c r="G528" s="29" ph="1"/>
    </row>
    <row r="529" spans="2:7" ht="27" x14ac:dyDescent="0.3">
      <c r="B529" s="29" ph="1"/>
      <c r="C529" s="29" ph="1"/>
      <c r="D529" s="29" ph="1"/>
      <c r="E529" s="29" ph="1"/>
      <c r="F529" s="29" ph="1"/>
      <c r="G529" s="29" ph="1"/>
    </row>
    <row r="530" spans="2:7" ht="27" x14ac:dyDescent="0.3">
      <c r="B530" s="29" ph="1"/>
      <c r="C530" s="29" ph="1"/>
      <c r="D530" s="29" ph="1"/>
      <c r="E530" s="29" ph="1"/>
      <c r="F530" s="29" ph="1"/>
      <c r="G530" s="29" ph="1"/>
    </row>
    <row r="531" spans="2:7" ht="27" x14ac:dyDescent="0.3">
      <c r="B531" s="29" ph="1"/>
      <c r="C531" s="29" ph="1"/>
      <c r="D531" s="29" ph="1"/>
      <c r="E531" s="29" ph="1"/>
      <c r="F531" s="29" ph="1"/>
      <c r="G531" s="29" ph="1"/>
    </row>
    <row r="532" spans="2:7" ht="27" x14ac:dyDescent="0.3">
      <c r="B532" s="29" ph="1"/>
      <c r="C532" s="29" ph="1"/>
      <c r="D532" s="29" ph="1"/>
      <c r="E532" s="29" ph="1"/>
      <c r="F532" s="29" ph="1"/>
      <c r="G532" s="29" ph="1"/>
    </row>
    <row r="533" spans="2:7" ht="27" x14ac:dyDescent="0.3">
      <c r="B533" s="29" ph="1"/>
      <c r="C533" s="29" ph="1"/>
      <c r="D533" s="29" ph="1"/>
      <c r="E533" s="29" ph="1"/>
      <c r="F533" s="29" ph="1"/>
      <c r="G533" s="29" ph="1"/>
    </row>
    <row r="534" spans="2:7" ht="27" x14ac:dyDescent="0.3">
      <c r="B534" s="29" ph="1"/>
      <c r="C534" s="29" ph="1"/>
      <c r="D534" s="29" ph="1"/>
      <c r="E534" s="29" ph="1"/>
      <c r="F534" s="29" ph="1"/>
      <c r="G534" s="29" ph="1"/>
    </row>
    <row r="535" spans="2:7" ht="27" x14ac:dyDescent="0.3">
      <c r="B535" s="29" ph="1"/>
      <c r="C535" s="29" ph="1"/>
      <c r="D535" s="29" ph="1"/>
      <c r="E535" s="29" ph="1"/>
      <c r="F535" s="29" ph="1"/>
      <c r="G535" s="29" ph="1"/>
    </row>
    <row r="536" spans="2:7" ht="27" x14ac:dyDescent="0.3">
      <c r="B536" s="29" ph="1"/>
      <c r="C536" s="29" ph="1"/>
      <c r="D536" s="29" ph="1"/>
      <c r="E536" s="29" ph="1"/>
      <c r="F536" s="29" ph="1"/>
      <c r="G536" s="29" ph="1"/>
    </row>
    <row r="538" spans="2:7" ht="27" x14ac:dyDescent="0.3">
      <c r="B538" s="29" ph="1"/>
      <c r="C538" s="29" ph="1"/>
      <c r="D538" s="29" ph="1"/>
      <c r="E538" s="29" ph="1"/>
      <c r="F538" s="29" ph="1"/>
      <c r="G538" s="29" ph="1"/>
    </row>
    <row r="539" spans="2:7" ht="27" x14ac:dyDescent="0.3">
      <c r="B539" s="29" ph="1"/>
      <c r="C539" s="29" ph="1"/>
      <c r="D539" s="29" ph="1"/>
      <c r="E539" s="29" ph="1"/>
      <c r="F539" s="29" ph="1"/>
      <c r="G539" s="29" ph="1"/>
    </row>
    <row r="540" spans="2:7" ht="27" x14ac:dyDescent="0.3">
      <c r="B540" s="29" ph="1"/>
      <c r="C540" s="29" ph="1"/>
      <c r="D540" s="29" ph="1"/>
      <c r="E540" s="29" ph="1"/>
      <c r="F540" s="29" ph="1"/>
      <c r="G540" s="29" ph="1"/>
    </row>
    <row r="541" spans="2:7" ht="27" x14ac:dyDescent="0.3">
      <c r="B541" s="29" ph="1"/>
      <c r="C541" s="29" ph="1"/>
      <c r="D541" s="29" ph="1"/>
      <c r="E541" s="29" ph="1"/>
      <c r="F541" s="29" ph="1"/>
      <c r="G541" s="29" ph="1"/>
    </row>
    <row r="542" spans="2:7" ht="27" x14ac:dyDescent="0.3">
      <c r="B542" s="29" ph="1"/>
      <c r="C542" s="29" ph="1"/>
      <c r="D542" s="29" ph="1"/>
      <c r="E542" s="29" ph="1"/>
      <c r="F542" s="29" ph="1"/>
      <c r="G542" s="29" ph="1"/>
    </row>
    <row r="543" spans="2:7" ht="27" x14ac:dyDescent="0.3">
      <c r="B543" s="29" ph="1"/>
      <c r="C543" s="29" ph="1"/>
      <c r="D543" s="29" ph="1"/>
      <c r="E543" s="29" ph="1"/>
      <c r="F543" s="29" ph="1"/>
      <c r="G543" s="29" ph="1"/>
    </row>
    <row r="544" spans="2:7" ht="27" x14ac:dyDescent="0.3">
      <c r="B544" s="29" ph="1"/>
      <c r="C544" s="29" ph="1"/>
      <c r="D544" s="29" ph="1"/>
      <c r="E544" s="29" ph="1"/>
      <c r="F544" s="29" ph="1"/>
      <c r="G544" s="29" ph="1"/>
    </row>
    <row r="545" spans="2:7" ht="27" x14ac:dyDescent="0.3">
      <c r="B545" s="29" ph="1"/>
      <c r="C545" s="29" ph="1"/>
      <c r="D545" s="29" ph="1"/>
      <c r="E545" s="29" ph="1"/>
      <c r="F545" s="29" ph="1"/>
      <c r="G545" s="29" ph="1"/>
    </row>
    <row r="546" spans="2:7" ht="27" x14ac:dyDescent="0.3">
      <c r="B546" s="29" ph="1"/>
      <c r="C546" s="29" ph="1"/>
      <c r="D546" s="29" ph="1"/>
      <c r="E546" s="29" ph="1"/>
      <c r="F546" s="29" ph="1"/>
      <c r="G546" s="29" ph="1"/>
    </row>
    <row r="547" spans="2:7" ht="27" x14ac:dyDescent="0.3">
      <c r="B547" s="29" ph="1"/>
      <c r="C547" s="29" ph="1"/>
      <c r="D547" s="29" ph="1"/>
      <c r="E547" s="29" ph="1"/>
      <c r="F547" s="29" ph="1"/>
      <c r="G547" s="29" ph="1"/>
    </row>
    <row r="548" spans="2:7" ht="27" x14ac:dyDescent="0.3">
      <c r="B548" s="29" ph="1"/>
      <c r="C548" s="29" ph="1"/>
      <c r="D548" s="29" ph="1"/>
      <c r="E548" s="29" ph="1"/>
      <c r="F548" s="29" ph="1"/>
      <c r="G548" s="29" ph="1"/>
    </row>
    <row r="549" spans="2:7" ht="27" x14ac:dyDescent="0.3">
      <c r="B549" s="29" ph="1"/>
      <c r="C549" s="29" ph="1"/>
      <c r="D549" s="29" ph="1"/>
      <c r="E549" s="29" ph="1"/>
      <c r="F549" s="29" ph="1"/>
      <c r="G549" s="29" ph="1"/>
    </row>
    <row r="550" spans="2:7" ht="27" x14ac:dyDescent="0.3">
      <c r="B550" s="29" ph="1"/>
      <c r="C550" s="29" ph="1"/>
      <c r="D550" s="29" ph="1"/>
      <c r="E550" s="29" ph="1"/>
      <c r="F550" s="29" ph="1"/>
      <c r="G550" s="29" ph="1"/>
    </row>
    <row r="551" spans="2:7" ht="27" x14ac:dyDescent="0.3">
      <c r="B551" s="29" ph="1"/>
      <c r="C551" s="29" ph="1"/>
      <c r="D551" s="29" ph="1"/>
      <c r="E551" s="29" ph="1"/>
      <c r="F551" s="29" ph="1"/>
      <c r="G551" s="29" ph="1"/>
    </row>
    <row r="552" spans="2:7" ht="27" x14ac:dyDescent="0.3">
      <c r="B552" s="29" ph="1"/>
      <c r="C552" s="29" ph="1"/>
      <c r="D552" s="29" ph="1"/>
      <c r="E552" s="29" ph="1"/>
      <c r="F552" s="29" ph="1"/>
      <c r="G552" s="29" ph="1"/>
    </row>
    <row r="553" spans="2:7" ht="27" x14ac:dyDescent="0.3">
      <c r="B553" s="29" ph="1"/>
      <c r="C553" s="29" ph="1"/>
      <c r="D553" s="29" ph="1"/>
      <c r="E553" s="29" ph="1"/>
      <c r="F553" s="29" ph="1"/>
      <c r="G553" s="29" ph="1"/>
    </row>
    <row r="554" spans="2:7" ht="27" x14ac:dyDescent="0.3">
      <c r="B554" s="29" ph="1"/>
      <c r="C554" s="29" ph="1"/>
      <c r="D554" s="29" ph="1"/>
      <c r="E554" s="29" ph="1"/>
      <c r="F554" s="29" ph="1"/>
      <c r="G554" s="29" ph="1"/>
    </row>
    <row r="555" spans="2:7" ht="27" x14ac:dyDescent="0.3">
      <c r="B555" s="29" ph="1"/>
      <c r="C555" s="29" ph="1"/>
      <c r="D555" s="29" ph="1"/>
      <c r="E555" s="29" ph="1"/>
      <c r="F555" s="29" ph="1"/>
      <c r="G555" s="29" ph="1"/>
    </row>
    <row r="556" spans="2:7" ht="27" x14ac:dyDescent="0.3">
      <c r="B556" s="29" ph="1"/>
      <c r="C556" s="29" ph="1"/>
      <c r="D556" s="29" ph="1"/>
      <c r="E556" s="29" ph="1"/>
      <c r="F556" s="29" ph="1"/>
      <c r="G556" s="29" ph="1"/>
    </row>
    <row r="557" spans="2:7" ht="27" x14ac:dyDescent="0.3">
      <c r="B557" s="29" ph="1"/>
      <c r="C557" s="29" ph="1"/>
      <c r="D557" s="29" ph="1"/>
      <c r="E557" s="29" ph="1"/>
      <c r="F557" s="29" ph="1"/>
      <c r="G557" s="29" ph="1"/>
    </row>
    <row r="558" spans="2:7" ht="27" x14ac:dyDescent="0.3">
      <c r="B558" s="29" ph="1"/>
      <c r="C558" s="29" ph="1"/>
      <c r="D558" s="29" ph="1"/>
      <c r="E558" s="29" ph="1"/>
      <c r="F558" s="29" ph="1"/>
      <c r="G558" s="29" ph="1"/>
    </row>
    <row r="559" spans="2:7" ht="27" x14ac:dyDescent="0.3">
      <c r="B559" s="29" ph="1"/>
      <c r="C559" s="29" ph="1"/>
      <c r="D559" s="29" ph="1"/>
      <c r="E559" s="29" ph="1"/>
      <c r="F559" s="29" ph="1"/>
      <c r="G559" s="29" ph="1"/>
    </row>
    <row r="560" spans="2:7" ht="27" x14ac:dyDescent="0.3">
      <c r="B560" s="29" ph="1"/>
      <c r="C560" s="29" ph="1"/>
      <c r="D560" s="29" ph="1"/>
      <c r="E560" s="29" ph="1"/>
      <c r="F560" s="29" ph="1"/>
      <c r="G560" s="29" ph="1"/>
    </row>
    <row r="561" spans="2:7" ht="27" x14ac:dyDescent="0.3">
      <c r="B561" s="29" ph="1"/>
      <c r="C561" s="29" ph="1"/>
      <c r="D561" s="29" ph="1"/>
      <c r="E561" s="29" ph="1"/>
      <c r="F561" s="29" ph="1"/>
      <c r="G561" s="29" ph="1"/>
    </row>
    <row r="562" spans="2:7" ht="27" x14ac:dyDescent="0.3">
      <c r="B562" s="29" ph="1"/>
      <c r="C562" s="29" ph="1"/>
      <c r="D562" s="29" ph="1"/>
      <c r="E562" s="29" ph="1"/>
      <c r="F562" s="29" ph="1"/>
      <c r="G562" s="29" ph="1"/>
    </row>
    <row r="563" spans="2:7" ht="27" x14ac:dyDescent="0.3">
      <c r="B563" s="29" ph="1"/>
      <c r="C563" s="29" ph="1"/>
      <c r="D563" s="29" ph="1"/>
      <c r="E563" s="29" ph="1"/>
      <c r="F563" s="29" ph="1"/>
      <c r="G563" s="29" ph="1"/>
    </row>
    <row r="564" spans="2:7" ht="27" x14ac:dyDescent="0.3">
      <c r="B564" s="29" ph="1"/>
      <c r="C564" s="29" ph="1"/>
      <c r="D564" s="29" ph="1"/>
      <c r="E564" s="29" ph="1"/>
      <c r="F564" s="29" ph="1"/>
      <c r="G564" s="29" ph="1"/>
    </row>
    <row r="565" spans="2:7" ht="27" x14ac:dyDescent="0.3">
      <c r="B565" s="29" ph="1"/>
      <c r="C565" s="29" ph="1"/>
      <c r="D565" s="29" ph="1"/>
      <c r="E565" s="29" ph="1"/>
      <c r="F565" s="29" ph="1"/>
      <c r="G565" s="29" ph="1"/>
    </row>
    <row r="566" spans="2:7" ht="27" x14ac:dyDescent="0.3">
      <c r="B566" s="29" ph="1"/>
      <c r="C566" s="29" ph="1"/>
      <c r="D566" s="29" ph="1"/>
      <c r="E566" s="29" ph="1"/>
      <c r="F566" s="29" ph="1"/>
      <c r="G566" s="29" ph="1"/>
    </row>
    <row r="567" spans="2:7" ht="27" x14ac:dyDescent="0.3">
      <c r="B567" s="29" ph="1"/>
      <c r="C567" s="29" ph="1"/>
      <c r="D567" s="29" ph="1"/>
      <c r="E567" s="29" ph="1"/>
      <c r="F567" s="29" ph="1"/>
      <c r="G567" s="29" ph="1"/>
    </row>
    <row r="568" spans="2:7" ht="27" x14ac:dyDescent="0.3">
      <c r="B568" s="29" ph="1"/>
      <c r="C568" s="29" ph="1"/>
      <c r="D568" s="29" ph="1"/>
      <c r="E568" s="29" ph="1"/>
      <c r="F568" s="29" ph="1"/>
      <c r="G568" s="29" ph="1"/>
    </row>
    <row r="569" spans="2:7" ht="27" x14ac:dyDescent="0.3">
      <c r="B569" s="29" ph="1"/>
      <c r="C569" s="29" ph="1"/>
      <c r="D569" s="29" ph="1"/>
      <c r="E569" s="29" ph="1"/>
      <c r="F569" s="29" ph="1"/>
      <c r="G569" s="29" ph="1"/>
    </row>
    <row r="570" spans="2:7" ht="27" x14ac:dyDescent="0.3">
      <c r="B570" s="29" ph="1"/>
      <c r="C570" s="29" ph="1"/>
      <c r="D570" s="29" ph="1"/>
      <c r="E570" s="29" ph="1"/>
      <c r="F570" s="29" ph="1"/>
      <c r="G570" s="29" ph="1"/>
    </row>
    <row r="571" spans="2:7" ht="27" x14ac:dyDescent="0.3">
      <c r="B571" s="29" ph="1"/>
      <c r="C571" s="29" ph="1"/>
      <c r="D571" s="29" ph="1"/>
      <c r="E571" s="29" ph="1"/>
      <c r="F571" s="29" ph="1"/>
      <c r="G571" s="29" ph="1"/>
    </row>
    <row r="572" spans="2:7" ht="27" x14ac:dyDescent="0.3">
      <c r="B572" s="29" ph="1"/>
      <c r="C572" s="29" ph="1"/>
      <c r="D572" s="29" ph="1"/>
      <c r="E572" s="29" ph="1"/>
      <c r="F572" s="29" ph="1"/>
      <c r="G572" s="29" ph="1"/>
    </row>
    <row r="573" spans="2:7" ht="27" x14ac:dyDescent="0.3">
      <c r="B573" s="29" ph="1"/>
      <c r="C573" s="29" ph="1"/>
      <c r="D573" s="29" ph="1"/>
      <c r="E573" s="29" ph="1"/>
      <c r="F573" s="29" ph="1"/>
      <c r="G573" s="29" ph="1"/>
    </row>
    <row r="574" spans="2:7" ht="27" x14ac:dyDescent="0.3">
      <c r="B574" s="29" ph="1"/>
      <c r="C574" s="29" ph="1"/>
      <c r="D574" s="29" ph="1"/>
      <c r="E574" s="29" ph="1"/>
      <c r="F574" s="29" ph="1"/>
      <c r="G574" s="29" ph="1"/>
    </row>
    <row r="575" spans="2:7" ht="27" x14ac:dyDescent="0.3">
      <c r="B575" s="29" ph="1"/>
      <c r="C575" s="29" ph="1"/>
      <c r="D575" s="29" ph="1"/>
      <c r="E575" s="29" ph="1"/>
      <c r="F575" s="29" ph="1"/>
      <c r="G575" s="29" ph="1"/>
    </row>
    <row r="576" spans="2:7" ht="27" x14ac:dyDescent="0.3">
      <c r="B576" s="29" ph="1"/>
      <c r="C576" s="29" ph="1"/>
      <c r="D576" s="29" ph="1"/>
      <c r="E576" s="29" ph="1"/>
      <c r="F576" s="29" ph="1"/>
      <c r="G576" s="29" ph="1"/>
    </row>
    <row r="577" spans="2:7" ht="27" x14ac:dyDescent="0.3">
      <c r="B577" s="29" ph="1"/>
      <c r="C577" s="29" ph="1"/>
      <c r="D577" s="29" ph="1"/>
      <c r="E577" s="29" ph="1"/>
      <c r="F577" s="29" ph="1"/>
      <c r="G577" s="29" ph="1"/>
    </row>
    <row r="578" spans="2:7" ht="27" x14ac:dyDescent="0.3">
      <c r="B578" s="29" ph="1"/>
      <c r="C578" s="29" ph="1"/>
      <c r="D578" s="29" ph="1"/>
      <c r="E578" s="29" ph="1"/>
      <c r="F578" s="29" ph="1"/>
      <c r="G578" s="29" ph="1"/>
    </row>
    <row r="579" spans="2:7" ht="27" x14ac:dyDescent="0.3">
      <c r="B579" s="29" ph="1"/>
      <c r="C579" s="29" ph="1"/>
      <c r="D579" s="29" ph="1"/>
      <c r="E579" s="29" ph="1"/>
      <c r="F579" s="29" ph="1"/>
      <c r="G579" s="29" ph="1"/>
    </row>
    <row r="580" spans="2:7" ht="27" x14ac:dyDescent="0.3">
      <c r="B580" s="29" ph="1"/>
      <c r="C580" s="29" ph="1"/>
      <c r="D580" s="29" ph="1"/>
      <c r="E580" s="29" ph="1"/>
      <c r="F580" s="29" ph="1"/>
      <c r="G580" s="29" ph="1"/>
    </row>
    <row r="581" spans="2:7" ht="27" x14ac:dyDescent="0.3">
      <c r="B581" s="29" ph="1"/>
      <c r="C581" s="29" ph="1"/>
      <c r="D581" s="29" ph="1"/>
      <c r="E581" s="29" ph="1"/>
      <c r="F581" s="29" ph="1"/>
      <c r="G581" s="29" ph="1"/>
    </row>
    <row r="582" spans="2:7" ht="27" x14ac:dyDescent="0.3">
      <c r="B582" s="29" ph="1"/>
      <c r="C582" s="29" ph="1"/>
      <c r="D582" s="29" ph="1"/>
      <c r="E582" s="29" ph="1"/>
      <c r="F582" s="29" ph="1"/>
      <c r="G582" s="29" ph="1"/>
    </row>
    <row r="583" spans="2:7" ht="27" x14ac:dyDescent="0.3">
      <c r="B583" s="29" ph="1"/>
      <c r="C583" s="29" ph="1"/>
      <c r="D583" s="29" ph="1"/>
      <c r="E583" s="29" ph="1"/>
      <c r="F583" s="29" ph="1"/>
      <c r="G583" s="29" ph="1"/>
    </row>
    <row r="584" spans="2:7" ht="27" x14ac:dyDescent="0.3">
      <c r="B584" s="29" ph="1"/>
      <c r="C584" s="29" ph="1"/>
      <c r="D584" s="29" ph="1"/>
      <c r="E584" s="29" ph="1"/>
      <c r="F584" s="29" ph="1"/>
      <c r="G584" s="29" ph="1"/>
    </row>
    <row r="585" spans="2:7" ht="27" x14ac:dyDescent="0.3">
      <c r="B585" s="29" ph="1"/>
      <c r="C585" s="29" ph="1"/>
      <c r="D585" s="29" ph="1"/>
      <c r="E585" s="29" ph="1"/>
      <c r="F585" s="29" ph="1"/>
      <c r="G585" s="29" ph="1"/>
    </row>
    <row r="586" spans="2:7" ht="27" x14ac:dyDescent="0.3">
      <c r="B586" s="29" ph="1"/>
      <c r="C586" s="29" ph="1"/>
      <c r="D586" s="29" ph="1"/>
      <c r="E586" s="29" ph="1"/>
      <c r="F586" s="29" ph="1"/>
      <c r="G586" s="29" ph="1"/>
    </row>
    <row r="587" spans="2:7" ht="27" x14ac:dyDescent="0.3">
      <c r="B587" s="29" ph="1"/>
      <c r="C587" s="29" ph="1"/>
      <c r="D587" s="29" ph="1"/>
      <c r="E587" s="29" ph="1"/>
      <c r="F587" s="29" ph="1"/>
      <c r="G587" s="29" ph="1"/>
    </row>
    <row r="588" spans="2:7" ht="27" x14ac:dyDescent="0.3">
      <c r="B588" s="29" ph="1"/>
      <c r="C588" s="29" ph="1"/>
      <c r="D588" s="29" ph="1"/>
      <c r="E588" s="29" ph="1"/>
      <c r="F588" s="29" ph="1"/>
      <c r="G588" s="29" ph="1"/>
    </row>
    <row r="589" spans="2:7" ht="27" x14ac:dyDescent="0.3">
      <c r="B589" s="29" ph="1"/>
      <c r="C589" s="29" ph="1"/>
      <c r="D589" s="29" ph="1"/>
      <c r="E589" s="29" ph="1"/>
      <c r="F589" s="29" ph="1"/>
      <c r="G589" s="29" ph="1"/>
    </row>
    <row r="590" spans="2:7" ht="27" x14ac:dyDescent="0.3">
      <c r="B590" s="29" ph="1"/>
      <c r="C590" s="29" ph="1"/>
      <c r="D590" s="29" ph="1"/>
      <c r="E590" s="29" ph="1"/>
      <c r="F590" s="29" ph="1"/>
      <c r="G590" s="29" ph="1"/>
    </row>
    <row r="591" spans="2:7" ht="27" x14ac:dyDescent="0.3">
      <c r="B591" s="29" ph="1"/>
      <c r="C591" s="29" ph="1"/>
      <c r="D591" s="29" ph="1"/>
      <c r="E591" s="29" ph="1"/>
      <c r="F591" s="29" ph="1"/>
      <c r="G591" s="29" ph="1"/>
    </row>
    <row r="592" spans="2:7" ht="27" x14ac:dyDescent="0.3">
      <c r="B592" s="29" ph="1"/>
      <c r="C592" s="29" ph="1"/>
      <c r="D592" s="29" ph="1"/>
      <c r="E592" s="29" ph="1"/>
      <c r="F592" s="29" ph="1"/>
      <c r="G592" s="29" ph="1"/>
    </row>
    <row r="593" spans="2:7" ht="27" x14ac:dyDescent="0.3">
      <c r="B593" s="29" ph="1"/>
      <c r="C593" s="29" ph="1"/>
      <c r="D593" s="29" ph="1"/>
      <c r="E593" s="29" ph="1"/>
      <c r="F593" s="29" ph="1"/>
      <c r="G593" s="29" ph="1"/>
    </row>
    <row r="594" spans="2:7" ht="27" x14ac:dyDescent="0.3">
      <c r="B594" s="29" ph="1"/>
      <c r="C594" s="29" ph="1"/>
      <c r="D594" s="29" ph="1"/>
      <c r="E594" s="29" ph="1"/>
      <c r="F594" s="29" ph="1"/>
      <c r="G594" s="29" ph="1"/>
    </row>
    <row r="595" spans="2:7" ht="27" x14ac:dyDescent="0.3">
      <c r="B595" s="29" ph="1"/>
      <c r="C595" s="29" ph="1"/>
      <c r="D595" s="29" ph="1"/>
      <c r="E595" s="29" ph="1"/>
      <c r="F595" s="29" ph="1"/>
      <c r="G595" s="29" ph="1"/>
    </row>
    <row r="596" spans="2:7" ht="27" x14ac:dyDescent="0.3">
      <c r="B596" s="29" ph="1"/>
      <c r="C596" s="29" ph="1"/>
      <c r="D596" s="29" ph="1"/>
      <c r="E596" s="29" ph="1"/>
      <c r="F596" s="29" ph="1"/>
      <c r="G596" s="29" ph="1"/>
    </row>
    <row r="597" spans="2:7" ht="27" x14ac:dyDescent="0.3">
      <c r="B597" s="29" ph="1"/>
      <c r="C597" s="29" ph="1"/>
      <c r="D597" s="29" ph="1"/>
      <c r="E597" s="29" ph="1"/>
      <c r="F597" s="29" ph="1"/>
      <c r="G597" s="29" ph="1"/>
    </row>
    <row r="598" spans="2:7" ht="27" x14ac:dyDescent="0.3">
      <c r="B598" s="29" ph="1"/>
      <c r="C598" s="29" ph="1"/>
      <c r="D598" s="29" ph="1"/>
      <c r="E598" s="29" ph="1"/>
      <c r="F598" s="29" ph="1"/>
      <c r="G598" s="29" ph="1"/>
    </row>
    <row r="599" spans="2:7" ht="27" x14ac:dyDescent="0.3">
      <c r="B599" s="29" ph="1"/>
      <c r="C599" s="29" ph="1"/>
      <c r="D599" s="29" ph="1"/>
      <c r="E599" s="29" ph="1"/>
      <c r="F599" s="29" ph="1"/>
      <c r="G599" s="29" ph="1"/>
    </row>
    <row r="600" spans="2:7" ht="27" x14ac:dyDescent="0.3">
      <c r="B600" s="29" ph="1"/>
      <c r="C600" s="29" ph="1"/>
      <c r="D600" s="29" ph="1"/>
      <c r="E600" s="29" ph="1"/>
      <c r="F600" s="29" ph="1"/>
      <c r="G600" s="29" ph="1"/>
    </row>
    <row r="601" spans="2:7" ht="27" x14ac:dyDescent="0.3">
      <c r="B601" s="29" ph="1"/>
      <c r="C601" s="29" ph="1"/>
      <c r="D601" s="29" ph="1"/>
      <c r="E601" s="29" ph="1"/>
      <c r="F601" s="29" ph="1"/>
      <c r="G601" s="29" ph="1"/>
    </row>
    <row r="602" spans="2:7" ht="27" x14ac:dyDescent="0.3">
      <c r="B602" s="29" ph="1"/>
      <c r="C602" s="29" ph="1"/>
      <c r="D602" s="29" ph="1"/>
      <c r="E602" s="29" ph="1"/>
      <c r="F602" s="29" ph="1"/>
      <c r="G602" s="29" ph="1"/>
    </row>
    <row r="603" spans="2:7" ht="27" x14ac:dyDescent="0.3">
      <c r="B603" s="29" ph="1"/>
      <c r="C603" s="29" ph="1"/>
      <c r="D603" s="29" ph="1"/>
      <c r="E603" s="29" ph="1"/>
      <c r="F603" s="29" ph="1"/>
      <c r="G603" s="29" ph="1"/>
    </row>
    <row r="604" spans="2:7" ht="27" x14ac:dyDescent="0.3">
      <c r="B604" s="29" ph="1"/>
      <c r="C604" s="29" ph="1"/>
      <c r="D604" s="29" ph="1"/>
      <c r="E604" s="29" ph="1"/>
      <c r="F604" s="29" ph="1"/>
      <c r="G604" s="29" ph="1"/>
    </row>
    <row r="605" spans="2:7" ht="27" x14ac:dyDescent="0.3">
      <c r="B605" s="29" ph="1"/>
      <c r="C605" s="29" ph="1"/>
      <c r="D605" s="29" ph="1"/>
      <c r="E605" s="29" ph="1"/>
      <c r="F605" s="29" ph="1"/>
      <c r="G605" s="29" ph="1"/>
    </row>
    <row r="606" spans="2:7" ht="27" x14ac:dyDescent="0.3">
      <c r="B606" s="29" ph="1"/>
      <c r="C606" s="29" ph="1"/>
      <c r="D606" s="29" ph="1"/>
      <c r="E606" s="29" ph="1"/>
      <c r="F606" s="29" ph="1"/>
      <c r="G606" s="29" ph="1"/>
    </row>
    <row r="607" spans="2:7" ht="27" x14ac:dyDescent="0.3">
      <c r="B607" s="29" ph="1"/>
      <c r="C607" s="29" ph="1"/>
      <c r="D607" s="29" ph="1"/>
      <c r="E607" s="29" ph="1"/>
      <c r="F607" s="29" ph="1"/>
      <c r="G607" s="29" ph="1"/>
    </row>
    <row r="608" spans="2:7" ht="27" x14ac:dyDescent="0.3">
      <c r="B608" s="29" ph="1"/>
      <c r="C608" s="29" ph="1"/>
      <c r="D608" s="29" ph="1"/>
      <c r="E608" s="29" ph="1"/>
      <c r="F608" s="29" ph="1"/>
      <c r="G608" s="29" ph="1"/>
    </row>
    <row r="609" spans="2:7" ht="27" x14ac:dyDescent="0.3">
      <c r="B609" s="29" ph="1"/>
      <c r="C609" s="29" ph="1"/>
      <c r="D609" s="29" ph="1"/>
      <c r="E609" s="29" ph="1"/>
      <c r="F609" s="29" ph="1"/>
      <c r="G609" s="29" ph="1"/>
    </row>
    <row r="610" spans="2:7" ht="27" x14ac:dyDescent="0.3">
      <c r="B610" s="29" ph="1"/>
      <c r="C610" s="29" ph="1"/>
      <c r="D610" s="29" ph="1"/>
      <c r="E610" s="29" ph="1"/>
      <c r="F610" s="29" ph="1"/>
      <c r="G610" s="29" ph="1"/>
    </row>
    <row r="611" spans="2:7" ht="27" x14ac:dyDescent="0.3">
      <c r="B611" s="29" ph="1"/>
      <c r="C611" s="29" ph="1"/>
      <c r="D611" s="29" ph="1"/>
      <c r="E611" s="29" ph="1"/>
      <c r="F611" s="29" ph="1"/>
      <c r="G611" s="29" ph="1"/>
    </row>
    <row r="612" spans="2:7" ht="27" x14ac:dyDescent="0.3">
      <c r="B612" s="29" ph="1"/>
      <c r="C612" s="29" ph="1"/>
      <c r="D612" s="29" ph="1"/>
      <c r="E612" s="29" ph="1"/>
      <c r="F612" s="29" ph="1"/>
      <c r="G612" s="29" ph="1"/>
    </row>
    <row r="613" spans="2:7" ht="27" x14ac:dyDescent="0.3">
      <c r="B613" s="29" ph="1"/>
      <c r="C613" s="29" ph="1"/>
      <c r="D613" s="29" ph="1"/>
      <c r="E613" s="29" ph="1"/>
      <c r="F613" s="29" ph="1"/>
      <c r="G613" s="29" ph="1"/>
    </row>
    <row r="614" spans="2:7" ht="27" x14ac:dyDescent="0.3">
      <c r="B614" s="29" ph="1"/>
      <c r="C614" s="29" ph="1"/>
      <c r="D614" s="29" ph="1"/>
      <c r="E614" s="29" ph="1"/>
      <c r="F614" s="29" ph="1"/>
      <c r="G614" s="29" ph="1"/>
    </row>
    <row r="615" spans="2:7" ht="27" x14ac:dyDescent="0.3">
      <c r="B615" s="29" ph="1"/>
      <c r="C615" s="29" ph="1"/>
      <c r="D615" s="29" ph="1"/>
      <c r="E615" s="29" ph="1"/>
      <c r="F615" s="29" ph="1"/>
      <c r="G615" s="29" ph="1"/>
    </row>
    <row r="616" spans="2:7" ht="27" x14ac:dyDescent="0.3">
      <c r="B616" s="29" ph="1"/>
      <c r="C616" s="29" ph="1"/>
      <c r="D616" s="29" ph="1"/>
      <c r="E616" s="29" ph="1"/>
      <c r="F616" s="29" ph="1"/>
      <c r="G616" s="29" ph="1"/>
    </row>
    <row r="617" spans="2:7" ht="27" x14ac:dyDescent="0.3">
      <c r="B617" s="29" ph="1"/>
      <c r="C617" s="29" ph="1"/>
      <c r="D617" s="29" ph="1"/>
      <c r="E617" s="29" ph="1"/>
      <c r="F617" s="29" ph="1"/>
      <c r="G617" s="29" ph="1"/>
    </row>
    <row r="618" spans="2:7" ht="27" x14ac:dyDescent="0.3">
      <c r="B618" s="29" ph="1"/>
      <c r="C618" s="29" ph="1"/>
      <c r="D618" s="29" ph="1"/>
      <c r="E618" s="29" ph="1"/>
      <c r="F618" s="29" ph="1"/>
      <c r="G618" s="29" ph="1"/>
    </row>
    <row r="619" spans="2:7" ht="27" x14ac:dyDescent="0.3">
      <c r="B619" s="29" ph="1"/>
      <c r="C619" s="29" ph="1"/>
      <c r="D619" s="29" ph="1"/>
      <c r="E619" s="29" ph="1"/>
      <c r="F619" s="29" ph="1"/>
      <c r="G619" s="29" ph="1"/>
    </row>
    <row r="620" spans="2:7" ht="27" x14ac:dyDescent="0.3">
      <c r="B620" s="29" ph="1"/>
      <c r="C620" s="29" ph="1"/>
      <c r="D620" s="29" ph="1"/>
      <c r="E620" s="29" ph="1"/>
      <c r="F620" s="29" ph="1"/>
      <c r="G620" s="29" ph="1"/>
    </row>
    <row r="621" spans="2:7" ht="27" x14ac:dyDescent="0.3">
      <c r="B621" s="29" ph="1"/>
      <c r="C621" s="29" ph="1"/>
      <c r="D621" s="29" ph="1"/>
      <c r="E621" s="29" ph="1"/>
      <c r="F621" s="29" ph="1"/>
      <c r="G621" s="29" ph="1"/>
    </row>
    <row r="622" spans="2:7" ht="27" x14ac:dyDescent="0.3">
      <c r="B622" s="29" ph="1"/>
      <c r="C622" s="29" ph="1"/>
      <c r="D622" s="29" ph="1"/>
      <c r="E622" s="29" ph="1"/>
      <c r="F622" s="29" ph="1"/>
      <c r="G622" s="29" ph="1"/>
    </row>
    <row r="623" spans="2:7" ht="27" x14ac:dyDescent="0.3">
      <c r="B623" s="29" ph="1"/>
      <c r="C623" s="29" ph="1"/>
      <c r="D623" s="29" ph="1"/>
      <c r="E623" s="29" ph="1"/>
      <c r="F623" s="29" ph="1"/>
      <c r="G623" s="29" ph="1"/>
    </row>
    <row r="624" spans="2:7" ht="27" x14ac:dyDescent="0.3">
      <c r="B624" s="29" ph="1"/>
      <c r="C624" s="29" ph="1"/>
      <c r="D624" s="29" ph="1"/>
      <c r="E624" s="29" ph="1"/>
      <c r="F624" s="29" ph="1"/>
      <c r="G624" s="29" ph="1"/>
    </row>
    <row r="625" spans="2:7" ht="27" x14ac:dyDescent="0.3">
      <c r="B625" s="29" ph="1"/>
      <c r="C625" s="29" ph="1"/>
      <c r="D625" s="29" ph="1"/>
      <c r="E625" s="29" ph="1"/>
      <c r="F625" s="29" ph="1"/>
      <c r="G625" s="29" ph="1"/>
    </row>
    <row r="626" spans="2:7" ht="27" x14ac:dyDescent="0.3">
      <c r="B626" s="29" ph="1"/>
      <c r="C626" s="29" ph="1"/>
      <c r="D626" s="29" ph="1"/>
      <c r="E626" s="29" ph="1"/>
      <c r="F626" s="29" ph="1"/>
      <c r="G626" s="29" ph="1"/>
    </row>
    <row r="627" spans="2:7" ht="27" x14ac:dyDescent="0.3">
      <c r="B627" s="29" ph="1"/>
      <c r="C627" s="29" ph="1"/>
      <c r="D627" s="29" ph="1"/>
      <c r="E627" s="29" ph="1"/>
      <c r="F627" s="29" ph="1"/>
      <c r="G627" s="29" ph="1"/>
    </row>
    <row r="628" spans="2:7" ht="27" x14ac:dyDescent="0.3">
      <c r="B628" s="29" ph="1"/>
      <c r="C628" s="29" ph="1"/>
      <c r="D628" s="29" ph="1"/>
      <c r="E628" s="29" ph="1"/>
      <c r="F628" s="29" ph="1"/>
      <c r="G628" s="29" ph="1"/>
    </row>
    <row r="629" spans="2:7" ht="27" x14ac:dyDescent="0.3">
      <c r="B629" s="29" ph="1"/>
      <c r="C629" s="29" ph="1"/>
      <c r="D629" s="29" ph="1"/>
      <c r="E629" s="29" ph="1"/>
      <c r="F629" s="29" ph="1"/>
      <c r="G629" s="29" ph="1"/>
    </row>
    <row r="630" spans="2:7" ht="27" x14ac:dyDescent="0.3">
      <c r="B630" s="29" ph="1"/>
      <c r="C630" s="29" ph="1"/>
      <c r="D630" s="29" ph="1"/>
      <c r="E630" s="29" ph="1"/>
      <c r="F630" s="29" ph="1"/>
      <c r="G630" s="29" ph="1"/>
    </row>
    <row r="631" spans="2:7" ht="27" x14ac:dyDescent="0.3">
      <c r="B631" s="29" ph="1"/>
      <c r="C631" s="29" ph="1"/>
      <c r="D631" s="29" ph="1"/>
      <c r="E631" s="29" ph="1"/>
      <c r="F631" s="29" ph="1"/>
      <c r="G631" s="29" ph="1"/>
    </row>
    <row r="632" spans="2:7" ht="27" x14ac:dyDescent="0.3">
      <c r="B632" s="29" ph="1"/>
      <c r="C632" s="29" ph="1"/>
      <c r="D632" s="29" ph="1"/>
      <c r="E632" s="29" ph="1"/>
      <c r="F632" s="29" ph="1"/>
      <c r="G632" s="29" ph="1"/>
    </row>
    <row r="633" spans="2:7" ht="27" x14ac:dyDescent="0.3">
      <c r="B633" s="29" ph="1"/>
      <c r="C633" s="29" ph="1"/>
      <c r="D633" s="29" ph="1"/>
      <c r="E633" s="29" ph="1"/>
      <c r="F633" s="29" ph="1"/>
      <c r="G633" s="29" ph="1"/>
    </row>
    <row r="634" spans="2:7" ht="27" x14ac:dyDescent="0.3">
      <c r="B634" s="29" ph="1"/>
      <c r="C634" s="29" ph="1"/>
      <c r="D634" s="29" ph="1"/>
      <c r="E634" s="29" ph="1"/>
      <c r="F634" s="29" ph="1"/>
      <c r="G634" s="29" ph="1"/>
    </row>
    <row r="635" spans="2:7" ht="27" x14ac:dyDescent="0.3">
      <c r="B635" s="29" ph="1"/>
      <c r="C635" s="29" ph="1"/>
      <c r="D635" s="29" ph="1"/>
      <c r="E635" s="29" ph="1"/>
      <c r="F635" s="29" ph="1"/>
      <c r="G635" s="29" ph="1"/>
    </row>
    <row r="636" spans="2:7" ht="27" x14ac:dyDescent="0.3">
      <c r="B636" s="29" ph="1"/>
      <c r="C636" s="29" ph="1"/>
      <c r="D636" s="29" ph="1"/>
      <c r="E636" s="29" ph="1"/>
      <c r="F636" s="29" ph="1"/>
      <c r="G636" s="29" ph="1"/>
    </row>
    <row r="637" spans="2:7" ht="27" x14ac:dyDescent="0.3">
      <c r="B637" s="29" ph="1"/>
      <c r="C637" s="29" ph="1"/>
      <c r="D637" s="29" ph="1"/>
      <c r="E637" s="29" ph="1"/>
      <c r="F637" s="29" ph="1"/>
      <c r="G637" s="29" ph="1"/>
    </row>
    <row r="638" spans="2:7" ht="27" x14ac:dyDescent="0.3">
      <c r="B638" s="29" ph="1"/>
      <c r="C638" s="29" ph="1"/>
      <c r="D638" s="29" ph="1"/>
      <c r="E638" s="29" ph="1"/>
      <c r="F638" s="29" ph="1"/>
      <c r="G638" s="29" ph="1"/>
    </row>
    <row r="639" spans="2:7" ht="27" x14ac:dyDescent="0.3">
      <c r="B639" s="29" ph="1"/>
      <c r="C639" s="29" ph="1"/>
      <c r="D639" s="29" ph="1"/>
      <c r="E639" s="29" ph="1"/>
      <c r="F639" s="29" ph="1"/>
      <c r="G639" s="29" ph="1"/>
    </row>
    <row r="640" spans="2:7" ht="27" x14ac:dyDescent="0.3">
      <c r="B640" s="29" ph="1"/>
      <c r="C640" s="29" ph="1"/>
      <c r="D640" s="29" ph="1"/>
      <c r="E640" s="29" ph="1"/>
      <c r="F640" s="29" ph="1"/>
      <c r="G640" s="29" ph="1"/>
    </row>
    <row r="641" spans="2:7" ht="27" x14ac:dyDescent="0.3">
      <c r="B641" s="29" ph="1"/>
      <c r="C641" s="29" ph="1"/>
      <c r="D641" s="29" ph="1"/>
      <c r="E641" s="29" ph="1"/>
      <c r="F641" s="29" ph="1"/>
      <c r="G641" s="29" ph="1"/>
    </row>
    <row r="642" spans="2:7" ht="27" x14ac:dyDescent="0.3">
      <c r="B642" s="29" ph="1"/>
      <c r="C642" s="29" ph="1"/>
      <c r="D642" s="29" ph="1"/>
      <c r="E642" s="29" ph="1"/>
      <c r="F642" s="29" ph="1"/>
      <c r="G642" s="29" ph="1"/>
    </row>
    <row r="643" spans="2:7" ht="27" x14ac:dyDescent="0.3">
      <c r="B643" s="29" ph="1"/>
      <c r="C643" s="29" ph="1"/>
      <c r="D643" s="29" ph="1"/>
      <c r="E643" s="29" ph="1"/>
      <c r="F643" s="29" ph="1"/>
      <c r="G643" s="29" ph="1"/>
    </row>
    <row r="644" spans="2:7" ht="27" x14ac:dyDescent="0.3">
      <c r="B644" s="29" ph="1"/>
      <c r="C644" s="29" ph="1"/>
      <c r="D644" s="29" ph="1"/>
      <c r="E644" s="29" ph="1"/>
      <c r="F644" s="29" ph="1"/>
      <c r="G644" s="29" ph="1"/>
    </row>
    <row r="645" spans="2:7" ht="27" x14ac:dyDescent="0.3">
      <c r="B645" s="29" ph="1"/>
      <c r="C645" s="29" ph="1"/>
      <c r="D645" s="29" ph="1"/>
      <c r="E645" s="29" ph="1"/>
      <c r="F645" s="29" ph="1"/>
      <c r="G645" s="29" ph="1"/>
    </row>
    <row r="646" spans="2:7" ht="27" x14ac:dyDescent="0.3">
      <c r="B646" s="29" ph="1"/>
      <c r="C646" s="29" ph="1"/>
      <c r="D646" s="29" ph="1"/>
      <c r="E646" s="29" ph="1"/>
      <c r="F646" s="29" ph="1"/>
      <c r="G646" s="29" ph="1"/>
    </row>
    <row r="647" spans="2:7" ht="27" x14ac:dyDescent="0.3">
      <c r="B647" s="29" ph="1"/>
      <c r="C647" s="29" ph="1"/>
      <c r="D647" s="29" ph="1"/>
      <c r="E647" s="29" ph="1"/>
      <c r="F647" s="29" ph="1"/>
      <c r="G647" s="29" ph="1"/>
    </row>
    <row r="648" spans="2:7" ht="27" x14ac:dyDescent="0.3">
      <c r="B648" s="29" ph="1"/>
      <c r="C648" s="29" ph="1"/>
      <c r="D648" s="29" ph="1"/>
      <c r="E648" s="29" ph="1"/>
      <c r="F648" s="29" ph="1"/>
      <c r="G648" s="29" ph="1"/>
    </row>
    <row r="649" spans="2:7" ht="27" x14ac:dyDescent="0.3">
      <c r="B649" s="29" ph="1"/>
      <c r="C649" s="29" ph="1"/>
      <c r="D649" s="29" ph="1"/>
      <c r="E649" s="29" ph="1"/>
      <c r="F649" s="29" ph="1"/>
      <c r="G649" s="29" ph="1"/>
    </row>
    <row r="650" spans="2:7" ht="27" x14ac:dyDescent="0.3">
      <c r="B650" s="29" ph="1"/>
      <c r="C650" s="29" ph="1"/>
      <c r="D650" s="29" ph="1"/>
      <c r="E650" s="29" ph="1"/>
      <c r="F650" s="29" ph="1"/>
      <c r="G650" s="29" ph="1"/>
    </row>
    <row r="651" spans="2:7" ht="27" x14ac:dyDescent="0.3">
      <c r="B651" s="29" ph="1"/>
      <c r="C651" s="29" ph="1"/>
      <c r="D651" s="29" ph="1"/>
      <c r="E651" s="29" ph="1"/>
      <c r="F651" s="29" ph="1"/>
      <c r="G651" s="29" ph="1"/>
    </row>
    <row r="652" spans="2:7" ht="27" x14ac:dyDescent="0.3">
      <c r="B652" s="29" ph="1"/>
      <c r="C652" s="29" ph="1"/>
      <c r="D652" s="29" ph="1"/>
      <c r="E652" s="29" ph="1"/>
      <c r="F652" s="29" ph="1"/>
      <c r="G652" s="29" ph="1"/>
    </row>
    <row r="653" spans="2:7" ht="27" x14ac:dyDescent="0.3">
      <c r="B653" s="29" ph="1"/>
      <c r="C653" s="29" ph="1"/>
      <c r="D653" s="29" ph="1"/>
      <c r="E653" s="29" ph="1"/>
      <c r="F653" s="29" ph="1"/>
      <c r="G653" s="29" ph="1"/>
    </row>
    <row r="654" spans="2:7" ht="27" x14ac:dyDescent="0.3">
      <c r="B654" s="29" ph="1"/>
      <c r="C654" s="29" ph="1"/>
      <c r="D654" s="29" ph="1"/>
      <c r="E654" s="29" ph="1"/>
      <c r="F654" s="29" ph="1"/>
      <c r="G654" s="29" ph="1"/>
    </row>
    <row r="655" spans="2:7" ht="27" x14ac:dyDescent="0.3">
      <c r="B655" s="29" ph="1"/>
      <c r="C655" s="29" ph="1"/>
      <c r="D655" s="29" ph="1"/>
      <c r="E655" s="29" ph="1"/>
      <c r="F655" s="29" ph="1"/>
      <c r="G655" s="29" ph="1"/>
    </row>
    <row r="656" spans="2:7" ht="27" x14ac:dyDescent="0.3">
      <c r="B656" s="29" ph="1"/>
      <c r="C656" s="29" ph="1"/>
      <c r="D656" s="29" ph="1"/>
      <c r="E656" s="29" ph="1"/>
      <c r="F656" s="29" ph="1"/>
      <c r="G656" s="29" ph="1"/>
    </row>
    <row r="657" spans="2:7" ht="27" x14ac:dyDescent="0.3">
      <c r="B657" s="29" ph="1"/>
      <c r="C657" s="29" ph="1"/>
      <c r="D657" s="29" ph="1"/>
      <c r="E657" s="29" ph="1"/>
      <c r="F657" s="29" ph="1"/>
      <c r="G657" s="29" ph="1"/>
    </row>
    <row r="658" spans="2:7" ht="27" x14ac:dyDescent="0.3">
      <c r="B658" s="29" ph="1"/>
      <c r="C658" s="29" ph="1"/>
      <c r="D658" s="29" ph="1"/>
      <c r="E658" s="29" ph="1"/>
      <c r="F658" s="29" ph="1"/>
      <c r="G658" s="29" ph="1"/>
    </row>
    <row r="659" spans="2:7" ht="27" x14ac:dyDescent="0.3">
      <c r="B659" s="29" ph="1"/>
      <c r="C659" s="29" ph="1"/>
      <c r="D659" s="29" ph="1"/>
      <c r="E659" s="29" ph="1"/>
      <c r="F659" s="29" ph="1"/>
      <c r="G659" s="29" ph="1"/>
    </row>
    <row r="660" spans="2:7" ht="27" x14ac:dyDescent="0.3">
      <c r="B660" s="29" ph="1"/>
      <c r="C660" s="29" ph="1"/>
      <c r="D660" s="29" ph="1"/>
      <c r="E660" s="29" ph="1"/>
      <c r="F660" s="29" ph="1"/>
      <c r="G660" s="29" ph="1"/>
    </row>
    <row r="661" spans="2:7" ht="27" x14ac:dyDescent="0.3">
      <c r="B661" s="29" ph="1"/>
      <c r="C661" s="29" ph="1"/>
      <c r="D661" s="29" ph="1"/>
      <c r="E661" s="29" ph="1"/>
      <c r="F661" s="29" ph="1"/>
      <c r="G661" s="29" ph="1"/>
    </row>
    <row r="662" spans="2:7" ht="27" x14ac:dyDescent="0.3">
      <c r="B662" s="29" ph="1"/>
      <c r="C662" s="29" ph="1"/>
      <c r="D662" s="29" ph="1"/>
      <c r="E662" s="29" ph="1"/>
      <c r="F662" s="29" ph="1"/>
      <c r="G662" s="29" ph="1"/>
    </row>
    <row r="663" spans="2:7" ht="27" x14ac:dyDescent="0.3">
      <c r="B663" s="29" ph="1"/>
      <c r="C663" s="29" ph="1"/>
      <c r="D663" s="29" ph="1"/>
      <c r="E663" s="29" ph="1"/>
      <c r="F663" s="29" ph="1"/>
      <c r="G663" s="29" ph="1"/>
    </row>
    <row r="664" spans="2:7" ht="27" x14ac:dyDescent="0.3">
      <c r="B664" s="29" ph="1"/>
      <c r="C664" s="29" ph="1"/>
      <c r="D664" s="29" ph="1"/>
      <c r="E664" s="29" ph="1"/>
      <c r="F664" s="29" ph="1"/>
      <c r="G664" s="29" ph="1"/>
    </row>
    <row r="665" spans="2:7" ht="27" x14ac:dyDescent="0.3">
      <c r="B665" s="29" ph="1"/>
      <c r="C665" s="29" ph="1"/>
      <c r="D665" s="29" ph="1"/>
      <c r="E665" s="29" ph="1"/>
      <c r="F665" s="29" ph="1"/>
      <c r="G665" s="29" ph="1"/>
    </row>
    <row r="666" spans="2:7" ht="27" x14ac:dyDescent="0.3">
      <c r="B666" s="29" ph="1"/>
      <c r="C666" s="29" ph="1"/>
      <c r="D666" s="29" ph="1"/>
      <c r="E666" s="29" ph="1"/>
      <c r="F666" s="29" ph="1"/>
      <c r="G666" s="29" ph="1"/>
    </row>
    <row r="667" spans="2:7" ht="27" x14ac:dyDescent="0.3">
      <c r="B667" s="29" ph="1"/>
      <c r="C667" s="29" ph="1"/>
      <c r="D667" s="29" ph="1"/>
      <c r="E667" s="29" ph="1"/>
      <c r="F667" s="29" ph="1"/>
      <c r="G667" s="29" ph="1"/>
    </row>
    <row r="668" spans="2:7" ht="27" x14ac:dyDescent="0.3">
      <c r="B668" s="29" ph="1"/>
      <c r="C668" s="29" ph="1"/>
      <c r="D668" s="29" ph="1"/>
      <c r="E668" s="29" ph="1"/>
      <c r="F668" s="29" ph="1"/>
      <c r="G668" s="29" ph="1"/>
    </row>
    <row r="669" spans="2:7" ht="27" x14ac:dyDescent="0.3">
      <c r="B669" s="29" ph="1"/>
      <c r="C669" s="29" ph="1"/>
      <c r="D669" s="29" ph="1"/>
      <c r="E669" s="29" ph="1"/>
      <c r="F669" s="29" ph="1"/>
      <c r="G669" s="29" ph="1"/>
    </row>
    <row r="670" spans="2:7" ht="27" x14ac:dyDescent="0.3">
      <c r="B670" s="29" ph="1"/>
      <c r="C670" s="29" ph="1"/>
      <c r="D670" s="29" ph="1"/>
      <c r="E670" s="29" ph="1"/>
      <c r="F670" s="29" ph="1"/>
      <c r="G670" s="29" ph="1"/>
    </row>
    <row r="671" spans="2:7" ht="27" x14ac:dyDescent="0.3">
      <c r="B671" s="29" ph="1"/>
      <c r="C671" s="29" ph="1"/>
      <c r="D671" s="29" ph="1"/>
      <c r="E671" s="29" ph="1"/>
      <c r="F671" s="29" ph="1"/>
      <c r="G671" s="29" ph="1"/>
    </row>
    <row r="672" spans="2:7" ht="27" x14ac:dyDescent="0.3">
      <c r="B672" s="29" ph="1"/>
      <c r="C672" s="29" ph="1"/>
      <c r="D672" s="29" ph="1"/>
      <c r="E672" s="29" ph="1"/>
      <c r="F672" s="29" ph="1"/>
      <c r="G672" s="29" ph="1"/>
    </row>
    <row r="673" spans="2:7" ht="27" x14ac:dyDescent="0.3">
      <c r="B673" s="29" ph="1"/>
      <c r="C673" s="29" ph="1"/>
      <c r="D673" s="29" ph="1"/>
      <c r="E673" s="29" ph="1"/>
      <c r="F673" s="29" ph="1"/>
      <c r="G673" s="29" ph="1"/>
    </row>
    <row r="674" spans="2:7" ht="27" x14ac:dyDescent="0.3">
      <c r="B674" s="29" ph="1"/>
      <c r="C674" s="29" ph="1"/>
      <c r="D674" s="29" ph="1"/>
      <c r="E674" s="29" ph="1"/>
      <c r="F674" s="29" ph="1"/>
      <c r="G674" s="29" ph="1"/>
    </row>
    <row r="675" spans="2:7" ht="27" x14ac:dyDescent="0.3">
      <c r="B675" s="29" ph="1"/>
      <c r="C675" s="29" ph="1"/>
      <c r="D675" s="29" ph="1"/>
      <c r="E675" s="29" ph="1"/>
      <c r="F675" s="29" ph="1"/>
      <c r="G675" s="29" ph="1"/>
    </row>
    <row r="676" spans="2:7" ht="27" x14ac:dyDescent="0.3">
      <c r="B676" s="29" ph="1"/>
      <c r="C676" s="29" ph="1"/>
      <c r="D676" s="29" ph="1"/>
      <c r="E676" s="29" ph="1"/>
      <c r="F676" s="29" ph="1"/>
      <c r="G676" s="29" ph="1"/>
    </row>
    <row r="677" spans="2:7" ht="27" x14ac:dyDescent="0.3">
      <c r="B677" s="29" ph="1"/>
      <c r="C677" s="29" ph="1"/>
      <c r="D677" s="29" ph="1"/>
      <c r="E677" s="29" ph="1"/>
      <c r="F677" s="29" ph="1"/>
      <c r="G677" s="29" ph="1"/>
    </row>
    <row r="678" spans="2:7" ht="27" x14ac:dyDescent="0.3">
      <c r="B678" s="29" ph="1"/>
      <c r="C678" s="29" ph="1"/>
      <c r="D678" s="29" ph="1"/>
      <c r="E678" s="29" ph="1"/>
      <c r="F678" s="29" ph="1"/>
      <c r="G678" s="29" ph="1"/>
    </row>
    <row r="679" spans="2:7" ht="27" x14ac:dyDescent="0.3">
      <c r="B679" s="29" ph="1"/>
      <c r="C679" s="29" ph="1"/>
      <c r="D679" s="29" ph="1"/>
      <c r="E679" s="29" ph="1"/>
      <c r="F679" s="29" ph="1"/>
      <c r="G679" s="29" ph="1"/>
    </row>
    <row r="680" spans="2:7" ht="27" x14ac:dyDescent="0.3">
      <c r="B680" s="29" ph="1"/>
      <c r="C680" s="29" ph="1"/>
      <c r="D680" s="29" ph="1"/>
      <c r="E680" s="29" ph="1"/>
      <c r="F680" s="29" ph="1"/>
      <c r="G680" s="29" ph="1"/>
    </row>
    <row r="681" spans="2:7" ht="27" x14ac:dyDescent="0.3">
      <c r="B681" s="29" ph="1"/>
      <c r="C681" s="29" ph="1"/>
      <c r="D681" s="29" ph="1"/>
      <c r="E681" s="29" ph="1"/>
      <c r="F681" s="29" ph="1"/>
      <c r="G681" s="29" ph="1"/>
    </row>
    <row r="682" spans="2:7" ht="27" x14ac:dyDescent="0.3">
      <c r="B682" s="29" ph="1"/>
      <c r="C682" s="29" ph="1"/>
      <c r="D682" s="29" ph="1"/>
      <c r="E682" s="29" ph="1"/>
      <c r="F682" s="29" ph="1"/>
      <c r="G682" s="29" ph="1"/>
    </row>
    <row r="683" spans="2:7" ht="27" x14ac:dyDescent="0.3">
      <c r="B683" s="29" ph="1"/>
      <c r="C683" s="29" ph="1"/>
      <c r="D683" s="29" ph="1"/>
      <c r="E683" s="29" ph="1"/>
      <c r="F683" s="29" ph="1"/>
      <c r="G683" s="29" ph="1"/>
    </row>
    <row r="684" spans="2:7" ht="27" x14ac:dyDescent="0.3">
      <c r="B684" s="29" ph="1"/>
      <c r="C684" s="29" ph="1"/>
      <c r="D684" s="29" ph="1"/>
      <c r="E684" s="29" ph="1"/>
      <c r="F684" s="29" ph="1"/>
      <c r="G684" s="29" ph="1"/>
    </row>
    <row r="685" spans="2:7" ht="27" x14ac:dyDescent="0.3">
      <c r="B685" s="29" ph="1"/>
      <c r="C685" s="29" ph="1"/>
      <c r="D685" s="29" ph="1"/>
      <c r="E685" s="29" ph="1"/>
      <c r="F685" s="29" ph="1"/>
      <c r="G685" s="29" ph="1"/>
    </row>
    <row r="686" spans="2:7" ht="27" x14ac:dyDescent="0.3">
      <c r="B686" s="29" ph="1"/>
      <c r="C686" s="29" ph="1"/>
      <c r="D686" s="29" ph="1"/>
      <c r="E686" s="29" ph="1"/>
      <c r="F686" s="29" ph="1"/>
      <c r="G686" s="29" ph="1"/>
    </row>
    <row r="687" spans="2:7" ht="27" x14ac:dyDescent="0.3">
      <c r="B687" s="29" ph="1"/>
      <c r="C687" s="29" ph="1"/>
      <c r="D687" s="29" ph="1"/>
      <c r="E687" s="29" ph="1"/>
      <c r="F687" s="29" ph="1"/>
      <c r="G687" s="29" ph="1"/>
    </row>
    <row r="688" spans="2:7" ht="27" x14ac:dyDescent="0.3">
      <c r="B688" s="29" ph="1"/>
      <c r="C688" s="29" ph="1"/>
      <c r="D688" s="29" ph="1"/>
      <c r="E688" s="29" ph="1"/>
      <c r="F688" s="29" ph="1"/>
      <c r="G688" s="29" ph="1"/>
    </row>
    <row r="689" spans="2:7" ht="27" x14ac:dyDescent="0.3">
      <c r="B689" s="29" ph="1"/>
      <c r="C689" s="29" ph="1"/>
      <c r="D689" s="29" ph="1"/>
      <c r="E689" s="29" ph="1"/>
      <c r="F689" s="29" ph="1"/>
      <c r="G689" s="29" ph="1"/>
    </row>
    <row r="690" spans="2:7" ht="27" x14ac:dyDescent="0.3">
      <c r="B690" s="29" ph="1"/>
      <c r="C690" s="29" ph="1"/>
      <c r="D690" s="29" ph="1"/>
      <c r="E690" s="29" ph="1"/>
      <c r="F690" s="29" ph="1"/>
      <c r="G690" s="29" ph="1"/>
    </row>
    <row r="691" spans="2:7" ht="27" x14ac:dyDescent="0.3">
      <c r="B691" s="29" ph="1"/>
      <c r="C691" s="29" ph="1"/>
      <c r="D691" s="29" ph="1"/>
      <c r="E691" s="29" ph="1"/>
      <c r="F691" s="29" ph="1"/>
      <c r="G691" s="29" ph="1"/>
    </row>
    <row r="692" spans="2:7" ht="27" x14ac:dyDescent="0.3">
      <c r="B692" s="29" ph="1"/>
      <c r="C692" s="29" ph="1"/>
      <c r="D692" s="29" ph="1"/>
      <c r="E692" s="29" ph="1"/>
      <c r="F692" s="29" ph="1"/>
      <c r="G692" s="29" ph="1"/>
    </row>
    <row r="693" spans="2:7" ht="27" x14ac:dyDescent="0.3">
      <c r="B693" s="29" ph="1"/>
      <c r="C693" s="29" ph="1"/>
      <c r="D693" s="29" ph="1"/>
      <c r="E693" s="29" ph="1"/>
      <c r="F693" s="29" ph="1"/>
      <c r="G693" s="29" ph="1"/>
    </row>
    <row r="694" spans="2:7" ht="27" x14ac:dyDescent="0.3">
      <c r="B694" s="29" ph="1"/>
      <c r="C694" s="29" ph="1"/>
      <c r="D694" s="29" ph="1"/>
      <c r="E694" s="29" ph="1"/>
      <c r="F694" s="29" ph="1"/>
      <c r="G694" s="29" ph="1"/>
    </row>
    <row r="695" spans="2:7" ht="27" x14ac:dyDescent="0.3">
      <c r="B695" s="29" ph="1"/>
      <c r="C695" s="29" ph="1"/>
      <c r="D695" s="29" ph="1"/>
      <c r="E695" s="29" ph="1"/>
      <c r="F695" s="29" ph="1"/>
      <c r="G695" s="29" ph="1"/>
    </row>
    <row r="696" spans="2:7" ht="27" x14ac:dyDescent="0.3">
      <c r="B696" s="29" ph="1"/>
      <c r="C696" s="29" ph="1"/>
      <c r="D696" s="29" ph="1"/>
      <c r="E696" s="29" ph="1"/>
      <c r="F696" s="29" ph="1"/>
      <c r="G696" s="29" ph="1"/>
    </row>
    <row r="697" spans="2:7" ht="27" x14ac:dyDescent="0.3">
      <c r="B697" s="29" ph="1"/>
      <c r="C697" s="29" ph="1"/>
      <c r="D697" s="29" ph="1"/>
      <c r="E697" s="29" ph="1"/>
      <c r="F697" s="29" ph="1"/>
      <c r="G697" s="29" ph="1"/>
    </row>
    <row r="698" spans="2:7" ht="27" x14ac:dyDescent="0.3">
      <c r="B698" s="29" ph="1"/>
      <c r="C698" s="29" ph="1"/>
      <c r="D698" s="29" ph="1"/>
      <c r="E698" s="29" ph="1"/>
      <c r="F698" s="29" ph="1"/>
      <c r="G698" s="29" ph="1"/>
    </row>
    <row r="699" spans="2:7" ht="27" x14ac:dyDescent="0.3">
      <c r="B699" s="29" ph="1"/>
      <c r="C699" s="29" ph="1"/>
      <c r="D699" s="29" ph="1"/>
      <c r="E699" s="29" ph="1"/>
      <c r="F699" s="29" ph="1"/>
      <c r="G699" s="29" ph="1"/>
    </row>
    <row r="700" spans="2:7" ht="27" x14ac:dyDescent="0.3">
      <c r="B700" s="29" ph="1"/>
      <c r="C700" s="29" ph="1"/>
      <c r="D700" s="29" ph="1"/>
      <c r="E700" s="29" ph="1"/>
      <c r="F700" s="29" ph="1"/>
      <c r="G700" s="29" ph="1"/>
    </row>
    <row r="701" spans="2:7" ht="27" x14ac:dyDescent="0.3">
      <c r="B701" s="29" ph="1"/>
      <c r="C701" s="29" ph="1"/>
      <c r="D701" s="29" ph="1"/>
      <c r="E701" s="29" ph="1"/>
      <c r="F701" s="29" ph="1"/>
      <c r="G701" s="29" ph="1"/>
    </row>
    <row r="702" spans="2:7" ht="27" x14ac:dyDescent="0.3">
      <c r="B702" s="29" ph="1"/>
      <c r="C702" s="29" ph="1"/>
      <c r="D702" s="29" ph="1"/>
      <c r="E702" s="29" ph="1"/>
      <c r="F702" s="29" ph="1"/>
      <c r="G702" s="29" ph="1"/>
    </row>
    <row r="703" spans="2:7" ht="27" x14ac:dyDescent="0.3">
      <c r="B703" s="29" ph="1"/>
      <c r="C703" s="29" ph="1"/>
      <c r="D703" s="29" ph="1"/>
      <c r="E703" s="29" ph="1"/>
      <c r="F703" s="29" ph="1"/>
      <c r="G703" s="29" ph="1"/>
    </row>
    <row r="704" spans="2:7" ht="27" x14ac:dyDescent="0.3">
      <c r="B704" s="29" ph="1"/>
      <c r="C704" s="29" ph="1"/>
      <c r="D704" s="29" ph="1"/>
      <c r="E704" s="29" ph="1"/>
      <c r="F704" s="29" ph="1"/>
      <c r="G704" s="29" ph="1"/>
    </row>
    <row r="705" spans="2:7" ht="27" x14ac:dyDescent="0.3">
      <c r="B705" s="29" ph="1"/>
      <c r="C705" s="29" ph="1"/>
      <c r="D705" s="29" ph="1"/>
      <c r="E705" s="29" ph="1"/>
      <c r="F705" s="29" ph="1"/>
      <c r="G705" s="29" ph="1"/>
    </row>
    <row r="706" spans="2:7" ht="27" x14ac:dyDescent="0.3">
      <c r="B706" s="29" ph="1"/>
      <c r="C706" s="29" ph="1"/>
      <c r="D706" s="29" ph="1"/>
      <c r="E706" s="29" ph="1"/>
      <c r="F706" s="29" ph="1"/>
      <c r="G706" s="29" ph="1"/>
    </row>
    <row r="707" spans="2:7" ht="27" x14ac:dyDescent="0.3">
      <c r="B707" s="29" ph="1"/>
      <c r="C707" s="29" ph="1"/>
      <c r="D707" s="29" ph="1"/>
      <c r="E707" s="29" ph="1"/>
      <c r="F707" s="29" ph="1"/>
      <c r="G707" s="29" ph="1"/>
    </row>
    <row r="708" spans="2:7" ht="27" x14ac:dyDescent="0.3">
      <c r="B708" s="29" ph="1"/>
      <c r="C708" s="29" ph="1"/>
      <c r="D708" s="29" ph="1"/>
      <c r="E708" s="29" ph="1"/>
      <c r="F708" s="29" ph="1"/>
      <c r="G708" s="29" ph="1"/>
    </row>
    <row r="709" spans="2:7" ht="27" x14ac:dyDescent="0.3">
      <c r="B709" s="29" ph="1"/>
      <c r="C709" s="29" ph="1"/>
      <c r="D709" s="29" ph="1"/>
      <c r="E709" s="29" ph="1"/>
      <c r="F709" s="29" ph="1"/>
      <c r="G709" s="29" ph="1"/>
    </row>
    <row r="710" spans="2:7" ht="27" x14ac:dyDescent="0.3">
      <c r="B710" s="29" ph="1"/>
      <c r="C710" s="29" ph="1"/>
      <c r="D710" s="29" ph="1"/>
      <c r="E710" s="29" ph="1"/>
      <c r="F710" s="29" ph="1"/>
      <c r="G710" s="29" ph="1"/>
    </row>
    <row r="711" spans="2:7" ht="27" x14ac:dyDescent="0.3">
      <c r="B711" s="29" ph="1"/>
      <c r="C711" s="29" ph="1"/>
      <c r="D711" s="29" ph="1"/>
      <c r="E711" s="29" ph="1"/>
      <c r="F711" s="29" ph="1"/>
      <c r="G711" s="29" ph="1"/>
    </row>
    <row r="712" spans="2:7" ht="27" x14ac:dyDescent="0.3">
      <c r="B712" s="29" ph="1"/>
      <c r="C712" s="29" ph="1"/>
      <c r="D712" s="29" ph="1"/>
      <c r="E712" s="29" ph="1"/>
      <c r="F712" s="29" ph="1"/>
      <c r="G712" s="29" ph="1"/>
    </row>
    <row r="713" spans="2:7" ht="27" x14ac:dyDescent="0.3">
      <c r="B713" s="29" ph="1"/>
      <c r="C713" s="29" ph="1"/>
      <c r="D713" s="29" ph="1"/>
      <c r="E713" s="29" ph="1"/>
      <c r="F713" s="29" ph="1"/>
      <c r="G713" s="29" ph="1"/>
    </row>
    <row r="714" spans="2:7" ht="27" x14ac:dyDescent="0.3">
      <c r="B714" s="29" ph="1"/>
      <c r="C714" s="29" ph="1"/>
      <c r="D714" s="29" ph="1"/>
      <c r="E714" s="29" ph="1"/>
      <c r="F714" s="29" ph="1"/>
      <c r="G714" s="29" ph="1"/>
    </row>
    <row r="715" spans="2:7" ht="27" x14ac:dyDescent="0.3">
      <c r="B715" s="29" ph="1"/>
      <c r="C715" s="29" ph="1"/>
      <c r="D715" s="29" ph="1"/>
      <c r="E715" s="29" ph="1"/>
      <c r="F715" s="29" ph="1"/>
      <c r="G715" s="29" ph="1"/>
    </row>
    <row r="716" spans="2:7" ht="27" x14ac:dyDescent="0.3">
      <c r="B716" s="29" ph="1"/>
      <c r="C716" s="29" ph="1"/>
      <c r="D716" s="29" ph="1"/>
      <c r="E716" s="29" ph="1"/>
      <c r="F716" s="29" ph="1"/>
      <c r="G716" s="29" ph="1"/>
    </row>
    <row r="717" spans="2:7" ht="27" x14ac:dyDescent="0.3">
      <c r="B717" s="29" ph="1"/>
      <c r="C717" s="29" ph="1"/>
      <c r="D717" s="29" ph="1"/>
      <c r="E717" s="29" ph="1"/>
      <c r="F717" s="29" ph="1"/>
      <c r="G717" s="29" ph="1"/>
    </row>
    <row r="718" spans="2:7" ht="27" x14ac:dyDescent="0.3">
      <c r="B718" s="29" ph="1"/>
      <c r="C718" s="29" ph="1"/>
      <c r="D718" s="29" ph="1"/>
      <c r="E718" s="29" ph="1"/>
      <c r="F718" s="29" ph="1"/>
      <c r="G718" s="29" ph="1"/>
    </row>
    <row r="719" spans="2:7" ht="27" x14ac:dyDescent="0.3">
      <c r="B719" s="29" ph="1"/>
      <c r="C719" s="29" ph="1"/>
      <c r="D719" s="29" ph="1"/>
      <c r="E719" s="29" ph="1"/>
      <c r="F719" s="29" ph="1"/>
      <c r="G719" s="29" ph="1"/>
    </row>
    <row r="720" spans="2:7" x14ac:dyDescent="0.3">
      <c r="B720" s="29" ph="1"/>
      <c r="C720" s="29" ph="1"/>
      <c r="D720" s="29" ph="1"/>
      <c r="E720" s="29" ph="1"/>
      <c r="F720" s="29" ph="1"/>
      <c r="G720" s="29" ph="1"/>
    </row>
    <row r="721" spans="2:7" x14ac:dyDescent="0.3">
      <c r="B721" s="29" ph="1"/>
      <c r="C721" s="29" ph="1"/>
      <c r="D721" s="29" ph="1"/>
      <c r="E721" s="29" ph="1"/>
      <c r="F721" s="29" ph="1"/>
      <c r="G721" s="29" ph="1"/>
    </row>
    <row r="722" spans="2:7" x14ac:dyDescent="0.3">
      <c r="B722" s="29" ph="1"/>
      <c r="C722" s="29" ph="1"/>
      <c r="D722" s="29" ph="1"/>
      <c r="E722" s="29" ph="1"/>
      <c r="F722" s="29" ph="1"/>
      <c r="G722" s="29" ph="1"/>
    </row>
    <row r="723" spans="2:7" x14ac:dyDescent="0.3">
      <c r="B723" s="29" ph="1"/>
      <c r="C723" s="29" ph="1"/>
      <c r="D723" s="29" ph="1"/>
      <c r="E723" s="29" ph="1"/>
      <c r="F723" s="29" ph="1"/>
      <c r="G723" s="29" ph="1"/>
    </row>
    <row r="724" spans="2:7" x14ac:dyDescent="0.3">
      <c r="B724" s="29" ph="1"/>
      <c r="C724" s="29" ph="1"/>
      <c r="D724" s="29" ph="1"/>
      <c r="E724" s="29" ph="1"/>
      <c r="F724" s="29" ph="1"/>
      <c r="G724" s="29" ph="1"/>
    </row>
    <row r="725" spans="2:7" x14ac:dyDescent="0.3">
      <c r="B725" s="29" ph="1"/>
      <c r="C725" s="29" ph="1"/>
      <c r="D725" s="29" ph="1"/>
      <c r="E725" s="29" ph="1"/>
      <c r="F725" s="29" ph="1"/>
      <c r="G725" s="29" ph="1"/>
    </row>
    <row r="726" spans="2:7" x14ac:dyDescent="0.3">
      <c r="B726" s="29" ph="1"/>
      <c r="C726" s="29" ph="1"/>
      <c r="D726" s="29" ph="1"/>
      <c r="E726" s="29" ph="1"/>
      <c r="F726" s="29" ph="1"/>
      <c r="G726" s="29" ph="1"/>
    </row>
    <row r="727" spans="2:7" x14ac:dyDescent="0.3">
      <c r="B727" s="29" ph="1"/>
      <c r="C727" s="29" ph="1"/>
      <c r="D727" s="29" ph="1"/>
      <c r="E727" s="29" ph="1"/>
      <c r="F727" s="29" ph="1"/>
      <c r="G727" s="29" ph="1"/>
    </row>
    <row r="728" spans="2:7" x14ac:dyDescent="0.3">
      <c r="B728" s="29" ph="1"/>
      <c r="C728" s="29" ph="1"/>
      <c r="D728" s="29" ph="1"/>
      <c r="E728" s="29" ph="1"/>
      <c r="F728" s="29" ph="1"/>
      <c r="G728" s="29" ph="1"/>
    </row>
    <row r="729" spans="2:7" x14ac:dyDescent="0.3">
      <c r="B729" s="29" ph="1"/>
      <c r="C729" s="29" ph="1"/>
      <c r="D729" s="29" ph="1"/>
      <c r="E729" s="29" ph="1"/>
      <c r="F729" s="29" ph="1"/>
      <c r="G729" s="29" ph="1"/>
    </row>
    <row r="730" spans="2:7" x14ac:dyDescent="0.3">
      <c r="B730" s="29" ph="1"/>
      <c r="C730" s="29" ph="1"/>
      <c r="D730" s="29" ph="1"/>
      <c r="E730" s="29" ph="1"/>
      <c r="F730" s="29" ph="1"/>
      <c r="G730" s="29" ph="1"/>
    </row>
    <row r="731" spans="2:7" x14ac:dyDescent="0.3">
      <c r="B731" s="29" ph="1"/>
      <c r="C731" s="29" ph="1"/>
      <c r="D731" s="29" ph="1"/>
      <c r="E731" s="29" ph="1"/>
      <c r="F731" s="29" ph="1"/>
      <c r="G731" s="29" ph="1"/>
    </row>
    <row r="732" spans="2:7" x14ac:dyDescent="0.3">
      <c r="B732" s="29" ph="1"/>
      <c r="C732" s="29" ph="1"/>
      <c r="D732" s="29" ph="1"/>
      <c r="E732" s="29" ph="1"/>
      <c r="F732" s="29" ph="1"/>
      <c r="G732" s="29" ph="1"/>
    </row>
    <row r="733" spans="2:7" x14ac:dyDescent="0.3">
      <c r="B733" s="29" ph="1"/>
      <c r="C733" s="29" ph="1"/>
      <c r="D733" s="29" ph="1"/>
      <c r="E733" s="29" ph="1"/>
      <c r="F733" s="29" ph="1"/>
      <c r="G733" s="29" ph="1"/>
    </row>
    <row r="734" spans="2:7" x14ac:dyDescent="0.3">
      <c r="B734" s="29" ph="1"/>
      <c r="C734" s="29" ph="1"/>
      <c r="D734" s="29" ph="1"/>
      <c r="E734" s="29" ph="1"/>
      <c r="F734" s="29" ph="1"/>
      <c r="G734" s="29" ph="1"/>
    </row>
    <row r="735" spans="2:7" x14ac:dyDescent="0.3">
      <c r="B735" s="29" ph="1"/>
      <c r="C735" s="29" ph="1"/>
      <c r="D735" s="29" ph="1"/>
      <c r="E735" s="29" ph="1"/>
      <c r="F735" s="29" ph="1"/>
      <c r="G735" s="29" ph="1"/>
    </row>
    <row r="736" spans="2:7" x14ac:dyDescent="0.3">
      <c r="B736" s="29" ph="1"/>
      <c r="C736" s="29" ph="1"/>
      <c r="D736" s="29" ph="1"/>
      <c r="E736" s="29" ph="1"/>
      <c r="F736" s="29" ph="1"/>
      <c r="G736" s="29" ph="1"/>
    </row>
    <row r="737" spans="2:7" x14ac:dyDescent="0.3">
      <c r="B737" s="29" ph="1"/>
      <c r="C737" s="29" ph="1"/>
      <c r="D737" s="29" ph="1"/>
      <c r="E737" s="29" ph="1"/>
      <c r="F737" s="29" ph="1"/>
      <c r="G737" s="29" ph="1"/>
    </row>
  </sheetData>
  <mergeCells count="30">
    <mergeCell ref="G384:G387"/>
    <mergeCell ref="B384:B387"/>
    <mergeCell ref="G388:G401"/>
    <mergeCell ref="B388:B401"/>
    <mergeCell ref="A402:C403"/>
    <mergeCell ref="D402:D403"/>
    <mergeCell ref="E402:E403"/>
    <mergeCell ref="F402:G403"/>
    <mergeCell ref="B20:B62"/>
    <mergeCell ref="G20:G62"/>
    <mergeCell ref="G63:G195"/>
    <mergeCell ref="B63:B195"/>
    <mergeCell ref="B196:B227"/>
    <mergeCell ref="B228:B234"/>
    <mergeCell ref="G196:G227"/>
    <mergeCell ref="G228:G234"/>
    <mergeCell ref="G235:G263"/>
    <mergeCell ref="B235:B263"/>
    <mergeCell ref="G264:G383"/>
    <mergeCell ref="B264:B383"/>
    <mergeCell ref="A1:H1"/>
    <mergeCell ref="A2:C2"/>
    <mergeCell ref="D2:H2"/>
    <mergeCell ref="D3:H3"/>
    <mergeCell ref="A4:C4"/>
    <mergeCell ref="A6:C6"/>
    <mergeCell ref="D6:H6"/>
    <mergeCell ref="A7:C10"/>
    <mergeCell ref="D7:H9"/>
    <mergeCell ref="D11:H17"/>
  </mergeCells>
  <phoneticPr fontId="3" type="noConversion"/>
  <pageMargins left="0.25" right="0.25" top="0.75" bottom="0.75" header="0.3" footer="0.3"/>
  <pageSetup paperSize="9" scale="38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4"/>
  <sheetViews>
    <sheetView workbookViewId="0">
      <selection activeCell="A21" sqref="A21:D51"/>
    </sheetView>
  </sheetViews>
  <sheetFormatPr defaultRowHeight="16.5" x14ac:dyDescent="0.3"/>
  <cols>
    <col min="1" max="1" width="13.625" style="50" customWidth="1"/>
    <col min="2" max="2" width="83.875" style="50" bestFit="1" customWidth="1"/>
    <col min="3" max="3" width="8.375" style="50" customWidth="1"/>
    <col min="4" max="4" width="11" style="50" customWidth="1"/>
    <col min="5" max="5" width="18.5" style="50" customWidth="1"/>
    <col min="6" max="6" width="56.375" style="50" customWidth="1"/>
  </cols>
  <sheetData>
    <row r="1" spans="1:6" ht="16.5" customHeight="1" x14ac:dyDescent="0.3">
      <c r="A1" s="124" t="s">
        <v>34</v>
      </c>
      <c r="B1" s="124"/>
      <c r="C1" s="124"/>
      <c r="D1" s="124"/>
      <c r="E1" s="124"/>
      <c r="F1" s="125"/>
    </row>
    <row r="2" spans="1:6" ht="17.25" customHeight="1" thickBot="1" x14ac:dyDescent="0.35">
      <c r="A2" s="126"/>
      <c r="B2" s="126"/>
      <c r="C2" s="126"/>
      <c r="D2" s="126"/>
      <c r="E2" s="126"/>
      <c r="F2" s="127"/>
    </row>
    <row r="3" spans="1:6" ht="17.25" x14ac:dyDescent="0.3">
      <c r="A3" s="30" t="s">
        <v>1</v>
      </c>
      <c r="B3" s="31"/>
      <c r="C3" s="31"/>
      <c r="D3" s="32" t="s">
        <v>2</v>
      </c>
      <c r="E3" s="32"/>
      <c r="F3" s="33"/>
    </row>
    <row r="4" spans="1:6" ht="17.25" x14ac:dyDescent="0.3">
      <c r="A4" s="34" t="s">
        <v>35</v>
      </c>
      <c r="B4" s="35"/>
      <c r="C4" s="31"/>
      <c r="D4" s="128" t="s">
        <v>46</v>
      </c>
      <c r="E4" s="129"/>
      <c r="F4" s="130"/>
    </row>
    <row r="5" spans="1:6" ht="17.25" customHeight="1" x14ac:dyDescent="0.3">
      <c r="A5" s="131" t="s">
        <v>36</v>
      </c>
      <c r="B5" s="132"/>
      <c r="C5" s="133"/>
      <c r="D5" s="54" t="s">
        <v>24</v>
      </c>
      <c r="E5" s="31"/>
      <c r="F5" s="36"/>
    </row>
    <row r="6" spans="1:6" ht="17.25" x14ac:dyDescent="0.3">
      <c r="A6" s="34" t="s">
        <v>37</v>
      </c>
      <c r="B6" s="35"/>
      <c r="C6" s="35"/>
      <c r="D6" s="37"/>
      <c r="E6" s="37"/>
      <c r="F6" s="38"/>
    </row>
    <row r="7" spans="1:6" ht="17.25" x14ac:dyDescent="0.3">
      <c r="A7" s="58" t="s">
        <v>31</v>
      </c>
      <c r="B7" s="59"/>
      <c r="C7" s="59"/>
      <c r="D7" s="60" t="s">
        <v>38</v>
      </c>
      <c r="E7" s="39"/>
      <c r="F7" s="40"/>
    </row>
    <row r="8" spans="1:6" ht="46.5" customHeight="1" x14ac:dyDescent="0.3">
      <c r="A8" s="134"/>
      <c r="B8" s="134"/>
      <c r="C8" s="134"/>
      <c r="D8" s="135" t="s">
        <v>39</v>
      </c>
      <c r="E8" s="136"/>
      <c r="F8" s="137"/>
    </row>
    <row r="9" spans="1:6" ht="17.25" x14ac:dyDescent="0.3">
      <c r="A9" s="140"/>
      <c r="B9" s="133"/>
      <c r="C9" s="141"/>
      <c r="D9" s="138"/>
      <c r="E9" s="139"/>
      <c r="F9" s="137"/>
    </row>
    <row r="10" spans="1:6" ht="17.25" x14ac:dyDescent="0.3">
      <c r="A10" s="140"/>
      <c r="B10" s="133"/>
      <c r="C10" s="41"/>
      <c r="D10" s="138"/>
      <c r="E10" s="139"/>
      <c r="F10" s="137"/>
    </row>
    <row r="11" spans="1:6" ht="17.25" x14ac:dyDescent="0.3">
      <c r="A11" s="142"/>
      <c r="B11" s="143"/>
      <c r="C11" s="143"/>
      <c r="D11" s="39" t="s">
        <v>40</v>
      </c>
      <c r="E11" s="39"/>
      <c r="F11" s="40"/>
    </row>
    <row r="12" spans="1:6" ht="17.25" x14ac:dyDescent="0.3">
      <c r="A12" s="30" t="s">
        <v>8</v>
      </c>
      <c r="B12" s="31"/>
      <c r="C12" s="31"/>
      <c r="D12" s="117"/>
      <c r="E12" s="118"/>
      <c r="F12" s="119"/>
    </row>
    <row r="13" spans="1:6" ht="17.25" x14ac:dyDescent="0.3">
      <c r="A13" s="30"/>
      <c r="B13" s="31"/>
      <c r="C13" s="31"/>
      <c r="D13" s="55"/>
      <c r="E13" s="56"/>
      <c r="F13" s="57"/>
    </row>
    <row r="14" spans="1:6" ht="17.25" x14ac:dyDescent="0.3">
      <c r="A14" s="42" t="s">
        <v>9</v>
      </c>
      <c r="B14" s="43"/>
      <c r="C14" s="31"/>
      <c r="D14" s="117"/>
      <c r="E14" s="118"/>
      <c r="F14" s="119"/>
    </row>
    <row r="15" spans="1:6" ht="17.25" x14ac:dyDescent="0.3">
      <c r="A15" s="52"/>
      <c r="B15" s="44"/>
      <c r="C15" s="31"/>
      <c r="D15" s="117"/>
      <c r="E15" s="118"/>
      <c r="F15" s="119"/>
    </row>
    <row r="16" spans="1:6" ht="17.25" x14ac:dyDescent="0.3">
      <c r="A16" s="58" t="s">
        <v>10</v>
      </c>
      <c r="B16" s="59"/>
      <c r="C16" s="59"/>
      <c r="D16" s="144"/>
      <c r="E16" s="145"/>
      <c r="F16" s="146"/>
    </row>
    <row r="17" spans="1:6" ht="17.25" x14ac:dyDescent="0.3">
      <c r="A17" s="61"/>
      <c r="B17" s="45"/>
      <c r="C17" s="45"/>
      <c r="D17" s="46"/>
      <c r="E17" s="46"/>
      <c r="F17" s="47"/>
    </row>
    <row r="18" spans="1:6" ht="17.25" x14ac:dyDescent="0.3">
      <c r="A18" s="30" t="s">
        <v>41</v>
      </c>
      <c r="B18" s="31"/>
      <c r="C18" s="31"/>
      <c r="D18" s="117"/>
      <c r="E18" s="118"/>
      <c r="F18" s="119"/>
    </row>
    <row r="19" spans="1:6" ht="17.25" x14ac:dyDescent="0.3">
      <c r="A19" s="53"/>
      <c r="B19" s="53"/>
      <c r="C19" s="53"/>
      <c r="D19" s="48"/>
      <c r="E19" s="48"/>
      <c r="F19" s="38"/>
    </row>
    <row r="20" spans="1:6" ht="27" x14ac:dyDescent="0.3">
      <c r="A20" s="75" t="s">
        <v>42</v>
      </c>
      <c r="B20" s="69" t="s">
        <v>43</v>
      </c>
      <c r="C20" s="69" t="s">
        <v>25</v>
      </c>
      <c r="D20" s="76" t="s">
        <v>28</v>
      </c>
      <c r="E20" s="69" t="s">
        <v>29</v>
      </c>
      <c r="F20" s="62" t="s">
        <v>44</v>
      </c>
    </row>
    <row r="21" spans="1:6" x14ac:dyDescent="0.3">
      <c r="A21" s="65"/>
      <c r="B21" s="66"/>
      <c r="C21" s="67"/>
      <c r="D21" s="68"/>
      <c r="E21" s="69" t="s">
        <v>30</v>
      </c>
      <c r="F21" s="114">
        <f>SUM(D21:D51)</f>
        <v>0</v>
      </c>
    </row>
    <row r="22" spans="1:6" x14ac:dyDescent="0.3">
      <c r="A22" s="65"/>
      <c r="B22" s="66"/>
      <c r="C22" s="67"/>
      <c r="D22" s="68"/>
      <c r="E22" s="69" t="s">
        <v>30</v>
      </c>
      <c r="F22" s="115"/>
    </row>
    <row r="23" spans="1:6" x14ac:dyDescent="0.3">
      <c r="A23" s="65"/>
      <c r="B23" s="66"/>
      <c r="C23" s="67"/>
      <c r="D23" s="68"/>
      <c r="E23" s="69" t="s">
        <v>30</v>
      </c>
      <c r="F23" s="115"/>
    </row>
    <row r="24" spans="1:6" x14ac:dyDescent="0.3">
      <c r="A24" s="65"/>
      <c r="B24" s="66"/>
      <c r="C24" s="67"/>
      <c r="D24" s="68"/>
      <c r="E24" s="69" t="s">
        <v>30</v>
      </c>
      <c r="F24" s="115"/>
    </row>
    <row r="25" spans="1:6" x14ac:dyDescent="0.3">
      <c r="A25" s="65"/>
      <c r="B25" s="66"/>
      <c r="C25" s="67"/>
      <c r="D25" s="68"/>
      <c r="E25" s="69" t="s">
        <v>30</v>
      </c>
      <c r="F25" s="115"/>
    </row>
    <row r="26" spans="1:6" x14ac:dyDescent="0.3">
      <c r="A26" s="65"/>
      <c r="B26" s="66"/>
      <c r="C26" s="67"/>
      <c r="D26" s="68"/>
      <c r="E26" s="69" t="s">
        <v>30</v>
      </c>
      <c r="F26" s="115"/>
    </row>
    <row r="27" spans="1:6" x14ac:dyDescent="0.3">
      <c r="A27" s="65"/>
      <c r="B27" s="66"/>
      <c r="C27" s="67"/>
      <c r="D27" s="68"/>
      <c r="E27" s="69" t="s">
        <v>30</v>
      </c>
      <c r="F27" s="115"/>
    </row>
    <row r="28" spans="1:6" x14ac:dyDescent="0.3">
      <c r="A28" s="65"/>
      <c r="B28" s="66"/>
      <c r="C28" s="67"/>
      <c r="D28" s="68"/>
      <c r="E28" s="69" t="s">
        <v>30</v>
      </c>
      <c r="F28" s="115"/>
    </row>
    <row r="29" spans="1:6" x14ac:dyDescent="0.3">
      <c r="A29" s="65"/>
      <c r="B29" s="66"/>
      <c r="C29" s="67"/>
      <c r="D29" s="68"/>
      <c r="E29" s="69" t="s">
        <v>30</v>
      </c>
      <c r="F29" s="115"/>
    </row>
    <row r="30" spans="1:6" x14ac:dyDescent="0.3">
      <c r="A30" s="65"/>
      <c r="B30" s="66"/>
      <c r="C30" s="67"/>
      <c r="D30" s="68"/>
      <c r="E30" s="69" t="s">
        <v>30</v>
      </c>
      <c r="F30" s="115"/>
    </row>
    <row r="31" spans="1:6" x14ac:dyDescent="0.3">
      <c r="A31" s="65"/>
      <c r="B31" s="66"/>
      <c r="C31" s="67"/>
      <c r="D31" s="68"/>
      <c r="E31" s="69" t="s">
        <v>30</v>
      </c>
      <c r="F31" s="115"/>
    </row>
    <row r="32" spans="1:6" x14ac:dyDescent="0.3">
      <c r="A32" s="65"/>
      <c r="B32" s="66"/>
      <c r="C32" s="67"/>
      <c r="D32" s="68"/>
      <c r="E32" s="69" t="s">
        <v>30</v>
      </c>
      <c r="F32" s="115"/>
    </row>
    <row r="33" spans="1:6" x14ac:dyDescent="0.3">
      <c r="A33" s="65"/>
      <c r="B33" s="66"/>
      <c r="C33" s="67"/>
      <c r="D33" s="68"/>
      <c r="E33" s="69" t="s">
        <v>30</v>
      </c>
      <c r="F33" s="115"/>
    </row>
    <row r="34" spans="1:6" x14ac:dyDescent="0.3">
      <c r="A34" s="65"/>
      <c r="B34" s="66"/>
      <c r="C34" s="67"/>
      <c r="D34" s="68"/>
      <c r="E34" s="69" t="s">
        <v>30</v>
      </c>
      <c r="F34" s="115"/>
    </row>
    <row r="35" spans="1:6" x14ac:dyDescent="0.3">
      <c r="A35" s="65"/>
      <c r="B35" s="66"/>
      <c r="C35" s="67"/>
      <c r="D35" s="68"/>
      <c r="E35" s="69" t="s">
        <v>30</v>
      </c>
      <c r="F35" s="115"/>
    </row>
    <row r="36" spans="1:6" x14ac:dyDescent="0.3">
      <c r="A36" s="65"/>
      <c r="B36" s="66"/>
      <c r="C36" s="67"/>
      <c r="D36" s="68"/>
      <c r="E36" s="69" t="s">
        <v>30</v>
      </c>
      <c r="F36" s="115"/>
    </row>
    <row r="37" spans="1:6" x14ac:dyDescent="0.3">
      <c r="A37" s="65"/>
      <c r="B37" s="66"/>
      <c r="C37" s="67"/>
      <c r="D37" s="68"/>
      <c r="E37" s="69" t="s">
        <v>30</v>
      </c>
      <c r="F37" s="115"/>
    </row>
    <row r="38" spans="1:6" x14ac:dyDescent="0.3">
      <c r="A38" s="65"/>
      <c r="B38" s="66"/>
      <c r="C38" s="67"/>
      <c r="D38" s="68"/>
      <c r="E38" s="69" t="s">
        <v>30</v>
      </c>
      <c r="F38" s="115"/>
    </row>
    <row r="39" spans="1:6" x14ac:dyDescent="0.3">
      <c r="A39" s="65"/>
      <c r="B39" s="66"/>
      <c r="C39" s="67"/>
      <c r="D39" s="68"/>
      <c r="E39" s="69" t="s">
        <v>30</v>
      </c>
      <c r="F39" s="115"/>
    </row>
    <row r="40" spans="1:6" x14ac:dyDescent="0.3">
      <c r="A40" s="65"/>
      <c r="B40" s="66"/>
      <c r="C40" s="67"/>
      <c r="D40" s="68"/>
      <c r="E40" s="69" t="s">
        <v>30</v>
      </c>
      <c r="F40" s="115"/>
    </row>
    <row r="41" spans="1:6" x14ac:dyDescent="0.3">
      <c r="A41" s="65"/>
      <c r="B41" s="66"/>
      <c r="C41" s="67"/>
      <c r="D41" s="68"/>
      <c r="E41" s="69" t="s">
        <v>30</v>
      </c>
      <c r="F41" s="115"/>
    </row>
    <row r="42" spans="1:6" x14ac:dyDescent="0.3">
      <c r="A42" s="65"/>
      <c r="B42" s="66"/>
      <c r="C42" s="67"/>
      <c r="D42" s="68"/>
      <c r="E42" s="69" t="s">
        <v>30</v>
      </c>
      <c r="F42" s="115"/>
    </row>
    <row r="43" spans="1:6" x14ac:dyDescent="0.3">
      <c r="A43" s="65"/>
      <c r="B43" s="66"/>
      <c r="C43" s="67"/>
      <c r="D43" s="68"/>
      <c r="E43" s="69" t="s">
        <v>30</v>
      </c>
      <c r="F43" s="115"/>
    </row>
    <row r="44" spans="1:6" x14ac:dyDescent="0.3">
      <c r="A44" s="65"/>
      <c r="B44" s="66"/>
      <c r="C44" s="67"/>
      <c r="D44" s="68"/>
      <c r="E44" s="69" t="s">
        <v>30</v>
      </c>
      <c r="F44" s="115"/>
    </row>
    <row r="45" spans="1:6" x14ac:dyDescent="0.3">
      <c r="A45" s="65"/>
      <c r="B45" s="66"/>
      <c r="C45" s="67"/>
      <c r="D45" s="68"/>
      <c r="E45" s="69" t="s">
        <v>30</v>
      </c>
      <c r="F45" s="115"/>
    </row>
    <row r="46" spans="1:6" x14ac:dyDescent="0.3">
      <c r="A46" s="65"/>
      <c r="B46" s="66"/>
      <c r="C46" s="67"/>
      <c r="D46" s="68"/>
      <c r="E46" s="69" t="s">
        <v>30</v>
      </c>
      <c r="F46" s="115"/>
    </row>
    <row r="47" spans="1:6" x14ac:dyDescent="0.3">
      <c r="A47" s="65"/>
      <c r="B47" s="66"/>
      <c r="C47" s="67"/>
      <c r="D47" s="68"/>
      <c r="E47" s="69" t="s">
        <v>30</v>
      </c>
      <c r="F47" s="115"/>
    </row>
    <row r="48" spans="1:6" x14ac:dyDescent="0.3">
      <c r="A48" s="65"/>
      <c r="B48" s="66"/>
      <c r="C48" s="67"/>
      <c r="D48" s="68"/>
      <c r="E48" s="69" t="s">
        <v>30</v>
      </c>
      <c r="F48" s="115"/>
    </row>
    <row r="49" spans="1:6" x14ac:dyDescent="0.3">
      <c r="A49" s="65"/>
      <c r="B49" s="66"/>
      <c r="C49" s="67"/>
      <c r="D49" s="68"/>
      <c r="E49" s="69" t="s">
        <v>30</v>
      </c>
      <c r="F49" s="115"/>
    </row>
    <row r="50" spans="1:6" x14ac:dyDescent="0.3">
      <c r="A50" s="65"/>
      <c r="B50" s="66"/>
      <c r="C50" s="67"/>
      <c r="D50" s="68"/>
      <c r="E50" s="69" t="s">
        <v>30</v>
      </c>
      <c r="F50" s="115"/>
    </row>
    <row r="51" spans="1:6" x14ac:dyDescent="0.3">
      <c r="A51" s="65"/>
      <c r="B51" s="66"/>
      <c r="C51" s="67"/>
      <c r="D51" s="68"/>
      <c r="E51" s="69" t="s">
        <v>30</v>
      </c>
      <c r="F51" s="116"/>
    </row>
    <row r="52" spans="1:6" x14ac:dyDescent="0.3">
      <c r="A52" s="120" t="s">
        <v>26</v>
      </c>
      <c r="B52" s="121"/>
      <c r="C52" s="70">
        <f>SUM(C21:C51)</f>
        <v>0</v>
      </c>
      <c r="D52" s="122" t="s">
        <v>27</v>
      </c>
      <c r="E52" s="123"/>
      <c r="F52" s="49">
        <f>+F21</f>
        <v>0</v>
      </c>
    </row>
    <row r="53" spans="1:6" ht="15" customHeight="1" x14ac:dyDescent="0.3"/>
    <row r="54" spans="1:6" x14ac:dyDescent="0.3">
      <c r="C54" s="51"/>
    </row>
  </sheetData>
  <mergeCells count="16">
    <mergeCell ref="F21:F51"/>
    <mergeCell ref="D18:F18"/>
    <mergeCell ref="A52:B52"/>
    <mergeCell ref="D52:E52"/>
    <mergeCell ref="A1:F2"/>
    <mergeCell ref="D4:F4"/>
    <mergeCell ref="A5:C5"/>
    <mergeCell ref="A8:C8"/>
    <mergeCell ref="D8:F10"/>
    <mergeCell ref="A9:C9"/>
    <mergeCell ref="A10:B10"/>
    <mergeCell ref="A11:C11"/>
    <mergeCell ref="D12:F12"/>
    <mergeCell ref="D14:F14"/>
    <mergeCell ref="D15:F15"/>
    <mergeCell ref="D16:F16"/>
  </mergeCells>
  <phoneticPr fontId="3" type="noConversion"/>
  <pageMargins left="0.25" right="0.25" top="0.75" bottom="0.75" header="0.3" footer="0.3"/>
  <pageSetup paperSize="9" scale="51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ANNECY</dc:creator>
  <cp:lastModifiedBy>annecy</cp:lastModifiedBy>
  <cp:lastPrinted>2024-03-15T04:44:43Z</cp:lastPrinted>
  <dcterms:created xsi:type="dcterms:W3CDTF">2020-05-29T07:16:36Z</dcterms:created>
  <dcterms:modified xsi:type="dcterms:W3CDTF">2026-09-02T06:09:41Z</dcterms:modified>
</cp:coreProperties>
</file>
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DEB2B3A6-6866-46CE-A693-6CDC25B2919A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Invoice" sheetId="1" r:id="rId1"/>
  </sheets>
  <definedNames>
    <definedName name="_xlnm._FilterDatabase" localSheetId="0" hidden="1">Invoice!$A$2:$U$54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G50" i="1" l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U5" i="1"/>
  <c r="W5" i="1" s="1"/>
  <c r="I5" i="1"/>
  <c r="U4" i="1"/>
  <c r="G4" i="1" s="1"/>
  <c r="I4" i="1"/>
  <c r="J32" i="1" l="1"/>
  <c r="G5" i="1"/>
  <c r="J22" i="1"/>
  <c r="G51" i="1"/>
  <c r="G53" i="1" s="1"/>
  <c r="G54" i="1" s="1"/>
  <c r="J4" i="1"/>
  <c r="J42" i="1"/>
  <c r="J35" i="1"/>
  <c r="E51" i="1"/>
  <c r="W4" i="1"/>
</calcChain>
</file>

<file path=xl/sharedStrings.xml><?xml version="1.0" encoding="utf-8"?>
<sst xmlns="http://schemas.openxmlformats.org/spreadsheetml/2006/main" count="163" uniqueCount="78">
  <si>
    <t>HS-CODE</t>
  </si>
  <si>
    <t>Brand</t>
  </si>
  <si>
    <t>Description of Goods</t>
  </si>
  <si>
    <t xml:space="preserve">ORDER Q'TY       </t>
  </si>
  <si>
    <t>Unit Price</t>
  </si>
  <si>
    <t>Amount(\)</t>
  </si>
  <si>
    <t>OUTBOX</t>
  </si>
  <si>
    <t>box</t>
  </si>
  <si>
    <t>ea</t>
  </si>
  <si>
    <t>Product name</t>
  </si>
  <si>
    <t>barcode</t>
  </si>
  <si>
    <t>3304.99-1000</t>
  </si>
  <si>
    <t>CELIMAX</t>
  </si>
  <si>
    <t>CELIMAX DUAL BARRIER CREAMY TONER 150ML</t>
  </si>
  <si>
    <t>3307.90-9000</t>
  </si>
  <si>
    <t>CELIMAX JI WOO GAE HEARTLEAF BHA PEELING PAD 60PADS</t>
  </si>
  <si>
    <t>CELIMAX THE REAL NONI STARTER KIT</t>
  </si>
  <si>
    <t>CELIMAX DUAL BARRIER TRIAL KIT</t>
  </si>
  <si>
    <t>3401.30-0000</t>
  </si>
  <si>
    <t>CELIMAX THE REAL NONI ACNE BUBBLE CLEANSER 155ML</t>
  </si>
  <si>
    <t xml:space="preserve">8809541379468					</t>
  </si>
  <si>
    <t>CELIMAX DERMA NATURE FRESH BLACKHEAD JOJOBA CLEANSING OIL 150ML</t>
  </si>
  <si>
    <t>CELIMAX THE REAL NONI CALMING GLOW PAD 50EA</t>
  </si>
  <si>
    <t>CELIMAX THE REAL CICA SOOTHING CREAM 50ML</t>
  </si>
  <si>
    <t>CELIMAX THE REAL CICA NIACINAMIDE AC CALMING SERUM 40ML</t>
  </si>
  <si>
    <t>CELIMAX THE REAL NONI ENERGY REPAIR CREAM 50ML</t>
  </si>
  <si>
    <t>CELIMAX OIL CONTROL MOISTURIZING CREAM 80ML</t>
  </si>
  <si>
    <t>CELIMAX PORE+DARK SPOT BRIGHTENING KIT</t>
  </si>
  <si>
    <t>CELIMAX ONE STEP BODY BRIGHTENING PAD 60PADS</t>
  </si>
  <si>
    <t>CELIMAX JI WOO GAE ONE STEP MILD CLEANSING PAD 60PADS</t>
  </si>
  <si>
    <t>CELIMAX DUAL BARRIER MILD GEL CLEANSER 200ML</t>
  </si>
  <si>
    <t>CELIMAX THE REAL NONI REFRESH CLAY MASK 120G</t>
  </si>
  <si>
    <t>CELIMAX DERMA NATURE GLUTATHIONE LONGLASTING TONE-UP CREAM 35ML</t>
  </si>
  <si>
    <t>CELIMAX DERMA NATURE RELIEF MADECICA PH BALANCING FOAM CLEANSING 150ML</t>
  </si>
  <si>
    <t>Round Lab</t>
  </si>
  <si>
    <t xml:space="preserve">1025 DOKDO CLEANSER_150ml  </t>
  </si>
  <si>
    <t>1025 DOKDO BUBBLE FOAM_150ml</t>
  </si>
  <si>
    <t>PINE CALMING CICA CLEANSER_150ml</t>
  </si>
  <si>
    <t>PINE CALMING CICA BODY WASH_400ml</t>
  </si>
  <si>
    <t>PINE CALMING CICA CREAM PLUS_60ml</t>
  </si>
  <si>
    <t>ROUND LAB CAMELLIA DEEP COLLAGEN FIRMING CREAM_50ml</t>
  </si>
  <si>
    <t>1025 DOKDO TONER_200ml</t>
  </si>
  <si>
    <t>PINE CALMING CICA PAD_50pcs</t>
  </si>
  <si>
    <t>SOYBEAN SERUM_50ml</t>
  </si>
  <si>
    <t>ROUND LAB STICK POUCH KIT</t>
  </si>
  <si>
    <t>SKIN1004</t>
  </si>
  <si>
    <t>SKIN1004 Madagascar Centella Ampoule 55ml</t>
  </si>
  <si>
    <t>SKIN1004 Madagascar Centella Tone Brightening Capsule Ampoule 100ml</t>
  </si>
  <si>
    <t>SKIN1004 Madagascar Centella Soothing Cream 75ml</t>
  </si>
  <si>
    <t>MEDICUBE</t>
  </si>
  <si>
    <t>PDRN PINK PEPTIDE SERUM 30ml</t>
  </si>
  <si>
    <t>PDRN PINK EXOSOME SHOT SERUM 7500 30ml</t>
  </si>
  <si>
    <t>PDRN PINK EXOSOME SHOT SERUM 2000 30ml</t>
  </si>
  <si>
    <t>TXA NIACINAMIDE CAPSULE CREAM 55g</t>
  </si>
  <si>
    <t>PDRN PINK COLLAGEN CAPSULE CREAM 55g</t>
  </si>
  <si>
    <t>PDRN PINK HYALURONIC MOISTURIZING CREAM 50ml</t>
  </si>
  <si>
    <t>VT COSMETICS</t>
  </si>
  <si>
    <t>VT REEDLE S LIP PLUMPER EXPERT</t>
  </si>
  <si>
    <t>DERMA FACTORY</t>
  </si>
  <si>
    <t>[Derma Factory] PDRN 4% Ampoule</t>
  </si>
  <si>
    <t>[Derma Factory] Tranexamic Acid 6% Cream</t>
  </si>
  <si>
    <t>[Derma Factory] Retinal 300ppm Cream</t>
  </si>
  <si>
    <t>[Derma Factory] Niacinamide 20% Serum</t>
  </si>
  <si>
    <t>[Derma Factory] Porphyrin 20% Ampoule stick</t>
  </si>
  <si>
    <t>[Derma Factory]  Bakuchiol Spicule Cream</t>
  </si>
  <si>
    <t>[Derma Factory] Matrixyl 15% +  Argireline 2% Serum</t>
  </si>
  <si>
    <t>8809331317182</t>
  </si>
  <si>
    <t>Manyo</t>
  </si>
  <si>
    <t>BIFIDA BIOME AMPOULE TONER 210ml</t>
  </si>
  <si>
    <t>Partial Confirmation</t>
  </si>
  <si>
    <t xml:space="preserve">Container </t>
  </si>
  <si>
    <t>Container 40pt box loading costs</t>
  </si>
  <si>
    <t>Total Q'TY</t>
  </si>
  <si>
    <t>Total Amount</t>
  </si>
  <si>
    <t>Deposit</t>
  </si>
  <si>
    <t xml:space="preserve">Remainder </t>
  </si>
  <si>
    <t>KRW PRICE</t>
  </si>
  <si>
    <t>USD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</si>
</sst>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6" formatCode="_-&quot;₩&quot;* #,##0_-;\-&quot;₩&quot;* #,##0_-;_-&quot;₩&quot;* &quot;-&quot;_-;_-@_-"/>
    <numFmt numFmtId="167" formatCode="_-* #,##0_-;\-* #,##0_-;_-* \-_-;_-@_-"/>
    <numFmt numFmtId="168" formatCode="_-[$₩-412]* #,##0_-;\-[$₩-412]* #,##0_-;_-[$₩-412]* \-??_-;_-@_-"/>
    <numFmt numFmtId="169" formatCode="#,##0&quot;  USD  &quot;"/>
    <numFmt numFmtId="172" formatCode="0_);[Red]\(0\)"/>
    <numFmt numFmtId="179" formatCode="#,##0_ ;[Red]\-#,##0\ "/>
    <numFmt numFmtId="180" formatCode="#,##0_ "/>
    <numFmt numFmtId="181" formatCode="0_ "/>
    <numFmt numFmtId="182" formatCode="_-[$₩-412]* #,##0_-;\-[$₩-412]* #,##0_-;_-[$₩-412]* &quot;-&quot;??_-;_-@_-"/>
  </numFmts>
  <fonts count="18">
    <font>
      <sz val="11"/>
      <color rgb="FF000000"/>
      <name val="맑은 고딕"/>
      <charset val="1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2"/>
      <name val="돋움"/>
      <family val="3"/>
      <charset val="129"/>
    </font>
    <font>
      <sz val="10"/>
      <name val="Calibri"/>
      <family val="2"/>
      <scheme val="minor"/>
    </font>
    <font>
      <sz val="11"/>
      <name val="돋움"/>
      <family val="3"/>
      <charset val="129"/>
    </font>
    <font>
      <sz val="16"/>
      <name val="돋움"/>
      <family val="3"/>
      <charset val="129"/>
    </font>
    <font>
      <sz val="10"/>
      <color rgb="FF000000"/>
      <name val="Calibri"/>
      <family val="2"/>
      <scheme val="minor"/>
    </font>
    <font>
      <sz val="11"/>
      <color rgb="FF000000"/>
      <name val="맑은 고딕"/>
      <family val="3"/>
      <charset val="129"/>
    </font>
    <font>
      <sz val="11"/>
      <color rgb="FFFFFF00"/>
      <name val="맑은 고딕"/>
      <family val="3"/>
      <charset val="129"/>
    </font>
    <font>
      <b/>
      <sz val="1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8"/>
      <color rgb="FF333333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8"/>
      <name val="돋움"/>
      <family val="3"/>
      <charset val="129"/>
    </font>
    <font>
      <b/>
      <sz val="24"/>
      <color rgb="FF33333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FFF0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B"/>
      </patternFill>
    </fill>
    <fill>
      <patternFill patternType="solid">
        <fgColor rgb="FFFFFF00"/>
        <bgColor rgb="FFCC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B0007"/>
      </patternFill>
    </fill>
    <fill>
      <patternFill patternType="solid">
        <fgColor rgb="FF92D050"/>
        <bgColor rgb="FFCCFFFF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33CCCC"/>
      </patternFill>
    </fill>
    <fill>
      <patternFill patternType="solid">
        <fgColor theme="0"/>
        <bgColor rgb="FFCCCCFF"/>
      </patternFill>
    </fill>
    <fill>
      <patternFill patternType="solid">
        <fgColor rgb="FF92D050"/>
        <bgColor rgb="FF00A933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164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7" fontId="8" fillId="0" borderId="0" applyBorder="0" applyProtection="0"/>
    <xf numFmtId="167" fontId="8" fillId="0" borderId="0" applyBorder="0" applyProtection="0"/>
    <xf numFmtId="0" fontId="8" fillId="0" borderId="0"/>
    <xf numFmtId="0" fontId="8" fillId="0" borderId="0">
      <alignment vertical="center"/>
    </xf>
    <xf numFmtId="0" fontId="5" fillId="0" borderId="0">
      <alignment vertical="center"/>
    </xf>
    <xf numFmtId="168" fontId="14" fillId="0" borderId="0">
      <alignment vertical="center"/>
    </xf>
    <xf numFmtId="0" fontId="15" fillId="0" borderId="0"/>
    <xf numFmtId="0" fontId="5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9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172" fontId="4" fillId="2" borderId="5" xfId="0" applyNumberFormat="1" applyFont="1" applyFill="1" applyBorder="1" applyAlignment="1">
      <alignment horizontal="center" vertical="center"/>
    </xf>
    <xf numFmtId="172" fontId="4" fillId="3" borderId="5" xfId="0" applyNumberFormat="1" applyFont="1" applyFill="1" applyBorder="1" applyAlignment="1">
      <alignment horizontal="center" vertical="center"/>
    </xf>
    <xf numFmtId="172" fontId="4" fillId="3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/>
    </xf>
    <xf numFmtId="0" fontId="0" fillId="5" borderId="0" xfId="0" applyFill="1"/>
    <xf numFmtId="0" fontId="2" fillId="0" borderId="0" xfId="0" applyFont="1" applyAlignment="1">
      <alignment horizontal="center" vertical="center"/>
    </xf>
    <xf numFmtId="0" fontId="4" fillId="0" borderId="2" xfId="10" applyFont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172" fontId="4" fillId="8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right"/>
    </xf>
    <xf numFmtId="168" fontId="4" fillId="9" borderId="5" xfId="0" applyNumberFormat="1" applyFont="1" applyFill="1" applyBorder="1" applyAlignment="1">
      <alignment horizontal="right"/>
    </xf>
    <xf numFmtId="166" fontId="7" fillId="7" borderId="5" xfId="2" applyFont="1" applyFill="1" applyBorder="1" applyAlignment="1">
      <alignment vertical="center"/>
    </xf>
    <xf numFmtId="0" fontId="2" fillId="7" borderId="17" xfId="0" applyFont="1" applyFill="1" applyBorder="1" applyAlignment="1">
      <alignment horizontal="center" vertical="center"/>
    </xf>
    <xf numFmtId="179" fontId="2" fillId="7" borderId="17" xfId="0" applyNumberFormat="1" applyFont="1" applyFill="1" applyBorder="1" applyAlignment="1">
      <alignment vertical="center"/>
    </xf>
    <xf numFmtId="0" fontId="0" fillId="7" borderId="17" xfId="0" applyFill="1" applyBorder="1"/>
    <xf numFmtId="0" fontId="2" fillId="7" borderId="17" xfId="0" applyFont="1" applyFill="1" applyBorder="1" applyAlignment="1">
      <alignment vertical="center"/>
    </xf>
    <xf numFmtId="0" fontId="2" fillId="7" borderId="18" xfId="0" applyFont="1" applyFill="1" applyBorder="1" applyAlignment="1">
      <alignment vertical="center"/>
    </xf>
    <xf numFmtId="180" fontId="8" fillId="7" borderId="19" xfId="0" applyNumberFormat="1" applyFont="1" applyFill="1" applyBorder="1"/>
    <xf numFmtId="0" fontId="2" fillId="7" borderId="20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right"/>
    </xf>
    <xf numFmtId="168" fontId="4" fillId="10" borderId="5" xfId="0" applyNumberFormat="1" applyFont="1" applyFill="1" applyBorder="1" applyAlignment="1">
      <alignment horizontal="right"/>
    </xf>
    <xf numFmtId="166" fontId="7" fillId="10" borderId="5" xfId="2" applyFont="1" applyFill="1" applyBorder="1" applyAlignment="1">
      <alignment vertical="center"/>
    </xf>
    <xf numFmtId="0" fontId="2" fillId="10" borderId="5" xfId="0" applyFont="1" applyFill="1" applyBorder="1" applyAlignment="1">
      <alignment horizontal="center" vertical="center"/>
    </xf>
    <xf numFmtId="179" fontId="2" fillId="10" borderId="5" xfId="0" applyNumberFormat="1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10" borderId="6" xfId="0" applyFont="1" applyFill="1" applyBorder="1" applyAlignment="1">
      <alignment vertical="center"/>
    </xf>
    <xf numFmtId="180" fontId="8" fillId="10" borderId="21" xfId="0" applyNumberFormat="1" applyFont="1" applyFill="1" applyBorder="1"/>
    <xf numFmtId="0" fontId="2" fillId="10" borderId="22" xfId="0" applyFont="1" applyFill="1" applyBorder="1" applyAlignment="1">
      <alignment vertical="center"/>
    </xf>
    <xf numFmtId="168" fontId="4" fillId="11" borderId="5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12" borderId="5" xfId="0" applyFont="1" applyFill="1" applyBorder="1" applyAlignment="1">
      <alignment horizontal="right"/>
    </xf>
    <xf numFmtId="168" fontId="4" fillId="12" borderId="5" xfId="0" applyNumberFormat="1" applyFont="1" applyFill="1" applyBorder="1" applyAlignment="1">
      <alignment horizontal="right"/>
    </xf>
    <xf numFmtId="0" fontId="4" fillId="3" borderId="2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right"/>
    </xf>
    <xf numFmtId="0" fontId="2" fillId="10" borderId="21" xfId="0" applyFont="1" applyFill="1" applyBorder="1" applyAlignment="1">
      <alignment vertical="center"/>
    </xf>
    <xf numFmtId="0" fontId="4" fillId="14" borderId="5" xfId="0" applyFont="1" applyFill="1" applyBorder="1" applyAlignment="1">
      <alignment horizontal="right"/>
    </xf>
    <xf numFmtId="0" fontId="4" fillId="15" borderId="23" xfId="0" applyFont="1" applyFill="1" applyBorder="1" applyAlignment="1">
      <alignment horizontal="center"/>
    </xf>
    <xf numFmtId="168" fontId="4" fillId="14" borderId="5" xfId="0" applyNumberFormat="1" applyFont="1" applyFill="1" applyBorder="1" applyAlignment="1">
      <alignment horizontal="right"/>
    </xf>
    <xf numFmtId="168" fontId="4" fillId="16" borderId="5" xfId="0" applyNumberFormat="1" applyFont="1" applyFill="1" applyBorder="1" applyAlignment="1">
      <alignment horizontal="right"/>
    </xf>
    <xf numFmtId="172" fontId="4" fillId="4" borderId="5" xfId="3" applyNumberFormat="1" applyFont="1" applyFill="1" applyBorder="1" applyAlignment="1" applyProtection="1">
      <alignment horizontal="left" vertical="center" wrapText="1"/>
    </xf>
    <xf numFmtId="172" fontId="4" fillId="4" borderId="5" xfId="3" applyNumberFormat="1" applyFont="1" applyFill="1" applyBorder="1" applyAlignment="1" applyProtection="1">
      <alignment horizontal="center" vertical="center"/>
    </xf>
    <xf numFmtId="181" fontId="4" fillId="4" borderId="5" xfId="0" applyNumberFormat="1" applyFont="1" applyFill="1" applyBorder="1" applyAlignment="1">
      <alignment horizontal="center" vertical="center"/>
    </xf>
    <xf numFmtId="172" fontId="4" fillId="4" borderId="5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left" vertical="center"/>
    </xf>
    <xf numFmtId="1" fontId="7" fillId="3" borderId="5" xfId="0" applyNumberFormat="1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right"/>
    </xf>
    <xf numFmtId="168" fontId="7" fillId="10" borderId="5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/>
    </xf>
    <xf numFmtId="181" fontId="7" fillId="3" borderId="5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right"/>
    </xf>
    <xf numFmtId="168" fontId="7" fillId="7" borderId="5" xfId="0" applyNumberFormat="1" applyFont="1" applyFill="1" applyBorder="1" applyAlignment="1">
      <alignment horizontal="right"/>
    </xf>
    <xf numFmtId="182" fontId="7" fillId="7" borderId="5" xfId="0" applyNumberFormat="1" applyFont="1" applyFill="1" applyBorder="1" applyAlignment="1">
      <alignment vertical="center"/>
    </xf>
    <xf numFmtId="0" fontId="2" fillId="7" borderId="24" xfId="0" applyFont="1" applyFill="1" applyBorder="1" applyAlignment="1">
      <alignment horizontal="center" vertical="center"/>
    </xf>
    <xf numFmtId="179" fontId="2" fillId="7" borderId="24" xfId="0" applyNumberFormat="1" applyFont="1" applyFill="1" applyBorder="1" applyAlignment="1">
      <alignment vertical="center"/>
    </xf>
    <xf numFmtId="0" fontId="2" fillId="7" borderId="24" xfId="0" applyFont="1" applyFill="1" applyBorder="1" applyAlignment="1">
      <alignment vertical="center"/>
    </xf>
    <xf numFmtId="0" fontId="2" fillId="7" borderId="25" xfId="0" applyFont="1" applyFill="1" applyBorder="1" applyAlignment="1">
      <alignment vertical="center"/>
    </xf>
    <xf numFmtId="0" fontId="2" fillId="10" borderId="26" xfId="0" applyFont="1" applyFill="1" applyBorder="1" applyAlignment="1">
      <alignment vertical="center"/>
    </xf>
    <xf numFmtId="0" fontId="2" fillId="10" borderId="27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right"/>
    </xf>
    <xf numFmtId="168" fontId="7" fillId="3" borderId="5" xfId="0" applyNumberFormat="1" applyFont="1" applyFill="1" applyBorder="1" applyAlignment="1">
      <alignment horizontal="right"/>
    </xf>
    <xf numFmtId="182" fontId="7" fillId="3" borderId="28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168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81" fontId="11" fillId="3" borderId="11" xfId="0" applyNumberFormat="1" applyFont="1" applyFill="1" applyBorder="1" applyAlignment="1">
      <alignment horizontal="right" vertical="center"/>
    </xf>
    <xf numFmtId="169" fontId="10" fillId="3" borderId="8" xfId="10" applyNumberFormat="1" applyFont="1" applyFill="1" applyBorder="1" applyAlignment="1">
      <alignment horizontal="right" vertical="center"/>
    </xf>
    <xf numFmtId="0" fontId="5" fillId="0" borderId="1" xfId="10" applyBorder="1" applyAlignment="1">
      <alignment horizontal="left" vertical="center"/>
    </xf>
    <xf numFmtId="0" fontId="5" fillId="0" borderId="0" xfId="10" applyAlignment="1">
      <alignment horizontal="left" vertical="center"/>
    </xf>
    <xf numFmtId="0" fontId="6" fillId="0" borderId="0" xfId="10" applyFont="1" applyAlignment="1">
      <alignment horizontal="center" vertical="center"/>
    </xf>
    <xf numFmtId="169" fontId="2" fillId="0" borderId="14" xfId="0" applyNumberFormat="1" applyFont="1" applyBorder="1" applyAlignment="1">
      <alignment vertical="center"/>
    </xf>
    <xf numFmtId="182" fontId="12" fillId="7" borderId="7" xfId="0" applyNumberFormat="1" applyFont="1" applyFill="1" applyBorder="1" applyAlignment="1">
      <alignment horizontal="right" vertical="center" wrapText="1"/>
    </xf>
    <xf numFmtId="182" fontId="12" fillId="7" borderId="29" xfId="0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left" vertical="center"/>
    </xf>
    <xf numFmtId="164" fontId="12" fillId="17" borderId="30" xfId="1" applyFont="1" applyFill="1" applyBorder="1" applyAlignment="1">
      <alignment horizontal="right" vertical="center" wrapText="1"/>
    </xf>
    <xf numFmtId="0" fontId="13" fillId="17" borderId="0" xfId="0" applyFont="1" applyFill="1" applyAlignment="1">
      <alignment horizontal="left" vertical="center"/>
    </xf>
    <xf numFmtId="9" fontId="3" fillId="7" borderId="12" xfId="10" applyNumberFormat="1" applyFont="1" applyFill="1" applyBorder="1" applyAlignment="1">
      <alignment horizontal="center" vertical="center"/>
    </xf>
    <xf numFmtId="9" fontId="3" fillId="7" borderId="9" xfId="10" applyNumberFormat="1" applyFont="1" applyFill="1" applyBorder="1" applyAlignment="1">
      <alignment horizontal="center" vertical="center"/>
    </xf>
    <xf numFmtId="0" fontId="4" fillId="0" borderId="13" xfId="1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2" fillId="10" borderId="5" xfId="0" applyNumberFormat="1" applyFont="1" applyFill="1" applyBorder="1" applyAlignment="1">
      <alignment horizontal="center" vertical="center"/>
    </xf>
    <xf numFmtId="0" fontId="4" fillId="0" borderId="4" xfId="10" applyFont="1" applyBorder="1" applyAlignment="1">
      <alignment horizontal="center" vertical="center" wrapText="1"/>
    </xf>
    <xf numFmtId="0" fontId="10" fillId="3" borderId="9" xfId="10" applyFont="1" applyFill="1" applyBorder="1" applyAlignment="1">
      <alignment horizontal="right" vertical="center"/>
    </xf>
    <xf numFmtId="0" fontId="4" fillId="0" borderId="12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5" xfId="10" applyFont="1" applyBorder="1" applyAlignment="1">
      <alignment horizontal="center" vertical="center" wrapText="1"/>
    </xf>
    <xf numFmtId="169" fontId="4" fillId="0" borderId="10" xfId="1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2" fontId="17" fillId="3" borderId="3" xfId="0" applyNumberFormat="1" applyFont="1" applyFill="1" applyBorder="1" applyAlignment="1">
      <alignment horizontal="right" vertical="center"/>
    </xf>
  </cellXfs>
  <cellStyles count="11">
    <cellStyle name="Excel Built-in Comma [0] 1" xfId="3" xr:uid="{00000000-0005-0000-0000-000031000000}"/>
    <cellStyle name="Денежный" xfId="1" builtinId="4"/>
    <cellStyle name="Денежный [0]" xfId="2" builtinId="7"/>
    <cellStyle name="Обычный" xfId="0" builtinId="0"/>
    <cellStyle name="쉼표 [0] 4" xfId="4" xr:uid="{00000000-0005-0000-0000-000032000000}"/>
    <cellStyle name="표준 107" xfId="5" xr:uid="{00000000-0005-0000-0000-000033000000}"/>
    <cellStyle name="표준 2" xfId="6" xr:uid="{00000000-0005-0000-0000-000034000000}"/>
    <cellStyle name="표준 2 2" xfId="7" xr:uid="{00000000-0005-0000-0000-000035000000}"/>
    <cellStyle name="표준 4" xfId="8" xr:uid="{00000000-0005-0000-0000-000036000000}"/>
    <cellStyle name="표준 5" xfId="9" xr:uid="{00000000-0005-0000-0000-000037000000}"/>
    <cellStyle name="표준_Sheet2" xfId="10" xr:uid="{00000000-0005-0000-0000-00003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A9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B"/>
      <rgbColor rgb="0000FFFF"/>
      <rgbColor rgb="00800080"/>
      <rgbColor rgb="00800000"/>
      <rgbColor rgb="00008080"/>
      <rgbColor rgb="000000FF"/>
      <rgbColor rgb="0000B0F0"/>
      <rgbColor rgb="00CCFFFF"/>
      <rgbColor rgb="00D3F1DB"/>
      <rgbColor rgb="00FFFF99"/>
      <rgbColor rgb="0099CCFF"/>
      <rgbColor rgb="00FF99CC"/>
      <rgbColor rgb="00CC99FF"/>
      <rgbColor rgb="00F8D2D7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242424"/>
      <rgbColor rgb="00FB000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B56"/>
  <sheetViews>
    <sheetView tabSelected="1" topLeftCell="A37" zoomScale="70" zoomScaleNormal="70" workbookViewId="0">
      <selection activeCell="F63" sqref="F63"/>
    </sheetView>
  </sheetViews>
  <sheetFormatPr defaultColWidth="9" defaultRowHeight="16.899999999999999"/>
  <cols>
    <col min="1" max="2" width="19.25" style="2" customWidth="1"/>
    <col min="3" max="3" width="71.125" style="2" customWidth="1"/>
    <col min="4" max="4" width="20" style="2" customWidth="1"/>
    <col min="5" max="5" width="15" style="2" customWidth="1"/>
    <col min="6" max="6" width="14.625" style="3" customWidth="1"/>
    <col min="7" max="7" width="35.5" style="2" customWidth="1"/>
    <col min="8" max="8" width="15.25" style="10" customWidth="1"/>
    <col min="9" max="9" width="7.375" style="2" customWidth="1"/>
    <col min="10" max="10" width="10.875" style="2" hidden="1" customWidth="1"/>
    <col min="11" max="11" width="9" hidden="1" customWidth="1"/>
    <col min="12" max="19" width="9.75" style="2" hidden="1" customWidth="1"/>
    <col min="20" max="20" width="7" style="2" customWidth="1"/>
    <col min="21" max="21" width="9.75" style="2" customWidth="1"/>
    <col min="22" max="22" width="20.875" style="2" customWidth="1"/>
    <col min="23" max="23" width="15.375" style="2" customWidth="1"/>
    <col min="24" max="1015" width="9.75" style="2" customWidth="1"/>
    <col min="1016" max="1017" width="10.625" customWidth="1"/>
  </cols>
  <sheetData>
    <row r="1" spans="1:1016" ht="17.25" thickBot="1"/>
    <row r="2" spans="1:1016" s="1" customFormat="1" ht="13.9" customHeight="1" thickBot="1">
      <c r="A2" s="98" t="s">
        <v>0</v>
      </c>
      <c r="B2" s="99" t="s">
        <v>1</v>
      </c>
      <c r="C2" s="96" t="s">
        <v>2</v>
      </c>
      <c r="D2" s="96"/>
      <c r="E2" s="99" t="s">
        <v>3</v>
      </c>
      <c r="F2" s="101" t="s">
        <v>4</v>
      </c>
      <c r="G2" s="92" t="s">
        <v>5</v>
      </c>
      <c r="H2" s="93" t="s">
        <v>6</v>
      </c>
      <c r="I2" s="94" t="s">
        <v>7</v>
      </c>
      <c r="T2" s="102" t="s">
        <v>7</v>
      </c>
      <c r="U2" s="102" t="s">
        <v>8</v>
      </c>
      <c r="AMB2"/>
    </row>
    <row r="3" spans="1:1016" ht="31.5" customHeight="1">
      <c r="A3" s="98" t="s">
        <v>1</v>
      </c>
      <c r="B3" s="100"/>
      <c r="C3" s="11" t="s">
        <v>9</v>
      </c>
      <c r="D3" s="11" t="s">
        <v>10</v>
      </c>
      <c r="E3" s="99"/>
      <c r="F3" s="101"/>
      <c r="G3" s="92"/>
      <c r="H3" s="93"/>
      <c r="I3" s="94"/>
      <c r="T3" s="102"/>
      <c r="U3" s="102"/>
    </row>
    <row r="4" spans="1:1016" s="9" customFormat="1" ht="21" customHeight="1">
      <c r="A4" s="12" t="s">
        <v>11</v>
      </c>
      <c r="B4" s="12" t="s">
        <v>12</v>
      </c>
      <c r="C4" s="13" t="s">
        <v>13</v>
      </c>
      <c r="D4" s="14">
        <v>8809606850475</v>
      </c>
      <c r="E4" s="15">
        <v>25008</v>
      </c>
      <c r="F4" s="16">
        <v>8930</v>
      </c>
      <c r="G4" s="17">
        <f>U4*F4</f>
        <v>223321440</v>
      </c>
      <c r="H4" s="18">
        <v>24</v>
      </c>
      <c r="I4" s="19">
        <f>E4/H4</f>
        <v>1042</v>
      </c>
      <c r="J4" s="19">
        <f>SUM(I4:I21)</f>
        <v>1322</v>
      </c>
      <c r="K4" s="20"/>
      <c r="L4" s="21"/>
      <c r="M4" s="21"/>
      <c r="N4" s="21"/>
      <c r="O4" s="21"/>
      <c r="P4" s="21"/>
      <c r="Q4" s="21"/>
      <c r="R4" s="21"/>
      <c r="S4" s="22"/>
      <c r="T4" s="23">
        <v>1043</v>
      </c>
      <c r="U4" s="24">
        <f>24264+744</f>
        <v>25008</v>
      </c>
      <c r="V4" s="25"/>
      <c r="W4" s="25">
        <f>(T4*H4)-U4</f>
        <v>24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</row>
    <row r="5" spans="1:1016" s="2" customFormat="1" ht="21" customHeight="1">
      <c r="A5" s="26" t="s">
        <v>14</v>
      </c>
      <c r="B5" s="26" t="s">
        <v>12</v>
      </c>
      <c r="C5" s="27" t="s">
        <v>15</v>
      </c>
      <c r="D5" s="6">
        <v>8809463992615</v>
      </c>
      <c r="E5" s="28">
        <v>1200</v>
      </c>
      <c r="F5" s="29">
        <v>7350</v>
      </c>
      <c r="G5" s="30">
        <f t="shared" ref="G5:G49" si="0">U5*F5</f>
        <v>8820000</v>
      </c>
      <c r="H5" s="31">
        <v>24</v>
      </c>
      <c r="I5" s="32">
        <f t="shared" ref="I5:I49" si="1">E5/H5</f>
        <v>50</v>
      </c>
      <c r="J5" s="33"/>
      <c r="K5" s="33"/>
      <c r="L5" s="33"/>
      <c r="M5" s="33"/>
      <c r="N5" s="33"/>
      <c r="O5" s="33"/>
      <c r="P5" s="33"/>
      <c r="Q5" s="33"/>
      <c r="R5" s="33"/>
      <c r="S5" s="34"/>
      <c r="T5" s="35">
        <v>50</v>
      </c>
      <c r="U5" s="36">
        <f>576+624</f>
        <v>1200</v>
      </c>
      <c r="W5" s="25">
        <f t="shared" ref="W5:W49" si="2">(T5*H5)-U5</f>
        <v>0</v>
      </c>
      <c r="AMB5"/>
    </row>
    <row r="6" spans="1:1016" s="2" customFormat="1" ht="21" customHeight="1">
      <c r="A6" s="26" t="s">
        <v>11</v>
      </c>
      <c r="B6" s="26" t="s">
        <v>12</v>
      </c>
      <c r="C6" s="27" t="s">
        <v>16</v>
      </c>
      <c r="D6" s="7">
        <v>8809971482349</v>
      </c>
      <c r="E6" s="28">
        <v>480</v>
      </c>
      <c r="F6" s="29">
        <v>7600</v>
      </c>
      <c r="G6" s="30">
        <f t="shared" si="0"/>
        <v>3648000</v>
      </c>
      <c r="H6" s="31">
        <v>40</v>
      </c>
      <c r="I6" s="32">
        <f t="shared" si="1"/>
        <v>12</v>
      </c>
      <c r="J6" s="33"/>
      <c r="K6" s="33"/>
      <c r="L6" s="33"/>
      <c r="M6" s="33"/>
      <c r="N6" s="33"/>
      <c r="O6" s="33"/>
      <c r="P6" s="33"/>
      <c r="Q6" s="33"/>
      <c r="R6" s="33"/>
      <c r="S6" s="34"/>
      <c r="T6" s="35">
        <v>12</v>
      </c>
      <c r="U6" s="36">
        <v>480</v>
      </c>
      <c r="W6" s="25">
        <f t="shared" si="2"/>
        <v>0</v>
      </c>
      <c r="AMB6"/>
    </row>
    <row r="7" spans="1:1016" s="2" customFormat="1" ht="21" customHeight="1">
      <c r="A7" s="26" t="s">
        <v>11</v>
      </c>
      <c r="B7" s="26" t="s">
        <v>12</v>
      </c>
      <c r="C7" s="27" t="s">
        <v>17</v>
      </c>
      <c r="D7" s="6">
        <v>8809606852332</v>
      </c>
      <c r="E7" s="28">
        <v>448</v>
      </c>
      <c r="F7" s="29">
        <v>5400</v>
      </c>
      <c r="G7" s="30">
        <f t="shared" si="0"/>
        <v>2419200</v>
      </c>
      <c r="H7" s="31">
        <v>64</v>
      </c>
      <c r="I7" s="32">
        <f t="shared" si="1"/>
        <v>7</v>
      </c>
      <c r="J7" s="33"/>
      <c r="K7" s="33"/>
      <c r="L7" s="33"/>
      <c r="M7" s="33"/>
      <c r="N7" s="33"/>
      <c r="O7" s="33"/>
      <c r="P7" s="33"/>
      <c r="Q7" s="33"/>
      <c r="R7" s="33"/>
      <c r="S7" s="34"/>
      <c r="T7" s="35">
        <v>7</v>
      </c>
      <c r="U7" s="36">
        <v>448</v>
      </c>
      <c r="W7" s="25">
        <f t="shared" si="2"/>
        <v>0</v>
      </c>
      <c r="AMB7"/>
    </row>
    <row r="8" spans="1:1016" s="2" customFormat="1" ht="21" customHeight="1">
      <c r="A8" s="26" t="s">
        <v>18</v>
      </c>
      <c r="B8" s="26" t="s">
        <v>12</v>
      </c>
      <c r="C8" s="27" t="s">
        <v>19</v>
      </c>
      <c r="D8" s="6" t="s">
        <v>20</v>
      </c>
      <c r="E8" s="28">
        <v>312</v>
      </c>
      <c r="F8" s="29">
        <v>6550</v>
      </c>
      <c r="G8" s="30">
        <f t="shared" si="0"/>
        <v>2043600</v>
      </c>
      <c r="H8" s="31">
        <v>24</v>
      </c>
      <c r="I8" s="32">
        <f t="shared" si="1"/>
        <v>13</v>
      </c>
      <c r="J8" s="33"/>
      <c r="K8" s="33"/>
      <c r="L8" s="33"/>
      <c r="M8" s="33"/>
      <c r="N8" s="33"/>
      <c r="O8" s="33"/>
      <c r="P8" s="33"/>
      <c r="Q8" s="33"/>
      <c r="R8" s="33"/>
      <c r="S8" s="34"/>
      <c r="T8" s="35">
        <v>13</v>
      </c>
      <c r="U8" s="36">
        <v>312</v>
      </c>
      <c r="W8" s="25">
        <f t="shared" si="2"/>
        <v>0</v>
      </c>
      <c r="AMB8"/>
    </row>
    <row r="9" spans="1:1016" s="2" customFormat="1" ht="21" customHeight="1">
      <c r="A9" s="26" t="s">
        <v>11</v>
      </c>
      <c r="B9" s="26" t="s">
        <v>12</v>
      </c>
      <c r="C9" s="27" t="s">
        <v>21</v>
      </c>
      <c r="D9" s="6">
        <v>8806050298525</v>
      </c>
      <c r="E9" s="28">
        <v>315</v>
      </c>
      <c r="F9" s="29">
        <v>7100</v>
      </c>
      <c r="G9" s="30">
        <f t="shared" si="0"/>
        <v>2236500</v>
      </c>
      <c r="H9" s="31">
        <v>35</v>
      </c>
      <c r="I9" s="32">
        <f t="shared" si="1"/>
        <v>9</v>
      </c>
      <c r="J9" s="33"/>
      <c r="K9" s="33"/>
      <c r="L9" s="33"/>
      <c r="M9" s="33"/>
      <c r="N9" s="33"/>
      <c r="O9" s="33"/>
      <c r="P9" s="33"/>
      <c r="Q9" s="33"/>
      <c r="R9" s="33"/>
      <c r="S9" s="34"/>
      <c r="T9" s="35">
        <v>9</v>
      </c>
      <c r="U9" s="36">
        <v>315</v>
      </c>
      <c r="W9" s="25">
        <f t="shared" si="2"/>
        <v>0</v>
      </c>
      <c r="AMB9"/>
    </row>
    <row r="10" spans="1:1016" s="2" customFormat="1" ht="21" customHeight="1">
      <c r="A10" s="26" t="s">
        <v>14</v>
      </c>
      <c r="B10" s="26" t="s">
        <v>12</v>
      </c>
      <c r="C10" s="27" t="s">
        <v>22</v>
      </c>
      <c r="D10" s="6">
        <v>8809750465464</v>
      </c>
      <c r="E10" s="28">
        <v>984</v>
      </c>
      <c r="F10" s="29">
        <v>8550</v>
      </c>
      <c r="G10" s="30">
        <f t="shared" si="0"/>
        <v>8413200</v>
      </c>
      <c r="H10" s="31">
        <v>24</v>
      </c>
      <c r="I10" s="32">
        <f t="shared" si="1"/>
        <v>41</v>
      </c>
      <c r="J10" s="33"/>
      <c r="K10" s="33"/>
      <c r="L10" s="33"/>
      <c r="M10" s="33"/>
      <c r="N10" s="33"/>
      <c r="O10" s="33"/>
      <c r="P10" s="33"/>
      <c r="Q10" s="33"/>
      <c r="R10" s="33"/>
      <c r="S10" s="34"/>
      <c r="T10" s="35">
        <v>42</v>
      </c>
      <c r="U10" s="36">
        <v>984</v>
      </c>
      <c r="W10" s="25">
        <f t="shared" si="2"/>
        <v>24</v>
      </c>
      <c r="AMB10"/>
    </row>
    <row r="11" spans="1:1016" s="2" customFormat="1" ht="21" customHeight="1">
      <c r="A11" s="26" t="s">
        <v>11</v>
      </c>
      <c r="B11" s="26" t="s">
        <v>12</v>
      </c>
      <c r="C11" s="27" t="s">
        <v>23</v>
      </c>
      <c r="D11" s="6">
        <v>8809782557861</v>
      </c>
      <c r="E11" s="28">
        <v>1200</v>
      </c>
      <c r="F11" s="29">
        <v>8080</v>
      </c>
      <c r="G11" s="30">
        <f t="shared" si="0"/>
        <v>9696000</v>
      </c>
      <c r="H11" s="31">
        <v>100</v>
      </c>
      <c r="I11" s="32">
        <f t="shared" si="1"/>
        <v>12</v>
      </c>
      <c r="J11" s="33"/>
      <c r="K11" s="33"/>
      <c r="L11" s="33"/>
      <c r="M11" s="33"/>
      <c r="N11" s="33"/>
      <c r="O11" s="33"/>
      <c r="P11" s="33"/>
      <c r="Q11" s="33"/>
      <c r="R11" s="33"/>
      <c r="S11" s="34"/>
      <c r="T11" s="35">
        <v>12</v>
      </c>
      <c r="U11" s="36">
        <v>1200</v>
      </c>
      <c r="W11" s="25">
        <f t="shared" si="2"/>
        <v>0</v>
      </c>
      <c r="AMB11"/>
    </row>
    <row r="12" spans="1:1016" s="2" customFormat="1" ht="21" customHeight="1">
      <c r="A12" s="26" t="s">
        <v>11</v>
      </c>
      <c r="B12" s="26" t="s">
        <v>12</v>
      </c>
      <c r="C12" s="27" t="s">
        <v>24</v>
      </c>
      <c r="D12" s="6">
        <v>8809743544626</v>
      </c>
      <c r="E12" s="28">
        <v>864</v>
      </c>
      <c r="F12" s="37">
        <v>9930</v>
      </c>
      <c r="G12" s="30">
        <f t="shared" si="0"/>
        <v>8579520</v>
      </c>
      <c r="H12" s="31">
        <v>36</v>
      </c>
      <c r="I12" s="32">
        <f t="shared" si="1"/>
        <v>24</v>
      </c>
      <c r="J12" s="33"/>
      <c r="K12" s="33"/>
      <c r="L12" s="33"/>
      <c r="M12" s="33"/>
      <c r="N12" s="33"/>
      <c r="O12" s="33"/>
      <c r="P12" s="33"/>
      <c r="Q12" s="33"/>
      <c r="R12" s="33"/>
      <c r="S12" s="34"/>
      <c r="T12" s="35">
        <v>24</v>
      </c>
      <c r="U12" s="36">
        <v>864</v>
      </c>
      <c r="W12" s="25">
        <f t="shared" si="2"/>
        <v>0</v>
      </c>
      <c r="AMB12"/>
    </row>
    <row r="13" spans="1:1016" s="2" customFormat="1" ht="21" customHeight="1">
      <c r="A13" s="26" t="s">
        <v>11</v>
      </c>
      <c r="B13" s="26" t="s">
        <v>12</v>
      </c>
      <c r="C13" s="27" t="s">
        <v>25</v>
      </c>
      <c r="D13" s="6">
        <v>8809686386185</v>
      </c>
      <c r="E13" s="28">
        <v>720</v>
      </c>
      <c r="F13" s="29">
        <v>11540</v>
      </c>
      <c r="G13" s="30">
        <f t="shared" si="0"/>
        <v>8308800</v>
      </c>
      <c r="H13" s="31">
        <v>90</v>
      </c>
      <c r="I13" s="32">
        <f t="shared" si="1"/>
        <v>8</v>
      </c>
      <c r="J13" s="33"/>
      <c r="K13" s="33"/>
      <c r="L13" s="33"/>
      <c r="M13" s="33"/>
      <c r="N13" s="33"/>
      <c r="O13" s="33"/>
      <c r="P13" s="33"/>
      <c r="Q13" s="33"/>
      <c r="R13" s="33"/>
      <c r="S13" s="34"/>
      <c r="T13" s="35">
        <v>8</v>
      </c>
      <c r="U13" s="36">
        <v>720</v>
      </c>
      <c r="W13" s="25">
        <f t="shared" si="2"/>
        <v>0</v>
      </c>
      <c r="AMB13"/>
    </row>
    <row r="14" spans="1:1016" s="2" customFormat="1" ht="21" customHeight="1">
      <c r="A14" s="26" t="s">
        <v>11</v>
      </c>
      <c r="B14" s="26" t="s">
        <v>12</v>
      </c>
      <c r="C14" s="27" t="s">
        <v>26</v>
      </c>
      <c r="D14" s="6">
        <v>8809743546880</v>
      </c>
      <c r="E14" s="28">
        <v>600</v>
      </c>
      <c r="F14" s="29">
        <v>9470</v>
      </c>
      <c r="G14" s="30">
        <f t="shared" si="0"/>
        <v>5682000</v>
      </c>
      <c r="H14" s="31">
        <v>60</v>
      </c>
      <c r="I14" s="32">
        <f t="shared" si="1"/>
        <v>10</v>
      </c>
      <c r="J14" s="33"/>
      <c r="K14" s="33"/>
      <c r="L14" s="33"/>
      <c r="M14" s="33"/>
      <c r="N14" s="33"/>
      <c r="O14" s="33"/>
      <c r="P14" s="33"/>
      <c r="Q14" s="33"/>
      <c r="R14" s="33"/>
      <c r="S14" s="34"/>
      <c r="T14" s="35">
        <v>10</v>
      </c>
      <c r="U14" s="36">
        <v>600</v>
      </c>
      <c r="W14" s="25">
        <f t="shared" si="2"/>
        <v>0</v>
      </c>
      <c r="AMB14"/>
    </row>
    <row r="15" spans="1:1016" s="2" customFormat="1" ht="21" customHeight="1">
      <c r="A15" s="26" t="s">
        <v>11</v>
      </c>
      <c r="B15" s="26" t="s">
        <v>12</v>
      </c>
      <c r="C15" s="38" t="s">
        <v>27</v>
      </c>
      <c r="D15" s="7">
        <v>8800296551789</v>
      </c>
      <c r="E15" s="28">
        <v>576</v>
      </c>
      <c r="F15" s="29">
        <v>6370</v>
      </c>
      <c r="G15" s="30">
        <f t="shared" si="0"/>
        <v>3669120</v>
      </c>
      <c r="H15" s="31">
        <v>64</v>
      </c>
      <c r="I15" s="32">
        <f t="shared" si="1"/>
        <v>9</v>
      </c>
      <c r="J15" s="33"/>
      <c r="K15" s="33"/>
      <c r="L15" s="33"/>
      <c r="M15" s="33"/>
      <c r="N15" s="33"/>
      <c r="O15" s="33"/>
      <c r="P15" s="33"/>
      <c r="Q15" s="33"/>
      <c r="R15" s="33"/>
      <c r="S15" s="34"/>
      <c r="T15" s="35">
        <v>9</v>
      </c>
      <c r="U15" s="36">
        <v>576</v>
      </c>
      <c r="W15" s="25">
        <f t="shared" si="2"/>
        <v>0</v>
      </c>
      <c r="AMB15"/>
    </row>
    <row r="16" spans="1:1016" s="2" customFormat="1" ht="21" customHeight="1">
      <c r="A16" s="26" t="s">
        <v>14</v>
      </c>
      <c r="B16" s="26" t="s">
        <v>12</v>
      </c>
      <c r="C16" s="27" t="s">
        <v>28</v>
      </c>
      <c r="D16" s="6">
        <v>8809463992707</v>
      </c>
      <c r="E16" s="28">
        <v>528</v>
      </c>
      <c r="F16" s="29">
        <v>6090</v>
      </c>
      <c r="G16" s="30">
        <f t="shared" si="0"/>
        <v>3215520</v>
      </c>
      <c r="H16" s="31">
        <v>24</v>
      </c>
      <c r="I16" s="32">
        <f t="shared" si="1"/>
        <v>22</v>
      </c>
      <c r="J16" s="33"/>
      <c r="K16" s="33"/>
      <c r="L16" s="33"/>
      <c r="M16" s="33"/>
      <c r="N16" s="33"/>
      <c r="O16" s="33"/>
      <c r="P16" s="33"/>
      <c r="Q16" s="33"/>
      <c r="R16" s="33"/>
      <c r="S16" s="34"/>
      <c r="T16" s="35">
        <v>22</v>
      </c>
      <c r="U16" s="36">
        <v>528</v>
      </c>
      <c r="W16" s="25">
        <f t="shared" si="2"/>
        <v>0</v>
      </c>
      <c r="AMB16"/>
    </row>
    <row r="17" spans="1:1016" s="2" customFormat="1" ht="21" customHeight="1">
      <c r="A17" s="26" t="s">
        <v>14</v>
      </c>
      <c r="B17" s="26" t="s">
        <v>12</v>
      </c>
      <c r="C17" s="27" t="s">
        <v>29</v>
      </c>
      <c r="D17" s="6">
        <v>8809463993889</v>
      </c>
      <c r="E17" s="28">
        <v>352</v>
      </c>
      <c r="F17" s="29">
        <v>6860</v>
      </c>
      <c r="G17" s="30">
        <f t="shared" si="0"/>
        <v>2414720</v>
      </c>
      <c r="H17" s="31">
        <v>16</v>
      </c>
      <c r="I17" s="32">
        <f t="shared" si="1"/>
        <v>22</v>
      </c>
      <c r="J17" s="33"/>
      <c r="K17" s="33"/>
      <c r="L17" s="33"/>
      <c r="M17" s="33"/>
      <c r="N17" s="33"/>
      <c r="O17" s="33"/>
      <c r="P17" s="33"/>
      <c r="Q17" s="33"/>
      <c r="R17" s="33"/>
      <c r="S17" s="34"/>
      <c r="T17" s="35">
        <v>22</v>
      </c>
      <c r="U17" s="36">
        <v>352</v>
      </c>
      <c r="W17" s="25">
        <f t="shared" si="2"/>
        <v>0</v>
      </c>
      <c r="AMB17"/>
    </row>
    <row r="18" spans="1:1016" s="2" customFormat="1" ht="21" customHeight="1">
      <c r="A18" s="26" t="s">
        <v>18</v>
      </c>
      <c r="B18" s="26" t="s">
        <v>12</v>
      </c>
      <c r="C18" s="40" t="s">
        <v>30</v>
      </c>
      <c r="D18" s="5">
        <v>8809606850499</v>
      </c>
      <c r="E18" s="41">
        <v>288</v>
      </c>
      <c r="F18" s="42">
        <v>8020</v>
      </c>
      <c r="G18" s="30">
        <f t="shared" si="0"/>
        <v>2309760</v>
      </c>
      <c r="H18" s="31">
        <v>24</v>
      </c>
      <c r="I18" s="32">
        <f t="shared" si="1"/>
        <v>12</v>
      </c>
      <c r="J18" s="33"/>
      <c r="K18" s="33"/>
      <c r="L18" s="33"/>
      <c r="M18" s="33"/>
      <c r="N18" s="33"/>
      <c r="O18" s="33"/>
      <c r="P18" s="33"/>
      <c r="Q18" s="33"/>
      <c r="R18" s="33"/>
      <c r="S18" s="34"/>
      <c r="T18" s="35">
        <v>12</v>
      </c>
      <c r="U18" s="36">
        <v>288</v>
      </c>
      <c r="W18" s="25">
        <f t="shared" si="2"/>
        <v>0</v>
      </c>
      <c r="AMB18"/>
    </row>
    <row r="19" spans="1:1016" s="2" customFormat="1" ht="21" customHeight="1">
      <c r="A19" s="26" t="s">
        <v>11</v>
      </c>
      <c r="B19" s="26" t="s">
        <v>12</v>
      </c>
      <c r="C19" s="27" t="s">
        <v>31</v>
      </c>
      <c r="D19" s="6">
        <v>8809954940354</v>
      </c>
      <c r="E19" s="28">
        <v>408</v>
      </c>
      <c r="F19" s="29">
        <v>6610</v>
      </c>
      <c r="G19" s="30">
        <f t="shared" si="0"/>
        <v>2696880</v>
      </c>
      <c r="H19" s="31">
        <v>24</v>
      </c>
      <c r="I19" s="32">
        <f t="shared" si="1"/>
        <v>17</v>
      </c>
      <c r="J19" s="33"/>
      <c r="K19" s="33"/>
      <c r="L19" s="33"/>
      <c r="M19" s="33"/>
      <c r="N19" s="33"/>
      <c r="O19" s="33"/>
      <c r="P19" s="33"/>
      <c r="Q19" s="33"/>
      <c r="R19" s="33"/>
      <c r="S19" s="34"/>
      <c r="T19" s="35">
        <v>17</v>
      </c>
      <c r="U19" s="36">
        <v>408</v>
      </c>
      <c r="W19" s="25">
        <f t="shared" si="2"/>
        <v>0</v>
      </c>
      <c r="AMB19"/>
    </row>
    <row r="20" spans="1:1016" s="2" customFormat="1" ht="21" customHeight="1">
      <c r="A20" s="26" t="s">
        <v>11</v>
      </c>
      <c r="B20" s="26" t="s">
        <v>12</v>
      </c>
      <c r="C20" s="27" t="s">
        <v>32</v>
      </c>
      <c r="D20" s="6">
        <v>8809626564000</v>
      </c>
      <c r="E20" s="28">
        <v>468</v>
      </c>
      <c r="F20" s="29">
        <v>6390</v>
      </c>
      <c r="G20" s="30">
        <f t="shared" si="0"/>
        <v>2990520</v>
      </c>
      <c r="H20" s="31">
        <v>117</v>
      </c>
      <c r="I20" s="32">
        <f t="shared" si="1"/>
        <v>4</v>
      </c>
      <c r="J20" s="33"/>
      <c r="K20" s="33"/>
      <c r="L20" s="33"/>
      <c r="M20" s="33"/>
      <c r="N20" s="33"/>
      <c r="O20" s="33"/>
      <c r="P20" s="33"/>
      <c r="Q20" s="33"/>
      <c r="R20" s="33"/>
      <c r="S20" s="34"/>
      <c r="T20" s="35">
        <v>4</v>
      </c>
      <c r="U20" s="36">
        <v>468</v>
      </c>
      <c r="W20" s="25">
        <f t="shared" si="2"/>
        <v>0</v>
      </c>
      <c r="AMB20"/>
    </row>
    <row r="21" spans="1:1016" s="2" customFormat="1" ht="21" customHeight="1">
      <c r="A21" s="26" t="s">
        <v>18</v>
      </c>
      <c r="B21" s="26" t="s">
        <v>12</v>
      </c>
      <c r="C21" s="27" t="s">
        <v>33</v>
      </c>
      <c r="D21" s="6">
        <v>8809975194439</v>
      </c>
      <c r="E21" s="28">
        <v>320</v>
      </c>
      <c r="F21" s="29">
        <v>5140</v>
      </c>
      <c r="G21" s="30">
        <f t="shared" si="0"/>
        <v>1644800</v>
      </c>
      <c r="H21" s="31">
        <v>40</v>
      </c>
      <c r="I21" s="32">
        <f t="shared" si="1"/>
        <v>8</v>
      </c>
      <c r="J21" s="33"/>
      <c r="K21" s="33"/>
      <c r="L21" s="33"/>
      <c r="M21" s="33"/>
      <c r="N21" s="33"/>
      <c r="O21" s="33"/>
      <c r="P21" s="33"/>
      <c r="Q21" s="33"/>
      <c r="R21" s="33"/>
      <c r="S21" s="34"/>
      <c r="T21" s="35">
        <v>8</v>
      </c>
      <c r="U21" s="36">
        <v>320</v>
      </c>
      <c r="W21" s="25">
        <f t="shared" si="2"/>
        <v>0</v>
      </c>
      <c r="AMB21"/>
    </row>
    <row r="22" spans="1:1016" s="2" customFormat="1" ht="21" customHeight="1">
      <c r="A22" s="26" t="s">
        <v>18</v>
      </c>
      <c r="B22" s="43" t="s">
        <v>34</v>
      </c>
      <c r="C22" s="38" t="s">
        <v>35</v>
      </c>
      <c r="D22" s="6">
        <v>8809738608364</v>
      </c>
      <c r="E22" s="44">
        <v>25020</v>
      </c>
      <c r="F22" s="29">
        <v>6220</v>
      </c>
      <c r="G22" s="30">
        <f t="shared" si="0"/>
        <v>155624400</v>
      </c>
      <c r="H22" s="31">
        <v>30</v>
      </c>
      <c r="I22" s="32">
        <f t="shared" si="1"/>
        <v>834</v>
      </c>
      <c r="J22" s="95">
        <f>SUM(I22:I31)</f>
        <v>920</v>
      </c>
      <c r="K22" s="33"/>
      <c r="L22" s="33"/>
      <c r="M22" s="33"/>
      <c r="N22" s="33"/>
      <c r="O22" s="33"/>
      <c r="P22" s="33"/>
      <c r="Q22" s="33"/>
      <c r="R22" s="33"/>
      <c r="S22" s="34"/>
      <c r="T22" s="45">
        <v>834</v>
      </c>
      <c r="U22" s="36">
        <v>25020</v>
      </c>
      <c r="W22" s="25">
        <f t="shared" si="2"/>
        <v>0</v>
      </c>
      <c r="AMA22"/>
    </row>
    <row r="23" spans="1:1016" s="2" customFormat="1" ht="21" customHeight="1">
      <c r="A23" s="26" t="s">
        <v>18</v>
      </c>
      <c r="B23" s="43" t="s">
        <v>34</v>
      </c>
      <c r="C23" s="38" t="s">
        <v>36</v>
      </c>
      <c r="D23" s="6">
        <v>8809738599044</v>
      </c>
      <c r="E23" s="28">
        <v>600</v>
      </c>
      <c r="F23" s="29">
        <v>7150</v>
      </c>
      <c r="G23" s="30">
        <f t="shared" si="0"/>
        <v>4290000</v>
      </c>
      <c r="H23" s="31">
        <v>30</v>
      </c>
      <c r="I23" s="32">
        <f t="shared" si="1"/>
        <v>20</v>
      </c>
      <c r="J23" s="95"/>
      <c r="K23" s="33"/>
      <c r="L23" s="33"/>
      <c r="M23" s="33"/>
      <c r="N23" s="33"/>
      <c r="O23" s="33"/>
      <c r="P23" s="33"/>
      <c r="Q23" s="33"/>
      <c r="R23" s="33"/>
      <c r="S23" s="34"/>
      <c r="T23" s="45">
        <v>20</v>
      </c>
      <c r="U23" s="36">
        <v>600</v>
      </c>
      <c r="W23" s="25">
        <f t="shared" si="2"/>
        <v>0</v>
      </c>
      <c r="AMB23"/>
    </row>
    <row r="24" spans="1:1016" s="2" customFormat="1" ht="21" customHeight="1">
      <c r="A24" s="26" t="s">
        <v>18</v>
      </c>
      <c r="B24" s="43" t="s">
        <v>34</v>
      </c>
      <c r="C24" s="38" t="s">
        <v>37</v>
      </c>
      <c r="D24" s="6">
        <v>8809864754126</v>
      </c>
      <c r="E24" s="28">
        <v>600</v>
      </c>
      <c r="F24" s="29">
        <v>6380</v>
      </c>
      <c r="G24" s="30">
        <f t="shared" si="0"/>
        <v>3828000</v>
      </c>
      <c r="H24" s="31">
        <v>30</v>
      </c>
      <c r="I24" s="32">
        <f t="shared" si="1"/>
        <v>20</v>
      </c>
      <c r="J24" s="95"/>
      <c r="K24" s="33"/>
      <c r="L24" s="33"/>
      <c r="M24" s="33"/>
      <c r="N24" s="33"/>
      <c r="O24" s="33"/>
      <c r="P24" s="33"/>
      <c r="Q24" s="33"/>
      <c r="R24" s="33"/>
      <c r="S24" s="34"/>
      <c r="T24" s="45">
        <v>20</v>
      </c>
      <c r="U24" s="36">
        <v>600</v>
      </c>
      <c r="W24" s="25">
        <f t="shared" si="2"/>
        <v>0</v>
      </c>
      <c r="AMB24"/>
    </row>
    <row r="25" spans="1:1016" s="2" customFormat="1" ht="21" customHeight="1">
      <c r="A25" s="43" t="s">
        <v>18</v>
      </c>
      <c r="B25" s="43" t="s">
        <v>34</v>
      </c>
      <c r="C25" s="38" t="s">
        <v>38</v>
      </c>
      <c r="D25" s="6">
        <v>8809849802408</v>
      </c>
      <c r="E25" s="28">
        <v>400</v>
      </c>
      <c r="F25" s="29">
        <v>7590</v>
      </c>
      <c r="G25" s="30">
        <f t="shared" si="0"/>
        <v>3036000</v>
      </c>
      <c r="H25" s="31">
        <v>40</v>
      </c>
      <c r="I25" s="32">
        <f t="shared" si="1"/>
        <v>10</v>
      </c>
      <c r="J25" s="95"/>
      <c r="K25" s="33"/>
      <c r="L25" s="33"/>
      <c r="M25" s="33"/>
      <c r="N25" s="33"/>
      <c r="O25" s="33"/>
      <c r="P25" s="33"/>
      <c r="Q25" s="33"/>
      <c r="R25" s="33"/>
      <c r="S25" s="34"/>
      <c r="T25" s="45">
        <v>10</v>
      </c>
      <c r="U25" s="36">
        <v>400</v>
      </c>
      <c r="W25" s="25">
        <f t="shared" si="2"/>
        <v>0</v>
      </c>
      <c r="AMB25"/>
    </row>
    <row r="26" spans="1:1016" s="2" customFormat="1" ht="21" customHeight="1">
      <c r="A26" s="26" t="s">
        <v>11</v>
      </c>
      <c r="B26" s="43" t="s">
        <v>34</v>
      </c>
      <c r="C26" s="38" t="s">
        <v>39</v>
      </c>
      <c r="D26" s="6">
        <v>8809962542137</v>
      </c>
      <c r="E26" s="46">
        <v>240</v>
      </c>
      <c r="F26" s="37">
        <v>11200</v>
      </c>
      <c r="G26" s="30">
        <f t="shared" si="0"/>
        <v>2688000</v>
      </c>
      <c r="H26" s="31">
        <v>60</v>
      </c>
      <c r="I26" s="32">
        <f t="shared" si="1"/>
        <v>4</v>
      </c>
      <c r="J26" s="95"/>
      <c r="K26" s="33"/>
      <c r="L26" s="33"/>
      <c r="M26" s="33"/>
      <c r="N26" s="33"/>
      <c r="O26" s="33"/>
      <c r="P26" s="33"/>
      <c r="Q26" s="33"/>
      <c r="R26" s="33"/>
      <c r="S26" s="34"/>
      <c r="T26" s="45">
        <v>4</v>
      </c>
      <c r="U26" s="36">
        <v>240</v>
      </c>
      <c r="W26" s="25">
        <f t="shared" si="2"/>
        <v>0</v>
      </c>
      <c r="AMB26"/>
    </row>
    <row r="27" spans="1:1016" s="2" customFormat="1" ht="21" customHeight="1">
      <c r="A27" s="26" t="s">
        <v>11</v>
      </c>
      <c r="B27" s="47" t="s">
        <v>34</v>
      </c>
      <c r="C27" s="38" t="s">
        <v>40</v>
      </c>
      <c r="D27" s="6">
        <v>8809962541840</v>
      </c>
      <c r="E27" s="46">
        <v>400</v>
      </c>
      <c r="F27" s="48">
        <v>11970</v>
      </c>
      <c r="G27" s="30">
        <f t="shared" si="0"/>
        <v>4788000</v>
      </c>
      <c r="H27" s="31">
        <v>80</v>
      </c>
      <c r="I27" s="32">
        <f t="shared" si="1"/>
        <v>5</v>
      </c>
      <c r="J27" s="95"/>
      <c r="K27" s="33"/>
      <c r="L27" s="33"/>
      <c r="M27" s="33"/>
      <c r="N27" s="33"/>
      <c r="O27" s="33"/>
      <c r="P27" s="33"/>
      <c r="Q27" s="33"/>
      <c r="R27" s="33"/>
      <c r="S27" s="34"/>
      <c r="T27" s="45">
        <v>5</v>
      </c>
      <c r="U27" s="36">
        <v>400</v>
      </c>
      <c r="W27" s="25">
        <f t="shared" si="2"/>
        <v>0</v>
      </c>
      <c r="AMB27"/>
    </row>
    <row r="28" spans="1:1016" s="2" customFormat="1" ht="21" customHeight="1">
      <c r="A28" s="26" t="s">
        <v>11</v>
      </c>
      <c r="B28" s="47" t="s">
        <v>34</v>
      </c>
      <c r="C28" s="38" t="s">
        <v>41</v>
      </c>
      <c r="D28" s="6">
        <v>8809657114731</v>
      </c>
      <c r="E28" s="46">
        <v>360</v>
      </c>
      <c r="F28" s="48">
        <v>7575</v>
      </c>
      <c r="G28" s="30">
        <f t="shared" si="0"/>
        <v>2727000</v>
      </c>
      <c r="H28" s="31">
        <v>30</v>
      </c>
      <c r="I28" s="32">
        <f t="shared" si="1"/>
        <v>12</v>
      </c>
      <c r="J28" s="95"/>
      <c r="K28" s="33"/>
      <c r="L28" s="33"/>
      <c r="M28" s="33"/>
      <c r="N28" s="33"/>
      <c r="O28" s="33"/>
      <c r="P28" s="33"/>
      <c r="Q28" s="33"/>
      <c r="R28" s="33"/>
      <c r="S28" s="34"/>
      <c r="T28" s="45">
        <v>12</v>
      </c>
      <c r="U28" s="36">
        <v>360</v>
      </c>
      <c r="W28" s="25">
        <f t="shared" si="2"/>
        <v>0</v>
      </c>
      <c r="AMB28"/>
    </row>
    <row r="29" spans="1:1016" s="2" customFormat="1" ht="21" customHeight="1">
      <c r="A29" s="26" t="s">
        <v>14</v>
      </c>
      <c r="B29" s="47" t="s">
        <v>34</v>
      </c>
      <c r="C29" s="38" t="s">
        <v>42</v>
      </c>
      <c r="D29" s="6">
        <v>8809750462708</v>
      </c>
      <c r="E29" s="46">
        <v>270</v>
      </c>
      <c r="F29" s="48">
        <v>10000</v>
      </c>
      <c r="G29" s="30">
        <f t="shared" si="0"/>
        <v>2700000</v>
      </c>
      <c r="H29" s="31">
        <v>30</v>
      </c>
      <c r="I29" s="32">
        <f t="shared" si="1"/>
        <v>9</v>
      </c>
      <c r="J29" s="95"/>
      <c r="K29" s="33"/>
      <c r="L29" s="33"/>
      <c r="M29" s="33"/>
      <c r="N29" s="33"/>
      <c r="O29" s="33"/>
      <c r="P29" s="33"/>
      <c r="Q29" s="33"/>
      <c r="R29" s="33"/>
      <c r="S29" s="34"/>
      <c r="T29" s="45">
        <v>9</v>
      </c>
      <c r="U29" s="36">
        <v>270</v>
      </c>
      <c r="W29" s="25">
        <f t="shared" si="2"/>
        <v>0</v>
      </c>
      <c r="AMB29"/>
    </row>
    <row r="30" spans="1:1016" s="2" customFormat="1" ht="21" customHeight="1">
      <c r="A30" s="26" t="s">
        <v>11</v>
      </c>
      <c r="B30" s="47" t="s">
        <v>34</v>
      </c>
      <c r="C30" s="38" t="s">
        <v>43</v>
      </c>
      <c r="D30" s="6">
        <v>8809738593240</v>
      </c>
      <c r="E30" s="46">
        <v>210</v>
      </c>
      <c r="F30" s="37">
        <v>10500</v>
      </c>
      <c r="G30" s="30">
        <f t="shared" si="0"/>
        <v>2205000</v>
      </c>
      <c r="H30" s="31">
        <v>70</v>
      </c>
      <c r="I30" s="32">
        <f t="shared" si="1"/>
        <v>3</v>
      </c>
      <c r="J30" s="95"/>
      <c r="K30" s="33"/>
      <c r="L30" s="33"/>
      <c r="M30" s="33"/>
      <c r="N30" s="33"/>
      <c r="O30" s="33"/>
      <c r="P30" s="33"/>
      <c r="Q30" s="33"/>
      <c r="R30" s="33"/>
      <c r="S30" s="34"/>
      <c r="T30" s="45">
        <v>3</v>
      </c>
      <c r="U30" s="36">
        <v>210</v>
      </c>
      <c r="W30" s="25">
        <f t="shared" si="2"/>
        <v>0</v>
      </c>
      <c r="AMB30"/>
    </row>
    <row r="31" spans="1:1016" s="2" customFormat="1" ht="21" customHeight="1">
      <c r="A31" s="26" t="s">
        <v>11</v>
      </c>
      <c r="B31" s="47" t="s">
        <v>34</v>
      </c>
      <c r="C31" s="38" t="s">
        <v>44</v>
      </c>
      <c r="D31" s="6">
        <v>8809962540553</v>
      </c>
      <c r="E31" s="46">
        <v>300</v>
      </c>
      <c r="F31" s="49">
        <v>5950</v>
      </c>
      <c r="G31" s="30">
        <f t="shared" si="0"/>
        <v>1785000</v>
      </c>
      <c r="H31" s="31">
        <v>100</v>
      </c>
      <c r="I31" s="32">
        <f t="shared" si="1"/>
        <v>3</v>
      </c>
      <c r="J31" s="95"/>
      <c r="K31" s="33"/>
      <c r="L31" s="33"/>
      <c r="M31" s="33"/>
      <c r="N31" s="33"/>
      <c r="O31" s="33"/>
      <c r="P31" s="33"/>
      <c r="Q31" s="33"/>
      <c r="R31" s="33"/>
      <c r="S31" s="34"/>
      <c r="T31" s="45">
        <v>3</v>
      </c>
      <c r="U31" s="36">
        <v>300</v>
      </c>
      <c r="W31" s="25">
        <f t="shared" si="2"/>
        <v>0</v>
      </c>
      <c r="AMB31"/>
    </row>
    <row r="32" spans="1:1016" s="2" customFormat="1" ht="21" customHeight="1">
      <c r="A32" s="26" t="s">
        <v>11</v>
      </c>
      <c r="B32" s="43" t="s">
        <v>45</v>
      </c>
      <c r="C32" s="27" t="s">
        <v>46</v>
      </c>
      <c r="D32" s="6">
        <v>8809576260601</v>
      </c>
      <c r="E32" s="28">
        <v>1500</v>
      </c>
      <c r="F32" s="29">
        <v>8100</v>
      </c>
      <c r="G32" s="30">
        <f t="shared" si="0"/>
        <v>12150000</v>
      </c>
      <c r="H32" s="31">
        <v>50</v>
      </c>
      <c r="I32" s="32">
        <f t="shared" si="1"/>
        <v>30</v>
      </c>
      <c r="J32" s="95">
        <f>SUM(I32:I34)</f>
        <v>71</v>
      </c>
      <c r="K32" s="33"/>
      <c r="L32" s="33"/>
      <c r="M32" s="33"/>
      <c r="N32" s="33"/>
      <c r="O32" s="33"/>
      <c r="P32" s="33"/>
      <c r="Q32" s="33"/>
      <c r="R32" s="33"/>
      <c r="S32" s="34"/>
      <c r="T32" s="45">
        <v>30</v>
      </c>
      <c r="U32" s="36">
        <v>1500</v>
      </c>
      <c r="W32" s="25">
        <f t="shared" si="2"/>
        <v>0</v>
      </c>
      <c r="AMB32"/>
    </row>
    <row r="33" spans="1:1016" s="2" customFormat="1" ht="21" customHeight="1">
      <c r="A33" s="26" t="s">
        <v>11</v>
      </c>
      <c r="B33" s="43" t="s">
        <v>45</v>
      </c>
      <c r="C33" s="27" t="s">
        <v>47</v>
      </c>
      <c r="D33" s="6">
        <v>8809576261172</v>
      </c>
      <c r="E33" s="28">
        <v>900</v>
      </c>
      <c r="F33" s="29">
        <v>10400</v>
      </c>
      <c r="G33" s="30">
        <f t="shared" si="0"/>
        <v>9360000</v>
      </c>
      <c r="H33" s="31">
        <v>50</v>
      </c>
      <c r="I33" s="32">
        <f t="shared" si="1"/>
        <v>18</v>
      </c>
      <c r="J33" s="95"/>
      <c r="K33" s="33"/>
      <c r="L33" s="33"/>
      <c r="M33" s="33"/>
      <c r="N33" s="33"/>
      <c r="O33" s="33"/>
      <c r="P33" s="33"/>
      <c r="Q33" s="33"/>
      <c r="R33" s="33"/>
      <c r="S33" s="34"/>
      <c r="T33" s="45">
        <v>18</v>
      </c>
      <c r="U33" s="36">
        <v>900</v>
      </c>
      <c r="W33" s="25">
        <f t="shared" si="2"/>
        <v>0</v>
      </c>
      <c r="AMB33"/>
    </row>
    <row r="34" spans="1:1016" s="2" customFormat="1" ht="21" customHeight="1">
      <c r="A34" s="26" t="s">
        <v>11</v>
      </c>
      <c r="B34" s="43" t="s">
        <v>45</v>
      </c>
      <c r="C34" s="27" t="s">
        <v>48</v>
      </c>
      <c r="D34" s="6">
        <v>8809576261134</v>
      </c>
      <c r="E34" s="28">
        <v>920</v>
      </c>
      <c r="F34" s="29">
        <v>10300</v>
      </c>
      <c r="G34" s="30">
        <f t="shared" si="0"/>
        <v>9476000</v>
      </c>
      <c r="H34" s="31">
        <v>40</v>
      </c>
      <c r="I34" s="32">
        <f t="shared" si="1"/>
        <v>23</v>
      </c>
      <c r="J34" s="95"/>
      <c r="K34" s="33"/>
      <c r="L34" s="33"/>
      <c r="M34" s="33"/>
      <c r="N34" s="33"/>
      <c r="O34" s="33"/>
      <c r="P34" s="33"/>
      <c r="Q34" s="33"/>
      <c r="R34" s="33"/>
      <c r="S34" s="34"/>
      <c r="T34" s="45">
        <v>23</v>
      </c>
      <c r="U34" s="36">
        <v>920</v>
      </c>
      <c r="W34" s="25">
        <f t="shared" si="2"/>
        <v>0</v>
      </c>
      <c r="AMB34"/>
    </row>
    <row r="35" spans="1:1016" s="2" customFormat="1" ht="21" customHeight="1">
      <c r="A35" s="26" t="s">
        <v>11</v>
      </c>
      <c r="B35" s="43" t="s">
        <v>49</v>
      </c>
      <c r="C35" s="50" t="s">
        <v>50</v>
      </c>
      <c r="D35" s="51">
        <v>8800256108053</v>
      </c>
      <c r="E35" s="28">
        <v>320</v>
      </c>
      <c r="F35" s="29">
        <v>10600</v>
      </c>
      <c r="G35" s="30">
        <f t="shared" si="0"/>
        <v>3392000</v>
      </c>
      <c r="H35" s="31">
        <v>80</v>
      </c>
      <c r="I35" s="32">
        <f t="shared" si="1"/>
        <v>4</v>
      </c>
      <c r="J35" s="95">
        <f>SUM(I35:I40)</f>
        <v>18</v>
      </c>
      <c r="K35" s="33"/>
      <c r="L35" s="33"/>
      <c r="M35" s="33"/>
      <c r="N35" s="33"/>
      <c r="O35" s="33"/>
      <c r="P35" s="33"/>
      <c r="Q35" s="33"/>
      <c r="R35" s="33"/>
      <c r="S35" s="34"/>
      <c r="T35" s="45">
        <v>4</v>
      </c>
      <c r="U35" s="36">
        <v>320</v>
      </c>
      <c r="W35" s="25">
        <f t="shared" si="2"/>
        <v>0</v>
      </c>
      <c r="AMB35"/>
    </row>
    <row r="36" spans="1:1016" s="2" customFormat="1" ht="21" customHeight="1">
      <c r="A36" s="26" t="s">
        <v>11</v>
      </c>
      <c r="B36" s="43" t="s">
        <v>49</v>
      </c>
      <c r="C36" s="50" t="s">
        <v>51</v>
      </c>
      <c r="D36" s="51">
        <v>8800256115549</v>
      </c>
      <c r="E36" s="28">
        <v>400</v>
      </c>
      <c r="F36" s="29">
        <v>13100</v>
      </c>
      <c r="G36" s="30">
        <f t="shared" si="0"/>
        <v>5240000</v>
      </c>
      <c r="H36" s="31">
        <v>100</v>
      </c>
      <c r="I36" s="32">
        <f t="shared" si="1"/>
        <v>4</v>
      </c>
      <c r="J36" s="95"/>
      <c r="K36" s="33"/>
      <c r="L36" s="33"/>
      <c r="M36" s="33"/>
      <c r="N36" s="33"/>
      <c r="O36" s="33"/>
      <c r="P36" s="33"/>
      <c r="Q36" s="33"/>
      <c r="R36" s="33"/>
      <c r="S36" s="34"/>
      <c r="T36" s="45">
        <v>4</v>
      </c>
      <c r="U36" s="36">
        <v>400</v>
      </c>
      <c r="W36" s="25">
        <f t="shared" si="2"/>
        <v>0</v>
      </c>
      <c r="AMB36"/>
    </row>
    <row r="37" spans="1:1016" s="2" customFormat="1" ht="21" customHeight="1">
      <c r="A37" s="26" t="s">
        <v>11</v>
      </c>
      <c r="B37" s="43" t="s">
        <v>49</v>
      </c>
      <c r="C37" s="50" t="s">
        <v>52</v>
      </c>
      <c r="D37" s="51">
        <v>8800256115532</v>
      </c>
      <c r="E37" s="28">
        <v>300</v>
      </c>
      <c r="F37" s="29">
        <v>11900</v>
      </c>
      <c r="G37" s="30">
        <f t="shared" si="0"/>
        <v>3570000</v>
      </c>
      <c r="H37" s="31">
        <v>100</v>
      </c>
      <c r="I37" s="32">
        <f t="shared" si="1"/>
        <v>3</v>
      </c>
      <c r="J37" s="95"/>
      <c r="K37" s="33"/>
      <c r="L37" s="33"/>
      <c r="M37" s="33"/>
      <c r="N37" s="33"/>
      <c r="O37" s="33"/>
      <c r="P37" s="33"/>
      <c r="Q37" s="33"/>
      <c r="R37" s="33"/>
      <c r="S37" s="34"/>
      <c r="T37" s="45">
        <v>3</v>
      </c>
      <c r="U37" s="36">
        <v>300</v>
      </c>
      <c r="W37" s="25">
        <f t="shared" si="2"/>
        <v>0</v>
      </c>
      <c r="AMB37"/>
    </row>
    <row r="38" spans="1:1016" s="2" customFormat="1" ht="21" customHeight="1">
      <c r="A38" s="26" t="s">
        <v>11</v>
      </c>
      <c r="B38" s="43" t="s">
        <v>49</v>
      </c>
      <c r="C38" s="8" t="s">
        <v>53</v>
      </c>
      <c r="D38" s="52">
        <v>8800256119660</v>
      </c>
      <c r="E38" s="28">
        <v>240</v>
      </c>
      <c r="F38" s="29">
        <v>14490</v>
      </c>
      <c r="G38" s="30">
        <f t="shared" si="0"/>
        <v>3477600</v>
      </c>
      <c r="H38" s="31">
        <v>80</v>
      </c>
      <c r="I38" s="32">
        <f t="shared" si="1"/>
        <v>3</v>
      </c>
      <c r="J38" s="95"/>
      <c r="K38" s="33"/>
      <c r="L38" s="33"/>
      <c r="M38" s="33"/>
      <c r="N38" s="33"/>
      <c r="O38" s="33"/>
      <c r="P38" s="33"/>
      <c r="Q38" s="33"/>
      <c r="R38" s="33"/>
      <c r="S38" s="34"/>
      <c r="T38" s="45">
        <v>3</v>
      </c>
      <c r="U38" s="36">
        <v>240</v>
      </c>
      <c r="W38" s="25">
        <f t="shared" si="2"/>
        <v>0</v>
      </c>
      <c r="AMB38"/>
    </row>
    <row r="39" spans="1:1016" s="2" customFormat="1" ht="21" customHeight="1">
      <c r="A39" s="26" t="s">
        <v>11</v>
      </c>
      <c r="B39" s="43" t="s">
        <v>49</v>
      </c>
      <c r="C39" s="50" t="s">
        <v>54</v>
      </c>
      <c r="D39" s="51">
        <v>8800256118885</v>
      </c>
      <c r="E39" s="46">
        <v>160</v>
      </c>
      <c r="F39" s="48">
        <v>16020</v>
      </c>
      <c r="G39" s="30">
        <f t="shared" si="0"/>
        <v>2563200</v>
      </c>
      <c r="H39" s="31">
        <v>80</v>
      </c>
      <c r="I39" s="32">
        <f t="shared" si="1"/>
        <v>2</v>
      </c>
      <c r="J39" s="95"/>
      <c r="K39" s="33"/>
      <c r="L39" s="33"/>
      <c r="M39" s="33"/>
      <c r="N39" s="33"/>
      <c r="O39" s="33"/>
      <c r="P39" s="33"/>
      <c r="Q39" s="33"/>
      <c r="R39" s="33"/>
      <c r="S39" s="34"/>
      <c r="T39" s="45">
        <v>2</v>
      </c>
      <c r="U39" s="36">
        <v>160</v>
      </c>
      <c r="W39" s="25">
        <f t="shared" si="2"/>
        <v>0</v>
      </c>
      <c r="AMB39"/>
    </row>
    <row r="40" spans="1:1016" s="2" customFormat="1" ht="21" customHeight="1">
      <c r="A40" s="26" t="s">
        <v>11</v>
      </c>
      <c r="B40" s="43" t="s">
        <v>49</v>
      </c>
      <c r="C40" s="50" t="s">
        <v>55</v>
      </c>
      <c r="D40" s="51">
        <v>8800256113101</v>
      </c>
      <c r="E40" s="46">
        <v>200</v>
      </c>
      <c r="F40" s="48">
        <v>10532</v>
      </c>
      <c r="G40" s="30">
        <f t="shared" si="0"/>
        <v>2106400</v>
      </c>
      <c r="H40" s="31">
        <v>100</v>
      </c>
      <c r="I40" s="32">
        <f t="shared" si="1"/>
        <v>2</v>
      </c>
      <c r="J40" s="95"/>
      <c r="K40" s="33"/>
      <c r="L40" s="33"/>
      <c r="M40" s="33"/>
      <c r="N40" s="33"/>
      <c r="O40" s="33"/>
      <c r="P40" s="33"/>
      <c r="Q40" s="33"/>
      <c r="R40" s="33"/>
      <c r="S40" s="34"/>
      <c r="T40" s="45">
        <v>2</v>
      </c>
      <c r="U40" s="36">
        <v>200</v>
      </c>
      <c r="W40" s="25">
        <f t="shared" si="2"/>
        <v>0</v>
      </c>
      <c r="AMB40"/>
    </row>
    <row r="41" spans="1:1016" s="2" customFormat="1" ht="21" customHeight="1">
      <c r="A41" s="26" t="s">
        <v>11</v>
      </c>
      <c r="B41" s="43" t="s">
        <v>56</v>
      </c>
      <c r="C41" s="8" t="s">
        <v>57</v>
      </c>
      <c r="D41" s="53">
        <v>8803463006501</v>
      </c>
      <c r="E41" s="28">
        <v>528</v>
      </c>
      <c r="F41" s="29">
        <v>8300</v>
      </c>
      <c r="G41" s="30">
        <f t="shared" si="0"/>
        <v>4382400</v>
      </c>
      <c r="H41" s="31">
        <v>96</v>
      </c>
      <c r="I41" s="32">
        <f t="shared" si="1"/>
        <v>5.5</v>
      </c>
      <c r="J41" s="31">
        <v>6</v>
      </c>
      <c r="K41" s="33"/>
      <c r="L41" s="33"/>
      <c r="M41" s="33"/>
      <c r="N41" s="33"/>
      <c r="O41" s="33"/>
      <c r="P41" s="33"/>
      <c r="Q41" s="33"/>
      <c r="R41" s="33"/>
      <c r="S41" s="34"/>
      <c r="T41" s="45">
        <v>6</v>
      </c>
      <c r="U41" s="36">
        <v>528</v>
      </c>
      <c r="W41" s="25">
        <f t="shared" si="2"/>
        <v>48</v>
      </c>
      <c r="AMB41"/>
    </row>
    <row r="42" spans="1:1016" s="2" customFormat="1" ht="21" customHeight="1">
      <c r="A42" s="26" t="s">
        <v>11</v>
      </c>
      <c r="B42" s="43" t="s">
        <v>58</v>
      </c>
      <c r="C42" s="27" t="s">
        <v>59</v>
      </c>
      <c r="D42" s="54">
        <v>8809331319360</v>
      </c>
      <c r="E42" s="28">
        <v>1530</v>
      </c>
      <c r="F42" s="29">
        <v>6400</v>
      </c>
      <c r="G42" s="30">
        <f t="shared" si="0"/>
        <v>9792000</v>
      </c>
      <c r="H42" s="31">
        <v>90</v>
      </c>
      <c r="I42" s="32">
        <f t="shared" si="1"/>
        <v>17</v>
      </c>
      <c r="J42" s="95">
        <f>SUM(I42:I48)</f>
        <v>82</v>
      </c>
      <c r="K42" s="33"/>
      <c r="L42" s="33"/>
      <c r="M42" s="33"/>
      <c r="N42" s="33"/>
      <c r="O42" s="33"/>
      <c r="P42" s="33"/>
      <c r="Q42" s="33"/>
      <c r="R42" s="33"/>
      <c r="S42" s="34"/>
      <c r="T42" s="45">
        <v>17</v>
      </c>
      <c r="U42" s="36">
        <v>1530</v>
      </c>
      <c r="W42" s="25">
        <f t="shared" si="2"/>
        <v>0</v>
      </c>
      <c r="AMB42"/>
    </row>
    <row r="43" spans="1:1016" s="2" customFormat="1" ht="21" customHeight="1">
      <c r="A43" s="26" t="s">
        <v>11</v>
      </c>
      <c r="B43" s="43" t="s">
        <v>58</v>
      </c>
      <c r="C43" s="27" t="s">
        <v>60</v>
      </c>
      <c r="D43" s="55">
        <v>8809563068258</v>
      </c>
      <c r="E43" s="28">
        <v>1344</v>
      </c>
      <c r="F43" s="29">
        <v>4100</v>
      </c>
      <c r="G43" s="30">
        <f t="shared" si="0"/>
        <v>5510400</v>
      </c>
      <c r="H43" s="31">
        <v>96</v>
      </c>
      <c r="I43" s="32">
        <f t="shared" si="1"/>
        <v>14</v>
      </c>
      <c r="J43" s="95"/>
      <c r="K43" s="33"/>
      <c r="L43" s="33"/>
      <c r="M43" s="33"/>
      <c r="N43" s="33"/>
      <c r="O43" s="33"/>
      <c r="P43" s="33"/>
      <c r="Q43" s="33"/>
      <c r="R43" s="33"/>
      <c r="S43" s="34"/>
      <c r="T43" s="45">
        <v>14</v>
      </c>
      <c r="U43" s="36">
        <v>1344</v>
      </c>
      <c r="W43" s="25">
        <f t="shared" si="2"/>
        <v>0</v>
      </c>
      <c r="AMB43"/>
    </row>
    <row r="44" spans="1:1016" s="2" customFormat="1" ht="21" customHeight="1">
      <c r="A44" s="26" t="s">
        <v>11</v>
      </c>
      <c r="B44" s="43" t="s">
        <v>58</v>
      </c>
      <c r="C44" s="27" t="s">
        <v>61</v>
      </c>
      <c r="D44" s="55">
        <v>8809563066773</v>
      </c>
      <c r="E44" s="28">
        <v>1248</v>
      </c>
      <c r="F44" s="29">
        <v>4600</v>
      </c>
      <c r="G44" s="30">
        <f t="shared" si="0"/>
        <v>5740800</v>
      </c>
      <c r="H44" s="31">
        <v>96</v>
      </c>
      <c r="I44" s="32">
        <f t="shared" si="1"/>
        <v>13</v>
      </c>
      <c r="J44" s="95"/>
      <c r="K44" s="33"/>
      <c r="L44" s="33"/>
      <c r="M44" s="33"/>
      <c r="N44" s="33"/>
      <c r="O44" s="33"/>
      <c r="P44" s="33"/>
      <c r="Q44" s="33"/>
      <c r="R44" s="33"/>
      <c r="S44" s="34"/>
      <c r="T44" s="45">
        <v>13</v>
      </c>
      <c r="U44" s="36">
        <v>1248</v>
      </c>
      <c r="W44" s="25">
        <f t="shared" si="2"/>
        <v>0</v>
      </c>
      <c r="AMB44"/>
    </row>
    <row r="45" spans="1:1016" s="2" customFormat="1" ht="21" customHeight="1">
      <c r="A45" s="26" t="s">
        <v>11</v>
      </c>
      <c r="B45" s="43" t="s">
        <v>58</v>
      </c>
      <c r="C45" s="27" t="s">
        <v>62</v>
      </c>
      <c r="D45" s="54">
        <v>8809563066797</v>
      </c>
      <c r="E45" s="28">
        <v>1020</v>
      </c>
      <c r="F45" s="29">
        <v>2750</v>
      </c>
      <c r="G45" s="30">
        <f t="shared" si="0"/>
        <v>2805000</v>
      </c>
      <c r="H45" s="31">
        <v>60</v>
      </c>
      <c r="I45" s="32">
        <f t="shared" si="1"/>
        <v>17</v>
      </c>
      <c r="J45" s="95"/>
      <c r="K45" s="33"/>
      <c r="L45" s="33"/>
      <c r="M45" s="33"/>
      <c r="N45" s="33"/>
      <c r="O45" s="33"/>
      <c r="P45" s="33"/>
      <c r="Q45" s="33"/>
      <c r="R45" s="33"/>
      <c r="S45" s="34"/>
      <c r="T45" s="45">
        <v>17</v>
      </c>
      <c r="U45" s="36">
        <v>1020</v>
      </c>
      <c r="W45" s="25">
        <f t="shared" si="2"/>
        <v>0</v>
      </c>
      <c r="AMB45"/>
    </row>
    <row r="46" spans="1:1016" s="2" customFormat="1" ht="21" customHeight="1">
      <c r="A46" s="26" t="s">
        <v>11</v>
      </c>
      <c r="B46" s="43" t="s">
        <v>58</v>
      </c>
      <c r="C46" s="27" t="s">
        <v>63</v>
      </c>
      <c r="D46" s="55">
        <v>8809563067923</v>
      </c>
      <c r="E46" s="28">
        <v>1053</v>
      </c>
      <c r="F46" s="29">
        <v>5700</v>
      </c>
      <c r="G46" s="30">
        <f t="shared" si="0"/>
        <v>6002100</v>
      </c>
      <c r="H46" s="31">
        <v>117</v>
      </c>
      <c r="I46" s="32">
        <f t="shared" si="1"/>
        <v>9</v>
      </c>
      <c r="J46" s="95"/>
      <c r="K46" s="33"/>
      <c r="L46" s="33"/>
      <c r="M46" s="33"/>
      <c r="N46" s="33"/>
      <c r="O46" s="33"/>
      <c r="P46" s="33"/>
      <c r="Q46" s="33"/>
      <c r="R46" s="33"/>
      <c r="S46" s="34"/>
      <c r="T46" s="45">
        <v>9</v>
      </c>
      <c r="U46" s="36">
        <v>1053</v>
      </c>
      <c r="W46" s="25">
        <f t="shared" si="2"/>
        <v>0</v>
      </c>
      <c r="AMB46"/>
    </row>
    <row r="47" spans="1:1016" s="2" customFormat="1" ht="21" customHeight="1">
      <c r="A47" s="26" t="s">
        <v>11</v>
      </c>
      <c r="B47" s="56" t="s">
        <v>58</v>
      </c>
      <c r="C47" s="57" t="s">
        <v>64</v>
      </c>
      <c r="D47" s="58">
        <v>8809331313818</v>
      </c>
      <c r="E47" s="59">
        <v>480</v>
      </c>
      <c r="F47" s="60">
        <v>4750</v>
      </c>
      <c r="G47" s="30">
        <f t="shared" si="0"/>
        <v>2280000</v>
      </c>
      <c r="H47" s="31">
        <v>96</v>
      </c>
      <c r="I47" s="32">
        <f t="shared" si="1"/>
        <v>5</v>
      </c>
      <c r="J47" s="95"/>
      <c r="K47" s="33"/>
      <c r="L47" s="33"/>
      <c r="M47" s="33"/>
      <c r="N47" s="33"/>
      <c r="O47" s="33"/>
      <c r="P47" s="33"/>
      <c r="Q47" s="33"/>
      <c r="R47" s="33"/>
      <c r="S47" s="34"/>
      <c r="T47" s="45">
        <v>5</v>
      </c>
      <c r="U47" s="36">
        <v>480</v>
      </c>
      <c r="W47" s="25">
        <f t="shared" si="2"/>
        <v>0</v>
      </c>
      <c r="AMB47"/>
    </row>
    <row r="48" spans="1:1016" s="2" customFormat="1" ht="21" customHeight="1">
      <c r="A48" s="26" t="s">
        <v>11</v>
      </c>
      <c r="B48" s="56" t="s">
        <v>58</v>
      </c>
      <c r="C48" s="57" t="s">
        <v>65</v>
      </c>
      <c r="D48" s="61" t="s">
        <v>66</v>
      </c>
      <c r="E48" s="59">
        <v>420</v>
      </c>
      <c r="F48" s="60">
        <v>7500</v>
      </c>
      <c r="G48" s="30">
        <f t="shared" si="0"/>
        <v>3150000</v>
      </c>
      <c r="H48" s="31">
        <v>60</v>
      </c>
      <c r="I48" s="32">
        <f t="shared" si="1"/>
        <v>7</v>
      </c>
      <c r="J48" s="95"/>
      <c r="K48" s="33"/>
      <c r="L48" s="33"/>
      <c r="M48" s="33"/>
      <c r="N48" s="33"/>
      <c r="O48" s="33"/>
      <c r="P48" s="33"/>
      <c r="Q48" s="33"/>
      <c r="R48" s="33"/>
      <c r="S48" s="34"/>
      <c r="T48" s="45">
        <v>7</v>
      </c>
      <c r="U48" s="36">
        <v>420</v>
      </c>
      <c r="W48" s="25">
        <f t="shared" si="2"/>
        <v>0</v>
      </c>
      <c r="AMB48"/>
    </row>
    <row r="49" spans="1:1016" s="2" customFormat="1">
      <c r="A49" s="26" t="s">
        <v>11</v>
      </c>
      <c r="B49" s="56" t="s">
        <v>67</v>
      </c>
      <c r="C49" s="62" t="s">
        <v>68</v>
      </c>
      <c r="D49" s="63">
        <v>8809730950881</v>
      </c>
      <c r="E49" s="64">
        <v>1200</v>
      </c>
      <c r="F49" s="65">
        <v>5850</v>
      </c>
      <c r="G49" s="66">
        <f t="shared" si="0"/>
        <v>3510000</v>
      </c>
      <c r="H49" s="67">
        <v>60</v>
      </c>
      <c r="I49" s="68">
        <f t="shared" si="1"/>
        <v>20</v>
      </c>
      <c r="J49" s="67">
        <v>20</v>
      </c>
      <c r="K49" s="69"/>
      <c r="L49" s="69"/>
      <c r="M49" s="69"/>
      <c r="N49" s="69"/>
      <c r="O49" s="69"/>
      <c r="P49" s="69"/>
      <c r="Q49" s="69"/>
      <c r="R49" s="69"/>
      <c r="S49" s="70"/>
      <c r="T49" s="71">
        <v>11</v>
      </c>
      <c r="U49" s="72">
        <v>600</v>
      </c>
      <c r="V49" s="39" t="s">
        <v>69</v>
      </c>
      <c r="W49" s="25">
        <f t="shared" si="2"/>
        <v>60</v>
      </c>
      <c r="AMA49"/>
    </row>
    <row r="50" spans="1:1016" s="2" customFormat="1">
      <c r="A50" s="56" t="s">
        <v>70</v>
      </c>
      <c r="B50" s="56" t="s">
        <v>70</v>
      </c>
      <c r="C50" s="62" t="s">
        <v>71</v>
      </c>
      <c r="D50" s="63"/>
      <c r="E50" s="73">
        <v>1</v>
      </c>
      <c r="F50" s="74">
        <v>500000</v>
      </c>
      <c r="G50" s="75">
        <f t="shared" ref="G50" si="3">E50*F50</f>
        <v>500000</v>
      </c>
      <c r="H50" s="76"/>
      <c r="I50" s="77"/>
      <c r="J50" s="78"/>
      <c r="AMB50"/>
    </row>
    <row r="51" spans="1:1016" ht="30.75">
      <c r="A51" s="97" t="s">
        <v>72</v>
      </c>
      <c r="B51" s="97"/>
      <c r="C51" s="97"/>
      <c r="D51" s="97"/>
      <c r="E51" s="79">
        <f>SUM(U4:U49)</f>
        <v>76634</v>
      </c>
      <c r="F51" s="80" t="s">
        <v>73</v>
      </c>
      <c r="G51" s="103">
        <f>SUM(G4:G50)</f>
        <v>580788880</v>
      </c>
      <c r="H51" s="76"/>
      <c r="I51" s="78"/>
      <c r="J51" s="78"/>
    </row>
    <row r="52" spans="1:1016" ht="27">
      <c r="A52" s="81"/>
      <c r="B52" s="82"/>
      <c r="C52" s="83"/>
      <c r="D52" s="83"/>
      <c r="F52" s="84" t="s">
        <v>74</v>
      </c>
      <c r="G52" s="85">
        <v>301005140</v>
      </c>
    </row>
    <row r="53" spans="1:1016" ht="27">
      <c r="F53" s="90" t="s">
        <v>75</v>
      </c>
      <c r="G53" s="86">
        <f>G51-G52</f>
        <v>279783740</v>
      </c>
      <c r="H53" s="87" t="s">
        <v>76</v>
      </c>
    </row>
    <row r="54" spans="1:1016" ht="27">
      <c r="F54" s="91"/>
      <c r="G54" s="88">
        <f>ROUND(G53/1440,2)</f>
        <v>194294.26</v>
      </c>
      <c r="H54" s="89" t="s">
        <v>77</v>
      </c>
    </row>
    <row r="56" spans="1:1016">
      <c r="G56" s="4"/>
    </row>
  </sheetData>
  <autoFilter ref="A2:U54" xr:uid="{00000000-0009-0000-0000-000000000000}"/>
  <mergeCells count="16">
    <mergeCell ref="C2:D2"/>
    <mergeCell ref="A51:D51"/>
    <mergeCell ref="A2:A3"/>
    <mergeCell ref="B2:B3"/>
    <mergeCell ref="E2:E3"/>
    <mergeCell ref="F2:F3"/>
    <mergeCell ref="T2:T3"/>
    <mergeCell ref="U2:U3"/>
    <mergeCell ref="F53:F54"/>
    <mergeCell ref="G2:G3"/>
    <mergeCell ref="H2:H3"/>
    <mergeCell ref="I2:I3"/>
    <mergeCell ref="J22:J31"/>
    <mergeCell ref="J32:J34"/>
    <mergeCell ref="J35:J40"/>
    <mergeCell ref="J42:J48"/>
  </mergeCells>
  <phoneticPr fontId="16" type="noConversion"/>
  <conditionalFormatting sqref="C4:D21">
    <cfRule type="expression" priority="15">
      <formula>$L4="단종"</formula>
    </cfRule>
    <cfRule type="expression" priority="16">
      <formula>$L4="품절"</formula>
    </cfRule>
  </conditionalFormatting>
  <conditionalFormatting sqref="C6:D6">
    <cfRule type="expression" priority="17">
      <formula>$L1048486="품절"</formula>
    </cfRule>
  </conditionalFormatting>
  <conditionalFormatting sqref="C7:D7">
    <cfRule type="expression" priority="18">
      <formula>$L1048488="품절"</formula>
    </cfRule>
  </conditionalFormatting>
  <conditionalFormatting sqref="C15:D15">
    <cfRule type="expression" priority="10">
      <formula>#REF!="품절"</formula>
    </cfRule>
  </conditionalFormatting>
  <conditionalFormatting sqref="C32:D34">
    <cfRule type="expression" priority="19">
      <formula>$L32="품절"</formula>
    </cfRule>
    <cfRule type="expression" priority="20">
      <formula>$L32="단종"</formula>
    </cfRule>
    <cfRule type="expression" priority="21">
      <formula>$L32=품절</formula>
    </cfRule>
  </conditionalFormatting>
  <conditionalFormatting sqref="E5:E21">
    <cfRule type="cellIs" priority="3" operator="equal">
      <formula>0</formula>
    </cfRule>
  </conditionalFormatting>
  <pageMargins left="0.7" right="0.7" top="0.75" bottom="0.75" header="0.51180555555555496" footer="0.51180555555555496"/>
  <pageSetup paperSize="9" firstPageNumber="0" orientation="landscape" useFirstPageNumber="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Khegay</dc:creator>
  <cp:lastModifiedBy>k86msk@gmail.com</cp:lastModifiedBy>
  <cp:revision>4</cp:revision>
  <cp:lastPrinted>2026-07-23T07:33:00Z</cp:lastPrinted>
  <dcterms:created xsi:type="dcterms:W3CDTF">2025-11-10T07:33:00Z</dcterms:created>
  <dcterms:modified xsi:type="dcterms:W3CDTF">2026-08-04T13:23:23Z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B6E20F2D442449FD88B774C8B24D9ED0_12</vt:lpwstr>
  </property>
  <property fmtid="{D5CDD505-2E9C-101B-9397-08002B2CF9AE}" pid="9" name="KSOProductBuildVer">
    <vt:lpwstr>1049-12.1.0.27458</vt:lpwstr>
  </property>
  <property fmtid="{D5CDD505-2E9C-101B-9397-08002B2CF9AE}" pid="10" name="CalculationRule">
    <vt:i4>0</vt:i4>
  </property>
</Properties>
</file>
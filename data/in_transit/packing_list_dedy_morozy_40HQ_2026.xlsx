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Зака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<sst xmlns="http://schemas.openxmlformats.org/spreadsheetml/2006/main" count="59" uniqueCount="44">
  <si>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 xml:space="preserve">SHANTOU JIETAI CRAFTS&amp;TOYS MANUFACTORY
联系人：林女士  电话：0754-5876447 手机：13413448547 </t>
  </si>
  <si>
    <t>Packing list</t>
  </si>
  <si>
    <t>PHOTO</t>
  </si>
  <si>
    <t>Number</t>
  </si>
  <si>
    <t>PRODUCT SIZE</t>
  </si>
  <si>
    <t>QTY.</t>
  </si>
  <si>
    <t xml:space="preserve">в коробке , шт
QTY./CTN. </t>
  </si>
  <si>
    <t>CTN.SIZE
(CM)</t>
  </si>
  <si>
    <t>CBM/CTN.</t>
  </si>
  <si>
    <t>TOTAL CTN.</t>
  </si>
  <si>
    <t>total CBM</t>
  </si>
  <si>
    <t>G.W
(KGS)</t>
  </si>
  <si>
    <t>N.W(KGS)</t>
  </si>
  <si>
    <t>Total
 G.W</t>
  </si>
  <si>
    <t xml:space="preserve">TOTAL N.W
</t>
  </si>
  <si>
    <t>дм-3</t>
  </si>
  <si>
    <t>35CM</t>
  </si>
  <si>
    <t>60*41*38</t>
  </si>
  <si>
    <t>дм-3B</t>
  </si>
  <si>
    <t>50CM</t>
  </si>
  <si>
    <t>47*46*48.5</t>
  </si>
  <si>
    <t>дм-3C</t>
  </si>
  <si>
    <t>65CM</t>
  </si>
  <si>
    <t>57.5*26.5*21</t>
  </si>
  <si>
    <t>дм-7</t>
  </si>
  <si>
    <t>дм-5</t>
  </si>
  <si>
    <t>дм-5B</t>
  </si>
  <si>
    <t>дм-8B</t>
  </si>
  <si>
    <t>дм-2</t>
  </si>
  <si>
    <t>дм-10</t>
  </si>
  <si>
    <t>дм-15</t>
  </si>
  <si>
    <t>СГ-1</t>
  </si>
  <si>
    <t>СГ-Белая с узорами</t>
  </si>
  <si>
    <t>48*33.5*48</t>
  </si>
  <si>
    <t>СГ-2</t>
  </si>
  <si>
    <t>СГ-Красная</t>
  </si>
  <si>
    <t>总计</t>
  </si>
  <si>
    <t xml:space="preserve">Коробки </t>
  </si>
  <si>
    <t>10CBM</t>
  </si>
  <si>
    <t>13408pcs box</t>
  </si>
  <si>
    <t xml:space="preserve">TOTAL </t>
  </si>
  <si>
    <t>64.5CBM</t>
  </si>
  <si>
    <t>5060 KGS</t>
  </si>
  <si>
    <t>4343kgs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</si>
</sst>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\ ##0.00_ ;_ * \-#\ ##0.00_ ;_ * &quot;-&quot;??_ ;_ @_ "/>
    <numFmt numFmtId="177" formatCode="_ &quot;￥&quot;* #\ ##0.00_ ;_ &quot;￥&quot;* \-#\ ##0.00_ ;_ &quot;￥&quot;* &quot;-&quot;??_ ;_ @_ "/>
    <numFmt numFmtId="178" formatCode="_ * #\ ##0_ ;_ * \-#\ ##0_ ;_ * &quot;-&quot;_ ;_ @_ "/>
    <numFmt numFmtId="179" formatCode="_ &quot;￥&quot;* #\ ##0_ ;_ &quot;￥&quot;* \-#\ ##0_ ;_ &quot;￥&quot;* &quot;-&quot;_ ;_ @_ "/>
    <numFmt numFmtId="180" formatCode="#\ ##0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0"/>
      <color theme="0"/>
      <name val="Arial"/>
      <charset val="134"/>
    </font>
    <font>
      <sz val="11"/>
      <color theme="0"/>
      <name val="宋体"/>
      <charset val="134"/>
      <scheme val="minor"/>
    </font>
    <font>
      <b/>
      <sz val="11"/>
      <color rgb="FF000000"/>
      <name val="Arial"/>
      <charset val="134"/>
    </font>
    <font>
      <b/>
      <sz val="11"/>
      <color rgb="FF1F3864"/>
      <name val="Arial"/>
      <charset val="134"/>
    </font>
    <font>
      <b/>
      <sz val="11"/>
      <color rgb="FFFF0000"/>
      <name val="Arial"/>
      <charset val="134"/>
    </font>
    <font>
      <sz val="11"/>
      <color rgb="FFFF0000"/>
      <name val="宋体"/>
      <charset val="134"/>
      <scheme val="minor"/>
    </font>
    <font>
      <b/>
      <sz val="12"/>
      <color rgb="FFFFFFFF"/>
      <name val="Arial"/>
      <charset val="204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/>
    </xf>
    <xf numFmtId="180" fontId="5" fillId="5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0" fillId="6" borderId="1" xfId="0" applyFill="1" applyBorder="1"/>
    <xf numFmtId="0" fontId="8" fillId="7" borderId="1" xfId="0" applyFont="1" applyFill="1" applyBorder="1" applyAlignment="1">
      <alignment horizontal="left" vertical="center" indent="1"/>
    </xf>
    <xf numFmtId="180" fontId="9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8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3</xdr:row>
      <xdr:rowOff>0</xdr:rowOff>
    </xdr:from>
    <xdr:ext cx="363220" cy="6197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525" y="1130300"/>
          <a:ext cx="363220" cy="61976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</xdr:row>
      <xdr:rowOff>0</xdr:rowOff>
    </xdr:from>
    <xdr:ext cx="353060" cy="619125"/>
    <xdr:pic>
      <xdr:nvPicPr>
        <xdr:cNvPr id="3" name="Image 2" descr="Picture"/>
        <xdr:cNvPicPr/>
      </xdr:nvPicPr>
      <xdr:blipFill>
        <a:blip r:embed="rId1" cstate="print"/>
        <a:stretch>
          <a:fillRect/>
        </a:stretch>
      </xdr:blipFill>
      <xdr:spPr>
        <a:xfrm>
          <a:off x="9525" y="1790700"/>
          <a:ext cx="353060" cy="61912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</xdr:row>
      <xdr:rowOff>0</xdr:rowOff>
    </xdr:from>
    <xdr:ext cx="353060" cy="629285"/>
    <xdr:pic>
      <xdr:nvPicPr>
        <xdr:cNvPr id="4" name="Image 3" descr="Picture"/>
        <xdr:cNvPicPr/>
      </xdr:nvPicPr>
      <xdr:blipFill>
        <a:blip r:embed="rId1" cstate="print"/>
        <a:stretch>
          <a:fillRect/>
        </a:stretch>
      </xdr:blipFill>
      <xdr:spPr>
        <a:xfrm>
          <a:off x="9525" y="2489200"/>
          <a:ext cx="353060" cy="62928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</xdr:row>
      <xdr:rowOff>0</xdr:rowOff>
    </xdr:from>
    <xdr:ext cx="391160" cy="714375"/>
    <xdr:pic>
      <xdr:nvPicPr>
        <xdr:cNvPr id="5" name="Image 4" descr="Picture"/>
        <xdr:cNvPicPr/>
      </xdr:nvPicPr>
      <xdr:blipFill>
        <a:blip r:embed="rId2" cstate="print"/>
        <a:stretch>
          <a:fillRect/>
        </a:stretch>
      </xdr:blipFill>
      <xdr:spPr>
        <a:xfrm>
          <a:off x="9525" y="3175000"/>
          <a:ext cx="391160" cy="71437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7</xdr:row>
      <xdr:rowOff>0</xdr:rowOff>
    </xdr:from>
    <xdr:ext cx="361950" cy="609600"/>
    <xdr:pic>
      <xdr:nvPicPr>
        <xdr:cNvPr id="6" name="Image 5" descr="Picture"/>
        <xdr:cNvPicPr/>
      </xdr:nvPicPr>
      <xdr:blipFill>
        <a:blip r:embed="rId3" cstate="print"/>
        <a:stretch>
          <a:fillRect/>
        </a:stretch>
      </xdr:blipFill>
      <xdr:spPr>
        <a:xfrm>
          <a:off x="9525" y="3937000"/>
          <a:ext cx="361950" cy="6096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8</xdr:row>
      <xdr:rowOff>0</xdr:rowOff>
    </xdr:from>
    <xdr:ext cx="391160" cy="533400"/>
    <xdr:pic>
      <xdr:nvPicPr>
        <xdr:cNvPr id="7" name="Image 6" descr="Picture"/>
        <xdr:cNvPicPr/>
      </xdr:nvPicPr>
      <xdr:blipFill>
        <a:blip r:embed="rId3" cstate="print"/>
        <a:stretch>
          <a:fillRect/>
        </a:stretch>
      </xdr:blipFill>
      <xdr:spPr>
        <a:xfrm>
          <a:off x="9525" y="4648200"/>
          <a:ext cx="391160" cy="5334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9</xdr:row>
      <xdr:rowOff>0</xdr:rowOff>
    </xdr:from>
    <xdr:ext cx="410210" cy="723900"/>
    <xdr:pic>
      <xdr:nvPicPr>
        <xdr:cNvPr id="8" name="Image 7" descr="Picture"/>
        <xdr:cNvPicPr/>
      </xdr:nvPicPr>
      <xdr:blipFill>
        <a:blip r:embed="rId4" cstate="print"/>
        <a:stretch>
          <a:fillRect/>
        </a:stretch>
      </xdr:blipFill>
      <xdr:spPr>
        <a:xfrm>
          <a:off x="9525" y="5257800"/>
          <a:ext cx="410210" cy="7239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10</xdr:row>
      <xdr:rowOff>0</xdr:rowOff>
    </xdr:from>
    <xdr:ext cx="419735" cy="666750"/>
    <xdr:pic>
      <xdr:nvPicPr>
        <xdr:cNvPr id="9" name="Image 8" descr="Picture"/>
        <xdr:cNvPicPr/>
      </xdr:nvPicPr>
      <xdr:blipFill>
        <a:blip r:embed="rId5" cstate="print"/>
        <a:stretch>
          <a:fillRect/>
        </a:stretch>
      </xdr:blipFill>
      <xdr:spPr>
        <a:xfrm>
          <a:off x="9525" y="6045200"/>
          <a:ext cx="419735" cy="6667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11</xdr:row>
      <xdr:rowOff>0</xdr:rowOff>
    </xdr:from>
    <xdr:ext cx="447675" cy="552450"/>
    <xdr:pic>
      <xdr:nvPicPr>
        <xdr:cNvPr id="10" name="Image 9" descr="Picture"/>
        <xdr:cNvPicPr/>
      </xdr:nvPicPr>
      <xdr:blipFill>
        <a:blip r:embed="rId6" cstate="print"/>
        <a:stretch>
          <a:fillRect/>
        </a:stretch>
      </xdr:blipFill>
      <xdr:spPr>
        <a:xfrm>
          <a:off x="9525" y="6781800"/>
          <a:ext cx="447675" cy="5524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0</xdr:rowOff>
    </xdr:from>
    <xdr:ext cx="429260" cy="714375"/>
    <xdr:pic>
      <xdr:nvPicPr>
        <xdr:cNvPr id="11" name="Image 10" descr="Picture"/>
        <xdr:cNvPicPr/>
      </xdr:nvPicPr>
      <xdr:blipFill>
        <a:blip r:embed="rId7" cstate="print"/>
        <a:stretch>
          <a:fillRect/>
        </a:stretch>
      </xdr:blipFill>
      <xdr:spPr>
        <a:xfrm>
          <a:off x="9525" y="7353300"/>
          <a:ext cx="429260" cy="71437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13</xdr:row>
      <xdr:rowOff>0</xdr:rowOff>
    </xdr:from>
    <xdr:ext cx="466725" cy="695960"/>
    <xdr:pic>
      <xdr:nvPicPr>
        <xdr:cNvPr id="12" name="Image 11" descr="Picture"/>
        <xdr:cNvPicPr/>
      </xdr:nvPicPr>
      <xdr:blipFill>
        <a:blip r:embed="rId8" cstate="print"/>
        <a:stretch>
          <a:fillRect/>
        </a:stretch>
      </xdr:blipFill>
      <xdr:spPr>
        <a:xfrm>
          <a:off x="9525" y="8140700"/>
          <a:ext cx="466725" cy="69596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14</xdr:row>
      <xdr:rowOff>0</xdr:rowOff>
    </xdr:from>
    <xdr:ext cx="457835" cy="704850"/>
    <xdr:pic>
      <xdr:nvPicPr>
        <xdr:cNvPr id="13" name="Image 12" descr="Picture"/>
        <xdr:cNvPicPr/>
      </xdr:nvPicPr>
      <xdr:blipFill>
        <a:blip r:embed="rId9" cstate="print"/>
        <a:stretch>
          <a:fillRect/>
        </a:stretch>
      </xdr:blipFill>
      <xdr:spPr>
        <a:xfrm>
          <a:off x="9525" y="8890000"/>
          <a:ext cx="457835" cy="704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R15" sqref="R15"/>
    </sheetView>
  </sheetViews>
  <sheetFormatPr defaultColWidth="9" defaultRowHeight="13.5"/>
  <cols>
    <col min="1" max="1" width="13.125" customWidth="1"/>
    <col min="2" max="2" width="8.75" customWidth="1"/>
    <col min="3" max="3" width="15.25" style="1" customWidth="1"/>
    <col min="4" max="4" width="9.25" style="1" customWidth="1"/>
    <col min="5" max="5" width="9.625" style="1" customWidth="1"/>
    <col min="6" max="6" width="13.625" customWidth="1"/>
    <col min="7" max="7" width="9.875" customWidth="1"/>
    <col min="8" max="8" width="7.875" customWidth="1"/>
    <col min="9" max="10" width="9.25" customWidth="1"/>
    <col min="11" max="11" width="8.25" customWidth="1"/>
    <col min="12" max="12" width="8" customWidth="1"/>
  </cols>
  <sheetData>
    <row r="1" ht="33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4" customHeight="1" spans="1:1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6" t="s">
        <v>8</v>
      </c>
      <c r="H3" s="6" t="s">
        <v>9</v>
      </c>
      <c r="I3" s="6" t="s">
        <v>10</v>
      </c>
      <c r="J3" s="7" t="s">
        <v>11</v>
      </c>
      <c r="K3" s="7" t="s">
        <v>12</v>
      </c>
      <c r="L3" s="7" t="s">
        <v>13</v>
      </c>
      <c r="M3" s="8" t="s">
        <v>14</v>
      </c>
    </row>
    <row r="4" ht="52" customHeight="1" spans="1:13">
      <c r="A4" s="9"/>
      <c r="B4" s="9" t="s">
        <v>15</v>
      </c>
      <c r="C4" s="10" t="s">
        <v>16</v>
      </c>
      <c r="D4" s="11">
        <v>5070</v>
      </c>
      <c r="E4" s="11">
        <v>30</v>
      </c>
      <c r="F4" s="12" t="s">
        <v>17</v>
      </c>
      <c r="G4" s="12">
        <v>0.093</v>
      </c>
      <c r="H4" s="12">
        <v>169</v>
      </c>
      <c r="I4" s="12">
        <f>H4*G4</f>
        <v>15.717</v>
      </c>
      <c r="J4" s="12">
        <v>6.85</v>
      </c>
      <c r="K4" s="12">
        <v>5.6</v>
      </c>
      <c r="L4" s="12">
        <f>J4*H4</f>
        <v>1157.65</v>
      </c>
      <c r="M4">
        <f>K4*H4</f>
        <v>946.4</v>
      </c>
    </row>
    <row r="5" ht="55" customHeight="1" spans="1:13">
      <c r="A5" s="13"/>
      <c r="B5" s="13" t="s">
        <v>18</v>
      </c>
      <c r="C5" s="14" t="s">
        <v>19</v>
      </c>
      <c r="D5" s="15">
        <v>672</v>
      </c>
      <c r="E5" s="15">
        <v>12</v>
      </c>
      <c r="F5" s="12" t="s">
        <v>20</v>
      </c>
      <c r="G5" s="12">
        <f>47*46*48.5/1000000</f>
        <v>0.104857</v>
      </c>
      <c r="H5" s="12">
        <v>56</v>
      </c>
      <c r="I5" s="12">
        <f t="shared" ref="I5:I15" si="0">H5*G5</f>
        <v>5.871992</v>
      </c>
      <c r="J5" s="12">
        <v>5.9</v>
      </c>
      <c r="K5" s="12">
        <v>4.5</v>
      </c>
      <c r="L5" s="12">
        <f t="shared" ref="L5:L15" si="1">J5*H5</f>
        <v>330.4</v>
      </c>
      <c r="M5">
        <f t="shared" ref="M5:M15" si="2">K5*H5</f>
        <v>252</v>
      </c>
    </row>
    <row r="6" ht="54" customHeight="1" spans="1:13">
      <c r="A6" s="9"/>
      <c r="B6" s="9" t="s">
        <v>21</v>
      </c>
      <c r="C6" s="10" t="s">
        <v>22</v>
      </c>
      <c r="D6" s="16">
        <v>156</v>
      </c>
      <c r="E6" s="16">
        <v>1</v>
      </c>
      <c r="F6" s="17" t="s">
        <v>23</v>
      </c>
      <c r="G6" s="17">
        <f>57.5*26.5*21/1000000</f>
        <v>0.03199875</v>
      </c>
      <c r="H6" s="17">
        <v>156</v>
      </c>
      <c r="I6" s="17">
        <f t="shared" si="0"/>
        <v>4.991805</v>
      </c>
      <c r="J6" s="12">
        <v>1.45</v>
      </c>
      <c r="K6" s="12">
        <v>0.85</v>
      </c>
      <c r="L6" s="12">
        <f t="shared" si="1"/>
        <v>226.2</v>
      </c>
      <c r="M6">
        <f t="shared" si="2"/>
        <v>132.6</v>
      </c>
    </row>
    <row r="7" ht="60" customHeight="1" spans="1:13">
      <c r="A7" s="13"/>
      <c r="B7" s="13" t="s">
        <v>24</v>
      </c>
      <c r="C7" s="14" t="s">
        <v>16</v>
      </c>
      <c r="D7" s="15">
        <v>930</v>
      </c>
      <c r="E7" s="15">
        <v>30</v>
      </c>
      <c r="F7" s="12" t="s">
        <v>17</v>
      </c>
      <c r="G7" s="12">
        <v>0.093</v>
      </c>
      <c r="H7" s="12">
        <v>31</v>
      </c>
      <c r="I7" s="12">
        <f t="shared" si="0"/>
        <v>2.883</v>
      </c>
      <c r="J7" s="12">
        <v>6.85</v>
      </c>
      <c r="K7" s="12">
        <v>5.6</v>
      </c>
      <c r="L7" s="12">
        <f t="shared" si="1"/>
        <v>212.35</v>
      </c>
      <c r="M7">
        <f t="shared" si="2"/>
        <v>173.6</v>
      </c>
    </row>
    <row r="8" ht="56" customHeight="1" spans="1:13">
      <c r="A8" s="9"/>
      <c r="B8" s="9" t="s">
        <v>25</v>
      </c>
      <c r="C8" s="10" t="s">
        <v>16</v>
      </c>
      <c r="D8" s="11">
        <v>1200</v>
      </c>
      <c r="E8" s="11">
        <v>30</v>
      </c>
      <c r="F8" s="12" t="s">
        <v>17</v>
      </c>
      <c r="G8" s="12">
        <v>0.093</v>
      </c>
      <c r="H8" s="18">
        <v>40</v>
      </c>
      <c r="I8" s="12">
        <f t="shared" si="0"/>
        <v>3.72</v>
      </c>
      <c r="J8" s="12">
        <v>6.95</v>
      </c>
      <c r="K8" s="12">
        <v>5.7</v>
      </c>
      <c r="L8" s="12">
        <f t="shared" si="1"/>
        <v>278</v>
      </c>
      <c r="M8">
        <f t="shared" si="2"/>
        <v>228</v>
      </c>
    </row>
    <row r="9" ht="48" customHeight="1" spans="1:13">
      <c r="A9" s="13"/>
      <c r="B9" s="13" t="s">
        <v>26</v>
      </c>
      <c r="C9" s="14" t="s">
        <v>19</v>
      </c>
      <c r="D9" s="15">
        <v>444</v>
      </c>
      <c r="E9" s="15">
        <v>12</v>
      </c>
      <c r="F9" s="12" t="s">
        <v>20</v>
      </c>
      <c r="G9" s="12">
        <f>47*46*48.5/1000000</f>
        <v>0.104857</v>
      </c>
      <c r="H9" s="12">
        <v>37</v>
      </c>
      <c r="I9" s="12">
        <f t="shared" si="0"/>
        <v>3.879709</v>
      </c>
      <c r="J9" s="12">
        <v>5.8</v>
      </c>
      <c r="K9" s="12">
        <v>4.5</v>
      </c>
      <c r="L9" s="12">
        <f t="shared" si="1"/>
        <v>214.6</v>
      </c>
      <c r="M9">
        <f t="shared" si="2"/>
        <v>166.5</v>
      </c>
    </row>
    <row r="10" ht="62" customHeight="1" spans="1:13">
      <c r="A10" s="9"/>
      <c r="B10" s="9" t="s">
        <v>27</v>
      </c>
      <c r="C10" s="10" t="s">
        <v>19</v>
      </c>
      <c r="D10" s="16">
        <v>576</v>
      </c>
      <c r="E10" s="16">
        <v>12</v>
      </c>
      <c r="F10" s="17" t="s">
        <v>20</v>
      </c>
      <c r="G10" s="17">
        <f>47*46*48.5/1000000</f>
        <v>0.104857</v>
      </c>
      <c r="H10" s="17">
        <v>48</v>
      </c>
      <c r="I10" s="17">
        <f t="shared" si="0"/>
        <v>5.033136</v>
      </c>
      <c r="J10" s="12">
        <v>5.45</v>
      </c>
      <c r="K10" s="12">
        <v>4.1</v>
      </c>
      <c r="L10" s="12">
        <f t="shared" si="1"/>
        <v>261.6</v>
      </c>
      <c r="M10">
        <f t="shared" si="2"/>
        <v>196.8</v>
      </c>
    </row>
    <row r="11" ht="58" customHeight="1" spans="1:13">
      <c r="A11" s="13"/>
      <c r="B11" s="13" t="s">
        <v>28</v>
      </c>
      <c r="C11" s="14" t="s">
        <v>16</v>
      </c>
      <c r="D11" s="15">
        <v>990</v>
      </c>
      <c r="E11" s="15">
        <v>30</v>
      </c>
      <c r="F11" s="12" t="s">
        <v>17</v>
      </c>
      <c r="G11" s="12">
        <v>0.093</v>
      </c>
      <c r="H11" s="12">
        <v>33</v>
      </c>
      <c r="I11" s="12">
        <f t="shared" si="0"/>
        <v>3.069</v>
      </c>
      <c r="J11" s="12">
        <v>6.8</v>
      </c>
      <c r="K11" s="12">
        <v>5.55</v>
      </c>
      <c r="L11" s="12">
        <f t="shared" si="1"/>
        <v>224.4</v>
      </c>
      <c r="M11">
        <f t="shared" si="2"/>
        <v>183.15</v>
      </c>
    </row>
    <row r="12" ht="45" customHeight="1" spans="1:13">
      <c r="A12" s="9"/>
      <c r="B12" s="9" t="s">
        <v>29</v>
      </c>
      <c r="C12" s="14" t="s">
        <v>16</v>
      </c>
      <c r="D12" s="11">
        <v>930</v>
      </c>
      <c r="E12" s="11">
        <v>30</v>
      </c>
      <c r="F12" s="12" t="s">
        <v>17</v>
      </c>
      <c r="G12" s="12">
        <v>0.093</v>
      </c>
      <c r="H12" s="12">
        <v>31</v>
      </c>
      <c r="I12" s="12">
        <f t="shared" si="0"/>
        <v>2.883</v>
      </c>
      <c r="J12" s="12">
        <v>7.95</v>
      </c>
      <c r="K12" s="12">
        <v>6.7</v>
      </c>
      <c r="L12" s="12">
        <f t="shared" si="1"/>
        <v>246.45</v>
      </c>
      <c r="M12">
        <f t="shared" si="2"/>
        <v>207.7</v>
      </c>
    </row>
    <row r="13" ht="62" customHeight="1" spans="1:13">
      <c r="A13" s="13"/>
      <c r="B13" s="13" t="s">
        <v>30</v>
      </c>
      <c r="C13" s="14" t="s">
        <v>16</v>
      </c>
      <c r="D13" s="15">
        <v>210</v>
      </c>
      <c r="E13" s="15">
        <v>30</v>
      </c>
      <c r="F13" s="12" t="s">
        <v>17</v>
      </c>
      <c r="G13" s="12">
        <v>0.093</v>
      </c>
      <c r="H13" s="12">
        <v>7</v>
      </c>
      <c r="I13" s="12">
        <f t="shared" si="0"/>
        <v>0.651</v>
      </c>
      <c r="J13" s="12">
        <v>7.05</v>
      </c>
      <c r="K13" s="12">
        <v>5.8</v>
      </c>
      <c r="L13" s="12">
        <f t="shared" si="1"/>
        <v>49.35</v>
      </c>
      <c r="M13">
        <f t="shared" si="2"/>
        <v>40.6</v>
      </c>
    </row>
    <row r="14" ht="59" customHeight="1" spans="1:13">
      <c r="A14" s="9"/>
      <c r="B14" s="9" t="s">
        <v>31</v>
      </c>
      <c r="C14" s="10" t="s">
        <v>32</v>
      </c>
      <c r="D14" s="11">
        <v>780</v>
      </c>
      <c r="E14" s="11">
        <v>30</v>
      </c>
      <c r="F14" s="12" t="s">
        <v>33</v>
      </c>
      <c r="G14" s="12">
        <f>48*33.5*48/1000000</f>
        <v>0.077184</v>
      </c>
      <c r="H14" s="12">
        <v>26</v>
      </c>
      <c r="I14" s="12">
        <f t="shared" si="0"/>
        <v>2.006784</v>
      </c>
      <c r="J14" s="12">
        <v>6.25</v>
      </c>
      <c r="K14" s="12">
        <v>5.25</v>
      </c>
      <c r="L14" s="12">
        <f t="shared" si="1"/>
        <v>162.5</v>
      </c>
      <c r="M14">
        <f t="shared" si="2"/>
        <v>136.5</v>
      </c>
    </row>
    <row r="15" ht="61" customHeight="1" spans="1:13">
      <c r="A15" s="13"/>
      <c r="B15" s="13" t="s">
        <v>34</v>
      </c>
      <c r="C15" s="14" t="s">
        <v>35</v>
      </c>
      <c r="D15" s="15">
        <v>510</v>
      </c>
      <c r="E15" s="15">
        <v>30</v>
      </c>
      <c r="F15" s="12" t="s">
        <v>33</v>
      </c>
      <c r="G15" s="12">
        <f>48*33.5*48/1000000</f>
        <v>0.077184</v>
      </c>
      <c r="H15" s="12">
        <v>17</v>
      </c>
      <c r="I15" s="12">
        <f t="shared" si="0"/>
        <v>1.312128</v>
      </c>
      <c r="J15" s="12">
        <v>6.25</v>
      </c>
      <c r="K15" s="12">
        <v>5.25</v>
      </c>
      <c r="L15" s="12">
        <f t="shared" si="1"/>
        <v>106.25</v>
      </c>
      <c r="M15">
        <f t="shared" si="2"/>
        <v>89.25</v>
      </c>
    </row>
    <row r="16" ht="26" customHeight="1" spans="1:13">
      <c r="A16" s="19" t="s">
        <v>36</v>
      </c>
      <c r="B16" s="19"/>
      <c r="C16" s="12"/>
      <c r="D16" s="20">
        <f>SUM(D4:D15)</f>
        <v>12468</v>
      </c>
      <c r="E16" s="20"/>
      <c r="F16" s="12"/>
      <c r="G16" s="12"/>
      <c r="H16" s="12">
        <v>651</v>
      </c>
      <c r="I16" s="12">
        <f>SUM(I4:I15)</f>
        <v>52.018554</v>
      </c>
      <c r="J16" s="21"/>
      <c r="K16" s="22"/>
      <c r="L16" s="12">
        <v>3469.75</v>
      </c>
      <c r="M16">
        <v>2753</v>
      </c>
    </row>
    <row r="17" spans="7:13">
      <c r="H17" t="s">
        <v>37</v>
      </c>
      <c r="I17" t="s">
        <v>38</v>
      </c>
      <c r="J17" t="s">
        <v>39</v>
      </c>
      <c r="L17">
        <v>1590</v>
      </c>
      <c r="M17">
        <v>1590</v>
      </c>
    </row>
    <row r="18" ht="22" customHeight="1" spans="7:13">
      <c r="G18" t="s">
        <v>40</v>
      </c>
      <c r="I18" t="s">
        <v>41</v>
      </c>
      <c r="L18" t="s">
        <v>42</v>
      </c>
      <c r="M18" t="s">
        <v>43</v>
      </c>
    </row>
  </sheetData>
  <mergeCells count="3">
    <mergeCell ref="A1:K1"/>
    <mergeCell ref="A2:K2"/>
    <mergeCell ref="A16:C16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Заказ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daisy（林S）</cp:lastModifiedBy>
  <dcterms:created xsi:type="dcterms:W3CDTF">2026-05-08T10:51:00Z</dcterms:created>
  <dcterms:modified xsi:type="dcterms:W3CDTF">2026-08-28T08:43:13Z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02985E555ACC4085AF059CEA833524B2_13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
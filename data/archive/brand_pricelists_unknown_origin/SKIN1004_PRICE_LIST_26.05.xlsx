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1383E30-376D-4202-94E2-434FFE8F5A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" sheetId="1" r:id="rId1"/>
  </sheets>
  <calcPr calcId="191029" iterate="1" iterateCount="200"/>
  <extLst>
    <ext uri="GoogleSheetsCustomDataVersion2">
      <go:sheetsCustomData xmlns:go="http://customooxmlschemas.google.com/" r:id="rId5" roundtripDataChecksum="8cmbrMDdCpyzaVJE2+vaGgT/Q2VqMT/WK0vEExp2Au8="/>
    </ext>
  </extLst>
</workbook>
</file>

<file path=xl/calcChain.xml><?xml version="1.0" encoding="utf-8"?>
<calcChain xmlns="http://schemas.openxmlformats.org/spreadsheetml/2006/main">
  <c r="I65" i="1" l="1"/>
  <c r="G149" i="1"/>
  <c r="J29" i="1"/>
  <c r="J41" i="1"/>
  <c r="J45" i="1"/>
  <c r="J57" i="1"/>
  <c r="J61" i="1"/>
  <c r="J65" i="1"/>
  <c r="J79" i="1"/>
  <c r="J95" i="1"/>
  <c r="J111" i="1"/>
  <c r="J127" i="1"/>
  <c r="J138" i="1"/>
  <c r="J146" i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I42" i="1"/>
  <c r="J42" i="1" s="1"/>
  <c r="I43" i="1"/>
  <c r="J43" i="1" s="1"/>
  <c r="I44" i="1"/>
  <c r="J44" i="1" s="1"/>
  <c r="I45" i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I58" i="1"/>
  <c r="J58" i="1" s="1"/>
  <c r="I59" i="1"/>
  <c r="J59" i="1" s="1"/>
  <c r="I60" i="1"/>
  <c r="J60" i="1" s="1"/>
  <c r="I61" i="1"/>
  <c r="I62" i="1"/>
  <c r="J62" i="1" s="1"/>
  <c r="I63" i="1"/>
  <c r="J63" i="1" s="1"/>
  <c r="I64" i="1"/>
  <c r="J64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I147" i="1"/>
  <c r="J147" i="1" s="1"/>
  <c r="I148" i="1"/>
  <c r="J148" i="1" s="1"/>
  <c r="I8" i="1" l="1"/>
  <c r="I149" i="1" s="1"/>
  <c r="J8" i="1" l="1"/>
  <c r="J149" i="1" s="1"/>
</calcChain>
</file>

<file path=xl/sharedStrings.xml><?xml version="1.0" encoding="utf-8"?>
<sst xmlns="http://schemas.openxmlformats.org/spreadsheetml/2006/main" count="391" uniqueCount="347">
  <si>
    <t>.</t>
  </si>
  <si>
    <t>( KRW )</t>
  </si>
  <si>
    <t>No.</t>
  </si>
  <si>
    <t>Product Line</t>
  </si>
  <si>
    <t>Barcode</t>
  </si>
  <si>
    <t>Product</t>
  </si>
  <si>
    <t>Wholesale Price
(FOB Korea)</t>
  </si>
  <si>
    <t>Carton</t>
  </si>
  <si>
    <t>Order Qty</t>
  </si>
  <si>
    <t>Total Price</t>
  </si>
  <si>
    <t xml:space="preserve">Remarks </t>
  </si>
  <si>
    <t>Centella
(Soothing
 and calming)</t>
  </si>
  <si>
    <t>SKIN1004 Madagascar Centella Light Cleansing Oil 200ml</t>
  </si>
  <si>
    <t>SKIN1004 Madagascar Centella Light Cleansing Oil 30ml</t>
  </si>
  <si>
    <t>SKIN1004 Madagascar Centella Ampoule Foam 125ml</t>
  </si>
  <si>
    <t>Best Seller</t>
  </si>
  <si>
    <t>SKIN1004 Madagascar Centella Ampoule Foam 20ml</t>
  </si>
  <si>
    <t>SKIN1004 Madagascar Centella Toning Toner 400ml</t>
  </si>
  <si>
    <t>SKIN1004 Madagascar Centella Toning Toner 210ml</t>
  </si>
  <si>
    <t>SKIN1004 Madagascar Centella Toning Toner 30ml</t>
  </si>
  <si>
    <t>SKIN1004 Madagascar Centella Ampoule 100ml</t>
  </si>
  <si>
    <t>SKIN1004 Madagascar Centella Ampoule 55ml</t>
  </si>
  <si>
    <t>SKIN1004 Madagascar Centella Ampoule 30ml</t>
  </si>
  <si>
    <t>SKIN1004 Madagascar Centella Quick Calming Pad</t>
  </si>
  <si>
    <t>SKIN1004 Madagascar Centella Watergel Sheet Ampoule Mask (1ea)</t>
  </si>
  <si>
    <t>SKIN1004 Madagascar Centella Watergel Sheet Ampoule Mask (5ea)</t>
  </si>
  <si>
    <t>SKIN1004 Madagascar Centella Soothing Cream 75ml</t>
  </si>
  <si>
    <t>SKIN1004 Madagascar Centella Soothing Cream 30ml</t>
  </si>
  <si>
    <t>SKIN1004 Madagascar Centella Cream 75ml</t>
  </si>
  <si>
    <t>SKIN1004 Madagascar Centella Cream 30ml</t>
  </si>
  <si>
    <t>SKIN1004 Madagascar Centella Air-Fit Suncream Light 50ml</t>
  </si>
  <si>
    <t>SKIN1004 Madagascar Centella Air-Fit Suncream Plus 50ml</t>
  </si>
  <si>
    <t>BL01CLP00480012000</t>
  </si>
  <si>
    <t>(Sachets) SKIN1004 Madagascar Centella Ampoule Foam 1.5ml</t>
  </si>
  <si>
    <t>BL01CLO00480011000</t>
  </si>
  <si>
    <t>(Sachets) SKIN1004 Madagascar Centella Light Cleansing Oil 2ml</t>
  </si>
  <si>
    <t>BL01ESE00480005000</t>
  </si>
  <si>
    <t>(Sachets) SKIN1004 Madagascar Centella Toning Toner 1.5ml</t>
  </si>
  <si>
    <t>BL01ESE00480004000</t>
  </si>
  <si>
    <t>(Sachets) SKIN1004 Madagascar Centella Ampoule 1.5ml</t>
  </si>
  <si>
    <t>BL01SNC00480028000</t>
  </si>
  <si>
    <t>(Sachets) SKIN1004 Madagascar Centella Air-Fit Suncream Light 1.5ml</t>
  </si>
  <si>
    <t>BL01SNC00480027000</t>
  </si>
  <si>
    <t>(Sachets) SKIN1004 Madagascar Centella Air-Fit Suncream Plus 1.5ml</t>
  </si>
  <si>
    <t>BL01TNR00480044000</t>
  </si>
  <si>
    <t>(Sachets) SKIN1004 Madagascar Centella Quick Calming Pad 2 ea</t>
  </si>
  <si>
    <t>Hyalu-Cica
(moisturizing and Refreshing)</t>
  </si>
  <si>
    <t>SKIN1004 Madagascar Centella Hyalu-Cica Brightening Toner 210ml</t>
  </si>
  <si>
    <t>SKIN1004 Madagascar Centella Hyalu-Cica Brightening Toner 30ml</t>
  </si>
  <si>
    <t>SKIN1004 Madagascar Centella Hyalu-Cica Cloudy Mist 120ml</t>
  </si>
  <si>
    <t>SKIN1004 Madagascar Centella Hyalu-Cica First Ampoule 100ml</t>
  </si>
  <si>
    <t>SKIN1004 Madagascar Centella Hyalu-Cica First Ampoule 50ml</t>
  </si>
  <si>
    <t>SKIN1004 Madagascar Centella Hyalu-Cica Blue Serum 50ml</t>
  </si>
  <si>
    <t>SKIN1004 Madagascar Centella Hyalu-Cica Blue Serum 30ml</t>
  </si>
  <si>
    <t>SKIN1004 Madagascar Centella Hyalu-Cica Sleeping Pack 100ml</t>
  </si>
  <si>
    <t>SKIN1004 Madagascar Centella Hyalu-Cica Sleeping Pack 30ml</t>
  </si>
  <si>
    <t>SKIN1004 Madagascar Centella Hyalu-Cica Moisture Cream 75ml</t>
  </si>
  <si>
    <t>SKIN1004 Madagascar Centella Hyalu-Cica Water-Fit Sun Serum 100ml</t>
  </si>
  <si>
    <t>SKIN1004 Madagascar Centella Hyalu-Cica Water-Fit Sun Serum 50ml</t>
  </si>
  <si>
    <t>SKIN1004 Madagascar Centella Hyalu-Cica Water-Fit Sun Serum 15ml</t>
  </si>
  <si>
    <t>SKIN1004 Madagascar Centella Hyalu-Cica Water-Fit Sun Serum Twin Pack (50ml*2)</t>
  </si>
  <si>
    <t>SKIN1004 Madagascar Centella Hyalu-Cica Silky-Fit Sun Stick 20g</t>
  </si>
  <si>
    <t>SKIN1004 Madagascar Centella Hyalu-Cica Silky-Fit Sun Stick 7g</t>
  </si>
  <si>
    <t>SKIN1004 Madagascar Centella Hyalu-Cica Hydrating Mask 23ml (1ea)</t>
  </si>
  <si>
    <t>SKIN1004 Madagascar Centella Hyalu-Cica Hydrating Mask 23ml (5ea)</t>
  </si>
  <si>
    <t>SKIN1004 Madagascar Centella Hyalu-Cica Gentle Cleansing Milk 200ml</t>
  </si>
  <si>
    <t>SKIN1004 Madagascar Centella Hyalu-Cica Jelly-Fit Ampoule Pad</t>
  </si>
  <si>
    <t>BL01TNR00480020000</t>
  </si>
  <si>
    <t>(Sachets) SKIN1004 Madagascar Centella Hyalu-Cica Brightening Toner 1.5ml</t>
  </si>
  <si>
    <t>BL01AMP00480036000</t>
  </si>
  <si>
    <t>(Sachets) SKIN1004 Madagascar Centella Hyalu-Cica First Ampoule 1.5ml</t>
  </si>
  <si>
    <t>BL01SER00480004000</t>
  </si>
  <si>
    <t>(Sachets) SKIN1004 Madagascar Centella Hyalu-Cica Blue Serum 1.5ml</t>
  </si>
  <si>
    <t>BL01SLP00480004000</t>
  </si>
  <si>
    <t>(Sachets) SKIN1004 Madagascar Centella Hyalu-Cica Sleeping Pack 1.5ml</t>
  </si>
  <si>
    <t>BL01SNC00480029000</t>
  </si>
  <si>
    <t>(Sachets) SKIN1004 Madagascar Centella Hyalu-Cica Water-Fit Sun Serum 1.5ml</t>
  </si>
  <si>
    <t>BL01WAC00480015000</t>
  </si>
  <si>
    <t>(Sachets) SKIN1004 Madagascar Centella Hyalu-Cica Moisture Cream 1.5ml</t>
  </si>
  <si>
    <t>Tone Brightening
(reduce pigmentation)</t>
  </si>
  <si>
    <t>SKIN1004 Madagascar Centella Tone Brightening Cleansing Gel Foam 125ml</t>
  </si>
  <si>
    <t>SKIN1004 Madagascar Centella Tone Brightening Boosting Toner 210ml</t>
  </si>
  <si>
    <t>SKIN1004 Madagascar Centella Tone Brightening Capsule Ampoule 100ml</t>
  </si>
  <si>
    <t>SKIN1004 Madagascar Centella Tone Brightening Capsule Ampoule 50ml</t>
  </si>
  <si>
    <t>SKIN1004 Madagascar Centella Tone Brightening Capsule Ampoule 30ml</t>
  </si>
  <si>
    <t>SKIN1004 Madagascar Centella Tone Brightening Capsule Cream 75ml</t>
  </si>
  <si>
    <t>SKIN1004 Madagascar Centella Tone Brightening Glow Mask 25ml (1ea)</t>
  </si>
  <si>
    <t>SKIN1004 Madagascar Centella Tone Brightening Glow Mask 25ml (5ea)</t>
  </si>
  <si>
    <t>SKIN1004 Madagascar Centella Tone Brightening Tone-Up Sunscreen 50ml</t>
  </si>
  <si>
    <t>SKIN1004 Madagascar Centella Tone Brightening Dark Spot Ampoule Pad</t>
  </si>
  <si>
    <t>BL01CLP00480017000</t>
  </si>
  <si>
    <t>(Sachets) SKIN1004 Madagascar Centella Tone Brightening Cleansing Gel Foam 1.5ml</t>
  </si>
  <si>
    <t>BL01TNR00480042000</t>
  </si>
  <si>
    <t>(Sachets) SKIN1004 Madagascar Centella Tone Brightening Boosting Toner 1.5ml</t>
  </si>
  <si>
    <t>BL01SNC00480030000</t>
  </si>
  <si>
    <t>(Sachets) SKIN1004 Madagascar Centella Tone Brightening Tone-Up Sunscreen 1.5ml</t>
  </si>
  <si>
    <t>BL01AMP00480034000</t>
  </si>
  <si>
    <t>(Sachets) SKIN1004 Madagascar Centella Tone Brightening Capsule Ampoule 1.5ml</t>
  </si>
  <si>
    <t>Poremizing
(Pore care)</t>
  </si>
  <si>
    <t>SKIN1004 Madagascar Centella Poremizing Deep Cleansing Foam 125ml</t>
  </si>
  <si>
    <t>SKIN1004 Madagascar Centella Poremizing Clear Toner 210ml</t>
  </si>
  <si>
    <t>SKIN1004 Madagascar Centella Poremizing Fresh Ampoule 100ml</t>
  </si>
  <si>
    <t>SKIN1004 Madagascar Centella Poremizing Fresh Ampoule 50ml</t>
  </si>
  <si>
    <t>SKIN1004 Madagascar Centella Poremizing Fresh Ampoule 30ml</t>
  </si>
  <si>
    <t>SKIN1004 Madagascar Centella Poremizing Light Gel Cream 75ml</t>
  </si>
  <si>
    <t>SKIN1004 Madagascar Centella Poremizing Quick Clay Stick Mask 27g</t>
  </si>
  <si>
    <t>SKIN1004 Madagascar Centella Poremizing Clarifying Mask 23ml (1ea)</t>
  </si>
  <si>
    <t>SKIN1004 Madagascar Centella Poremizing Clarifying Mask 23ml (5ea)</t>
  </si>
  <si>
    <t>SKIN1004 Madagascar Centella Poremizing Velvet Finish Sunscreen 50ml</t>
  </si>
  <si>
    <t>BL01CLP00480021000</t>
  </si>
  <si>
    <t>(Sachets) SKIN1004 Madagascar Centella Poremizing Deep Cleansing Foam 1.5ml</t>
  </si>
  <si>
    <t>BL01TNR00480043000</t>
  </si>
  <si>
    <t>(Sachets) SKIN1004 Madagascar Centella Poremizing Clear Toner 1.5ml</t>
  </si>
  <si>
    <t>BL01AMP00480035000</t>
  </si>
  <si>
    <t>(Sachets) SKIN1004 Madagascar Centella Poremizing Fresh Ampoule 1.5ml</t>
  </si>
  <si>
    <t>BL01WAC00480014000</t>
  </si>
  <si>
    <t>(Sachets) SKIN1004 Madagascar Centella Poremizing Light Gel Cream 1.5ml</t>
  </si>
  <si>
    <t>Tea-Trica
(Acne care)</t>
  </si>
  <si>
    <t>SKIN1004 Madagascar Centella Tea-Trica Bha Foam 125ml</t>
  </si>
  <si>
    <t>SKIN1004 Madagascar Centella Tea-Trica Purifying Toner 210ml</t>
  </si>
  <si>
    <t>SKIN1004 Madagascar Centella Tea-Trica Relief Ampoule 100ml</t>
  </si>
  <si>
    <t>SKIN1004 Madagascar Centella Tea-Trica Relief Ampoule 30ml</t>
  </si>
  <si>
    <t>SKIN1004 Spot Cover Patch</t>
  </si>
  <si>
    <t>SKIN1004 Madagascar Centella Tea-Trica B5 Cream 75ml</t>
  </si>
  <si>
    <t>SKIN1004 Madagascar Centella Tea-Trica Spot Cream 20ml</t>
  </si>
  <si>
    <t>SKIN1004 Madagascar Centella Tea-Trica Soothing Sun Milk 50ml</t>
  </si>
  <si>
    <t>SKIN1004 Madagascar Centella Tea-Trica Mild Peeling Gel 125ml</t>
  </si>
  <si>
    <t>BL01CLP00480024000</t>
  </si>
  <si>
    <t>(Sachets) SKIN1004 Madagascar Centella Tea-Trica BHA Foam 1.5ml</t>
  </si>
  <si>
    <t>BL01TNR00480040000</t>
  </si>
  <si>
    <t>(Sachets) SKIN1004 Madagascar Centella Tea-Trica Purifying Toner 1.5ml</t>
  </si>
  <si>
    <t>BL01AMP00480032000</t>
  </si>
  <si>
    <t>(Sachets) SKIN1004 Madagascar Centella Tea-Trica Relief Ampoule 1.5ml</t>
  </si>
  <si>
    <t>BL01SNC00480042000</t>
  </si>
  <si>
    <t>(Sachets) SKIN1004 Madagascar Centella Tea-Trica Soothing Sun Milk 1.5ml</t>
  </si>
  <si>
    <t>BL01WAC00480019000</t>
  </si>
  <si>
    <t>(Sachets) SKIN1004 Madagascar Centella Tea-Trica B5 Cream 1.5ml</t>
  </si>
  <si>
    <t>Probio-Cica
(Anti-aging &amp; Deep Moisture Care)</t>
  </si>
  <si>
    <t>SKIN1004 Madagascar Centella Probio-Cica Essense Toner 210ml</t>
  </si>
  <si>
    <t>SKIN1004 Madagascar Centella Probio-Cica Intensive Ampoule 30ml</t>
  </si>
  <si>
    <t>SKIN1004 Madagascar Centella Probio-Cica Intensive Ampoule 50ml</t>
  </si>
  <si>
    <t>SKIN1004 Madagascar Centella Probio-Cica Intensive Ampoule 95ml</t>
  </si>
  <si>
    <t>SKIN1004 Madagascar Centella Probio-Cica Enrich Cream 50ml</t>
  </si>
  <si>
    <t>SKIN1004 Madagascar Centella Probio-Cica Enrich Cream 15ml</t>
  </si>
  <si>
    <t>SKIN1004 Madagascar Centella Probio-Cica Bakuchiol Eye Cream 20ml</t>
  </si>
  <si>
    <t>SKIN1004 Madagascar Centella Probio-Cica Bakuchiol Eye Cream Twin Pack (20ml*2)</t>
  </si>
  <si>
    <t>SKIN1004 Madagascar Centella Probio-cica Glow Sun Ampoule 50ml</t>
  </si>
  <si>
    <t>BL01TNR00480047000</t>
  </si>
  <si>
    <t>(Sachets) SKIN1004 Madagascar Centella Probio-Cica Essense Toner 1.5ml</t>
  </si>
  <si>
    <t>BL01AMP00480040000</t>
  </si>
  <si>
    <t>(Sachets) SKIN1004 Madagascar Centella Probio-Cica Intensive Ampoule 1.5ml</t>
  </si>
  <si>
    <t>BL01NRC00480005000</t>
  </si>
  <si>
    <t>(Sachets) SKIN1004 Madagascar Centella Probio-Cica Enrich Cream 1.5ml</t>
  </si>
  <si>
    <t>BL01NRC00480010000</t>
  </si>
  <si>
    <t>(Sachets) SKIN1004 Madagascar Centella Probio-Cica Bakuchiol Eye Cream 1.5ml</t>
  </si>
  <si>
    <t>BL01AMP00480068000</t>
  </si>
  <si>
    <t>(Sachets) SKIN1004 Madagascar Centella Probio-Cica Glow Sun Ampoule 1.5ml</t>
  </si>
  <si>
    <t>ZOMBIE BEAUTY BY SKIN1004 Pumpkin PACK</t>
  </si>
  <si>
    <t>ZOMBIE BEAUTY by SKIN1004 Witch Pack</t>
  </si>
  <si>
    <t>ZOMBIE BEAUTY by SKIN1004 Zombie Pack &amp; Activator Kit</t>
  </si>
  <si>
    <t>ZOMBIE BEAUTY by SKIN1004 Mummy Pack &amp; Activator Kit</t>
  </si>
  <si>
    <t>SET</t>
  </si>
  <si>
    <t>SKIN1004 Madagascar Centella Ampoule Kit</t>
  </si>
  <si>
    <t>SKIN1004 Madagascar Centella Travel Kit</t>
  </si>
  <si>
    <t>SKIN1004 Madagascar Centella Double Cleansing Duo</t>
  </si>
  <si>
    <t>SKIN1004 Madagascar Centella Quick Calming Duo</t>
  </si>
  <si>
    <t>SKIN1004 Madagascar Centella Glow Duo</t>
  </si>
  <si>
    <t>Lab In Nature</t>
  </si>
  <si>
    <t>SKIN1004 Madagascar Centella Matrixyl 10 Boosting Shot Ampoule 30ml</t>
  </si>
  <si>
    <t>SKIN1004 Madagascar Centella Niacinamide 10 Boosting Shot Ampoule 30ml</t>
  </si>
  <si>
    <t>SKIN1004 Madagascar Centella Retinol 0.2 Boosting Shot Ampoule 30ml</t>
  </si>
  <si>
    <t>Total Amount</t>
  </si>
  <si>
    <t>Zomebie Beauty</t>
    <phoneticPr fontId="13" type="noConversion"/>
  </si>
  <si>
    <t>SKIN1004 Madagascar Centella Quick Calming Pad (Pouch ver.)</t>
  </si>
  <si>
    <t>Promo end 25.11.30</t>
  </si>
  <si>
    <t>Promo end 25.11.30</t>
    <phoneticPr fontId="13" type="noConversion"/>
  </si>
  <si>
    <t>SKIN1004 Madagascar Centella Matrixyl 10 Boosting Shot Ampoule 9ml</t>
  </si>
  <si>
    <t>SKIN1004 Madagascar Centella Niacinamide 10 Boosting Shot Ampoule 9ml</t>
  </si>
  <si>
    <t>SKIN1004 Madagascar Centella Retinol 0.2 Boosting Shot Ampoule 9ml</t>
  </si>
  <si>
    <t>Qunatity
/carton</t>
    <phoneticPr fontId="13" type="noConversion"/>
  </si>
  <si>
    <t>Barcode(ERP)</t>
    <phoneticPr fontId="13" type="noConversion"/>
  </si>
  <si>
    <t>KRSKL005</t>
  </si>
  <si>
    <t>KRSKL003</t>
  </si>
  <si>
    <t>KRSKL006</t>
  </si>
  <si>
    <t>KRSKL004</t>
  </si>
  <si>
    <t>KRSKT008</t>
  </si>
  <si>
    <t>KRSKT007</t>
  </si>
  <si>
    <t>KRSKT004</t>
  </si>
  <si>
    <t>KRSKA022</t>
  </si>
  <si>
    <t>KRSKA023</t>
  </si>
  <si>
    <t>KRSKA010</t>
  </si>
  <si>
    <t>KRSKM018</t>
  </si>
  <si>
    <t>KRSKM015</t>
  </si>
  <si>
    <t>KRSKM002</t>
  </si>
  <si>
    <t>KRSKM001</t>
  </si>
  <si>
    <t>KRSKC009</t>
  </si>
  <si>
    <t>KRSKC005</t>
  </si>
  <si>
    <t>KRSKC010</t>
  </si>
  <si>
    <t>KRSKC006</t>
  </si>
  <si>
    <t>KRSKS006</t>
  </si>
  <si>
    <t>KRSKS007</t>
  </si>
  <si>
    <t>KRSKH007</t>
  </si>
  <si>
    <t>KRSKH003</t>
  </si>
  <si>
    <t>KRSKH011</t>
  </si>
  <si>
    <t>KRSKH006</t>
  </si>
  <si>
    <t>KRSKH008</t>
  </si>
  <si>
    <t>KRSKH009</t>
  </si>
  <si>
    <t>KRSKH010</t>
  </si>
  <si>
    <t>KRSKT012</t>
  </si>
  <si>
    <t>KRSKT005</t>
  </si>
  <si>
    <t>KRSKT001</t>
  </si>
  <si>
    <t>KRSKA032</t>
  </si>
  <si>
    <t>KRSKA033</t>
  </si>
  <si>
    <t>KRSKA031</t>
  </si>
  <si>
    <t>KRSKA016</t>
  </si>
  <si>
    <t>KRSKM020</t>
  </si>
  <si>
    <t>KRSKM017</t>
  </si>
  <si>
    <t>KRSKC014</t>
  </si>
  <si>
    <t>KRSKS013</t>
  </si>
  <si>
    <t>KRSKS014</t>
  </si>
  <si>
    <t>KRSKS004</t>
  </si>
  <si>
    <t>KRSKS015</t>
  </si>
  <si>
    <t>KRSKS012</t>
  </si>
  <si>
    <t>KRSKS003</t>
  </si>
  <si>
    <t>KRSKM013</t>
  </si>
  <si>
    <t>KRSKM012</t>
  </si>
  <si>
    <t>KRSKL011</t>
  </si>
  <si>
    <t>KRSKM021</t>
  </si>
  <si>
    <t>KRSKH029</t>
  </si>
  <si>
    <t>KRSKH034</t>
  </si>
  <si>
    <t>KRSKH031</t>
  </si>
  <si>
    <t>KRSKH032</t>
  </si>
  <si>
    <t>KRSKH033</t>
  </si>
  <si>
    <t>KRSKH030</t>
  </si>
  <si>
    <t>KRSKL007</t>
  </si>
  <si>
    <t>KRSKT009</t>
  </si>
  <si>
    <t>KRSKA024</t>
  </si>
  <si>
    <t>KRSKA025</t>
  </si>
  <si>
    <t>KRSKA012</t>
  </si>
  <si>
    <t>KRSKC011</t>
  </si>
  <si>
    <t>KRSKM004</t>
  </si>
  <si>
    <t>KRSKM003</t>
  </si>
  <si>
    <t>KRSKS008</t>
  </si>
  <si>
    <t>KRSKM019</t>
  </si>
  <si>
    <t>KRSKH014</t>
  </si>
  <si>
    <t>KRSKH012</t>
  </si>
  <si>
    <t>KRSKH035</t>
  </si>
  <si>
    <t>KRSKH013</t>
  </si>
  <si>
    <t>KRSKL010</t>
  </si>
  <si>
    <t>KRSKT006</t>
  </si>
  <si>
    <t>KRSKA027</t>
  </si>
  <si>
    <t>KRSKA028</t>
  </si>
  <si>
    <t>KRSKA014</t>
  </si>
  <si>
    <t>KRSKC012</t>
  </si>
  <si>
    <t>KRSKM007</t>
  </si>
  <si>
    <t>KRSKM009</t>
  </si>
  <si>
    <t>KRSKM008</t>
  </si>
  <si>
    <t>KRSKS010</t>
  </si>
  <si>
    <t>KRSKH019</t>
  </si>
  <si>
    <t>KRSKH022</t>
  </si>
  <si>
    <t>KRSKH023</t>
  </si>
  <si>
    <t>KRSKH020</t>
  </si>
  <si>
    <t>KRSKL009</t>
  </si>
  <si>
    <t>KRSKT010</t>
  </si>
  <si>
    <t>KRSKA026</t>
  </si>
  <si>
    <t>KRSKA013</t>
  </si>
  <si>
    <t>KRSKP009</t>
  </si>
  <si>
    <t>KRSKC001</t>
  </si>
  <si>
    <t>KRSKP002</t>
  </si>
  <si>
    <t>KRSKS009</t>
  </si>
  <si>
    <t>KRSKM006</t>
  </si>
  <si>
    <t>KRSKM005</t>
  </si>
  <si>
    <t>KRSKL008</t>
  </si>
  <si>
    <t>KRSKH016</t>
  </si>
  <si>
    <t>KRSKH018</t>
  </si>
  <si>
    <t>KRSKH015</t>
  </si>
  <si>
    <t>KRSKH017</t>
  </si>
  <si>
    <t>KRSKH001</t>
  </si>
  <si>
    <t>KRSKT011</t>
  </si>
  <si>
    <t>KRSKA015</t>
  </si>
  <si>
    <t>KRSKA029</t>
  </si>
  <si>
    <t>KRSKA030</t>
  </si>
  <si>
    <t>KRSKC013</t>
  </si>
  <si>
    <t>AASKC017</t>
  </si>
  <si>
    <t>KRSKP007</t>
  </si>
  <si>
    <t>KRSKP008</t>
  </si>
  <si>
    <t>KRSKS011</t>
  </si>
  <si>
    <t>KRSKM011</t>
  </si>
  <si>
    <t>KRSKM010</t>
  </si>
  <si>
    <t>KRSKH026</t>
  </si>
  <si>
    <t>KRSKH028</t>
  </si>
  <si>
    <t>KRSKH027</t>
  </si>
  <si>
    <t>KRSKH025</t>
  </si>
  <si>
    <t>KRSKH024</t>
  </si>
  <si>
    <t>KRZBM004</t>
  </si>
  <si>
    <t>KRZBM003</t>
  </si>
  <si>
    <t>KRZBM001</t>
  </si>
  <si>
    <t>KRZBM002</t>
  </si>
  <si>
    <t>KRSKK007</t>
  </si>
  <si>
    <t>KRSKK010</t>
  </si>
  <si>
    <t>KRSKK002</t>
  </si>
  <si>
    <t>KRSKK008</t>
  </si>
  <si>
    <t>KRSKK001</t>
  </si>
  <si>
    <t>KRSKA021</t>
  </si>
  <si>
    <t>KRSKA009</t>
  </si>
  <si>
    <t>KRSKA019</t>
  </si>
  <si>
    <t>KRSKA007</t>
  </si>
  <si>
    <t>KRSKA020</t>
  </si>
  <si>
    <t>KRSKA008</t>
  </si>
  <si>
    <t>KRSKK017</t>
    <phoneticPr fontId="13" type="noConversion"/>
  </si>
  <si>
    <t>SKIN1004 Madagascar Centella Hyalu-Cica Travel Kit</t>
    <phoneticPr fontId="13" type="noConversion"/>
  </si>
  <si>
    <t>AASKK013</t>
    <phoneticPr fontId="13" type="noConversion"/>
  </si>
  <si>
    <t>SKIN1004 Madagascar Centella Even Tone Kit</t>
    <phoneticPr fontId="13" type="noConversion"/>
  </si>
  <si>
    <t>KRSKK013</t>
    <phoneticPr fontId="13" type="noConversion"/>
  </si>
  <si>
    <t>SKIN1004 Madagascar Centella Poremizing Travel Kit</t>
    <phoneticPr fontId="13" type="noConversion"/>
  </si>
  <si>
    <t>KRSKK012</t>
    <phoneticPr fontId="13" type="noConversion"/>
  </si>
  <si>
    <t>SKIN1004 Madagascar Centella Tea-Trica Travel Kit</t>
    <phoneticPr fontId="13" type="noConversion"/>
  </si>
  <si>
    <t>KRSKH005</t>
    <phoneticPr fontId="13" type="noConversion"/>
  </si>
  <si>
    <t>SKIN1004 Madagascar Centella Matrixyl 10 Boosting Shot Ampoule 1.5ml_Sachet</t>
    <phoneticPr fontId="13" type="noConversion"/>
  </si>
  <si>
    <t>KRSKH002</t>
    <phoneticPr fontId="13" type="noConversion"/>
  </si>
  <si>
    <t>SKIN1004 Madagascar Centella Niacinamide 10 Boosting Shot Ampoule 1.5ml_Sachet</t>
    <phoneticPr fontId="13" type="noConversion"/>
  </si>
  <si>
    <t>KRSKH004</t>
    <phoneticPr fontId="13" type="noConversion"/>
  </si>
  <si>
    <t>SKIN1004 Madagascar Centella Retinol 0.2 Boosting Shot Ampoule 1.5ml_Sachet</t>
    <phoneticPr fontId="13" type="noConversion"/>
  </si>
  <si>
    <t>Best Seller / Promo end 26.02.28</t>
    <phoneticPr fontId="13" type="noConversion"/>
  </si>
  <si>
    <t>New / Promo end 26.02.28</t>
    <phoneticPr fontId="13" type="noConversion"/>
  </si>
  <si>
    <t>Promo end 26.02.28</t>
    <phoneticPr fontId="13" type="noConversion"/>
  </si>
  <si>
    <t>Promo end 26.02.28</t>
  </si>
  <si>
    <t>Centella TECA
(High purity of Centella Extract, Slow Aging)</t>
  </si>
  <si>
    <t>KRSKT015</t>
    <phoneticPr fontId="13" type="noConversion"/>
  </si>
  <si>
    <t>SKIN1004 Madagascar Centella Teca Soothing Toner 210ml</t>
  </si>
  <si>
    <t>Promo end 26.04.30</t>
  </si>
  <si>
    <t>KRSKA036</t>
    <phoneticPr fontId="13" type="noConversion"/>
  </si>
  <si>
    <t>SKIN1004 Madagascar Centella Teca Ampoule 50ml</t>
  </si>
  <si>
    <t>KRSKC022</t>
    <phoneticPr fontId="13" type="noConversion"/>
  </si>
  <si>
    <t>SKIN1004 Madagascar Centella Teca Cream 75ml</t>
  </si>
  <si>
    <t>SKIN1004 Madagascar Centella Probio-Cica Nourishing Mask 22ml (5ea)</t>
    <phoneticPr fontId="13" type="noConversion"/>
  </si>
  <si>
    <t>SKIN1004 Madagascar Centella Probio-Cica Nourishing Mask 22ml (1ea)</t>
    <phoneticPr fontId="13" type="noConversion"/>
  </si>
  <si>
    <t>SKIN1004 Madagascar Centella Tea-Trica Relaxing Mask 24ml (1ea)</t>
    <phoneticPr fontId="13" type="noConversion"/>
  </si>
  <si>
    <t>SKIN1004 Madagascar Centella Tea-Trica Relaxing Mask 24ml (5ea)</t>
    <phoneticPr fontId="13" type="noConversion"/>
  </si>
  <si>
    <t>KRSKA037</t>
    <phoneticPr fontId="13" type="noConversion"/>
  </si>
  <si>
    <t>KRSKC023</t>
  </si>
  <si>
    <t>SKIN1004 Madagascar Centella Hyalu-Teca Plumping Ampoule 50ml</t>
    <phoneticPr fontId="13" type="noConversion"/>
  </si>
  <si>
    <t>SKIN1004 Madagascar Centella Hyalu-Teca Glass Skin Milk 210ml</t>
  </si>
  <si>
    <t>SKIN1004 Madagascar Centella Hyalu-Teca Firming Cream 50ml</t>
  </si>
  <si>
    <t>Hyalu-TECA</t>
    <phoneticPr fontId="13" type="noConversion"/>
  </si>
  <si>
    <t>KRSKT017</t>
    <phoneticPr fontId="13" type="noConversion"/>
  </si>
  <si>
    <r>
      <rPr>
        <b/>
        <sz val="16"/>
        <rFont val="Malgun Gothic"/>
        <family val="3"/>
        <charset val="129"/>
      </rPr>
      <t xml:space="preserve">Skin 1004 ( </t>
    </r>
    <r>
      <rPr>
        <b/>
        <sz val="16"/>
        <rFont val="Calibri"/>
        <family val="3"/>
        <charset val="204"/>
      </rPr>
      <t xml:space="preserve">минимальный заказ от 5 мил вон ) 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</si>
</sst>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&quot;₩&quot;#,##0_);[Red]\(&quot;₩&quot;#,##0\)"/>
    <numFmt numFmtId="178" formatCode="[$₩]#,##0"/>
    <numFmt numFmtId="179" formatCode="&quot;₩&quot;#,##0"/>
    <numFmt numFmtId="180" formatCode="&quot;₩&quot;#,##0.00"/>
  </numFmts>
  <fonts count="16">
    <font>
      <sz val="10"/>
      <color rgb="FF000000"/>
      <name val="Calibri"/>
      <scheme val="minor"/>
    </font>
    <font>
      <b/>
      <sz val="24"/>
      <color theme="1"/>
      <name val="Malgun Gothic"/>
      <family val="3"/>
      <charset val="129"/>
    </font>
    <font>
      <sz val="10"/>
      <name val="Calibri"/>
      <family val="2"/>
    </font>
    <font>
      <sz val="11"/>
      <color theme="0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0"/>
      <color rgb="FFFF000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6"/>
      <color rgb="FFFF0000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1"/>
      <color theme="1"/>
      <name val="Calibri"/>
      <family val="2"/>
    </font>
    <font>
      <b/>
      <sz val="12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b/>
      <sz val="16"/>
      <name val="Malgun Gothic"/>
      <family val="3"/>
      <charset val="129"/>
    </font>
    <font>
      <b/>
      <sz val="16"/>
      <name val="Calibri"/>
      <family val="3"/>
      <charset val="204"/>
    </font>
  </fonts>
  <fills count="4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DADADA"/>
        <bgColor rgb="FFDADADA"/>
      </patternFill>
    </fill>
    <fill>
      <patternFill patternType="solid">
        <fgColor rgb="FFFFCCCC"/>
        <bgColor rgb="FFFFCCCC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  <fill>
      <patternFill patternType="solid">
        <fgColor rgb="FFBF9000"/>
        <bgColor rgb="FFBF9000"/>
      </patternFill>
    </fill>
    <fill>
      <patternFill patternType="solid">
        <fgColor rgb="FFD9E2F3"/>
        <bgColor rgb="FFD9E2F3"/>
      </patternFill>
    </fill>
    <fill>
      <patternFill patternType="solid">
        <fgColor rgb="FFAEABAB"/>
        <bgColor rgb="FFAEABAB"/>
      </patternFill>
    </fill>
    <fill>
      <patternFill patternType="solid">
        <fgColor theme="4" tint="0.79998168889431442"/>
        <bgColor rgb="FFFEF2CB"/>
      </patternFill>
    </fill>
    <fill>
      <patternFill patternType="solid">
        <fgColor theme="2" tint="-0.14999847407452621"/>
        <bgColor rgb="FFFEF2CB"/>
      </patternFill>
    </fill>
    <fill>
      <patternFill patternType="solid">
        <fgColor rgb="FFFFCCCC"/>
        <bgColor rgb="FFFEF2CB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5" tint="0.39997558519241921"/>
        <bgColor rgb="FFFEF2CB"/>
      </patternFill>
    </fill>
    <fill>
      <patternFill patternType="solid">
        <fgColor theme="7" tint="-0.249977111117893"/>
        <bgColor rgb="FFFEF2CB"/>
      </patternFill>
    </fill>
    <fill>
      <patternFill patternType="solid">
        <fgColor rgb="FFCCCCFF"/>
        <bgColor rgb="FFFEF2CB"/>
      </patternFill>
    </fill>
    <fill>
      <patternFill patternType="solid">
        <fgColor rgb="FFCCCCFF"/>
        <bgColor rgb="FFB4A7D6"/>
      </patternFill>
    </fill>
    <fill>
      <patternFill patternType="solid">
        <fgColor theme="5" tint="0.59999389629810485"/>
        <bgColor rgb="FFFEF2CB"/>
      </patternFill>
    </fill>
    <fill>
      <patternFill patternType="solid">
        <fgColor theme="7" tint="0.39997558519241921"/>
        <bgColor rgb="FFFEF2CB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rgb="FFFEF2CB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DEEAF6"/>
      </patternFill>
    </fill>
    <fill>
      <patternFill patternType="solid">
        <fgColor rgb="FFFFC6C6"/>
        <bgColor rgb="FFFFFF00"/>
      </patternFill>
    </fill>
    <fill>
      <patternFill patternType="solid">
        <fgColor rgb="FFFFC6C6"/>
        <bgColor rgb="FFFEF2CB"/>
      </patternFill>
    </fill>
    <fill>
      <patternFill patternType="solid">
        <fgColor rgb="FFFFC6C6"/>
        <bgColor rgb="FFDEEAF6"/>
      </patternFill>
    </fill>
    <fill>
      <patternFill patternType="solid">
        <fgColor rgb="FFFFC6C6"/>
        <bgColor rgb="FFDADADA"/>
      </patternFill>
    </fill>
    <fill>
      <patternFill patternType="solid">
        <fgColor rgb="FFFFC6C6"/>
        <bgColor rgb="FFFFCCCC"/>
      </patternFill>
    </fill>
    <fill>
      <patternFill patternType="solid">
        <fgColor rgb="FFFFC6C6"/>
        <bgColor rgb="FFC5E0B3"/>
      </patternFill>
    </fill>
    <fill>
      <patternFill patternType="solid">
        <fgColor rgb="FFFFC6C6"/>
        <bgColor rgb="FFF4B083"/>
      </patternFill>
    </fill>
    <fill>
      <patternFill patternType="solid">
        <fgColor rgb="FFFFC6C6"/>
        <bgColor rgb="FFD9E2F3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rgb="FFFEF2CB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DEEAF6"/>
      </patternFill>
    </fill>
    <fill>
      <patternFill patternType="solid">
        <fgColor theme="7" tint="0.59999389629810485"/>
        <bgColor rgb="FFDADADA"/>
      </patternFill>
    </fill>
    <fill>
      <patternFill patternType="solid">
        <fgColor theme="7" tint="0.59999389629810485"/>
        <bgColor rgb="FFFFCCCC"/>
      </patternFill>
    </fill>
    <fill>
      <patternFill patternType="solid">
        <fgColor theme="7" tint="0.59999389629810485"/>
        <bgColor rgb="FFC5E0B3"/>
      </patternFill>
    </fill>
    <fill>
      <patternFill patternType="solid">
        <fgColor theme="7" tint="0.59999389629810485"/>
        <bgColor rgb="FFF4B083"/>
      </patternFill>
    </fill>
    <fill>
      <patternFill patternType="solid">
        <fgColor theme="7" tint="0.59999389629810485"/>
        <bgColor rgb="FFBF9000"/>
      </patternFill>
    </fill>
    <fill>
      <patternFill patternType="solid">
        <fgColor theme="7" tint="0.59999389629810485"/>
        <bgColor rgb="FFD9E2F3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FF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 wrapText="1"/>
    </xf>
    <xf numFmtId="176" fontId="4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 wrapText="1"/>
      <protection locked="0"/>
    </xf>
    <xf numFmtId="176" fontId="4" fillId="0" borderId="0" xfId="0" applyNumberFormat="1" applyFont="1" applyAlignment="1" applyProtection="1">
      <alignment vertical="center"/>
      <protection locked="0"/>
    </xf>
    <xf numFmtId="0" fontId="4" fillId="2" borderId="4" xfId="0" applyFont="1" applyFill="1" applyBorder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7" fillId="3" borderId="5" xfId="0" applyFont="1" applyFill="1" applyBorder="1" applyAlignment="1" applyProtection="1">
      <alignment horizontal="center" vertical="center"/>
      <protection locked="0"/>
    </xf>
    <xf numFmtId="0" fontId="7" fillId="3" borderId="5" xfId="0" applyFont="1" applyFill="1" applyBorder="1" applyAlignment="1" applyProtection="1">
      <alignment horizontal="center" vertical="center" wrapText="1"/>
      <protection locked="0"/>
    </xf>
    <xf numFmtId="176" fontId="7" fillId="3" borderId="5" xfId="0" applyNumberFormat="1" applyFont="1" applyFill="1" applyBorder="1" applyAlignment="1" applyProtection="1">
      <alignment horizontal="center" vertical="center"/>
      <protection locked="0"/>
    </xf>
    <xf numFmtId="0" fontId="10" fillId="3" borderId="6" xfId="0" applyFont="1" applyFill="1" applyBorder="1" applyAlignment="1" applyProtection="1">
      <alignment horizontal="center" vertical="center" wrapText="1"/>
      <protection locked="0"/>
    </xf>
    <xf numFmtId="0" fontId="10" fillId="3" borderId="7" xfId="0" applyFont="1" applyFill="1" applyBorder="1" applyAlignment="1" applyProtection="1">
      <alignment horizontal="center" vertical="center" wrapText="1"/>
      <protection locked="0"/>
    </xf>
    <xf numFmtId="0" fontId="10" fillId="3" borderId="5" xfId="0" applyFont="1" applyFill="1" applyBorder="1" applyAlignment="1" applyProtection="1">
      <alignment horizontal="center" vertical="center" wrapText="1"/>
      <protection locked="0"/>
    </xf>
    <xf numFmtId="0" fontId="4" fillId="4" borderId="5" xfId="0" applyFont="1" applyFill="1" applyBorder="1" applyAlignment="1" applyProtection="1">
      <alignment horizontal="center" vertical="center"/>
      <protection locked="0"/>
    </xf>
    <xf numFmtId="176" fontId="4" fillId="4" borderId="5" xfId="0" applyNumberFormat="1" applyFont="1" applyFill="1" applyBorder="1" applyAlignment="1" applyProtection="1">
      <alignment horizontal="center" vertical="center"/>
      <protection locked="0"/>
    </xf>
    <xf numFmtId="0" fontId="4" fillId="4" borderId="5" xfId="0" applyFont="1" applyFill="1" applyBorder="1" applyAlignment="1" applyProtection="1">
      <alignment horizontal="left" vertical="center"/>
      <protection locked="0"/>
    </xf>
    <xf numFmtId="0" fontId="4" fillId="5" borderId="5" xfId="0" applyFont="1" applyFill="1" applyBorder="1" applyAlignment="1" applyProtection="1">
      <alignment horizontal="center" vertical="center"/>
      <protection locked="0"/>
    </xf>
    <xf numFmtId="176" fontId="4" fillId="5" borderId="5" xfId="0" applyNumberFormat="1" applyFont="1" applyFill="1" applyBorder="1" applyAlignment="1" applyProtection="1">
      <alignment horizontal="center" vertical="center"/>
      <protection locked="0"/>
    </xf>
    <xf numFmtId="0" fontId="4" fillId="5" borderId="5" xfId="0" applyFont="1" applyFill="1" applyBorder="1" applyAlignment="1" applyProtection="1">
      <alignment horizontal="left" vertical="center"/>
      <protection locked="0"/>
    </xf>
    <xf numFmtId="0" fontId="4" fillId="6" borderId="5" xfId="0" applyFont="1" applyFill="1" applyBorder="1" applyAlignment="1" applyProtection="1">
      <alignment horizontal="center" vertical="center"/>
      <protection locked="0"/>
    </xf>
    <xf numFmtId="176" fontId="4" fillId="6" borderId="5" xfId="0" applyNumberFormat="1" applyFont="1" applyFill="1" applyBorder="1" applyAlignment="1" applyProtection="1">
      <alignment horizontal="center" vertical="center"/>
      <protection locked="0"/>
    </xf>
    <xf numFmtId="0" fontId="4" fillId="6" borderId="5" xfId="0" applyFont="1" applyFill="1" applyBorder="1" applyAlignment="1" applyProtection="1">
      <alignment horizontal="left" vertical="center"/>
      <protection locked="0"/>
    </xf>
    <xf numFmtId="0" fontId="4" fillId="7" borderId="5" xfId="0" applyFont="1" applyFill="1" applyBorder="1" applyAlignment="1" applyProtection="1">
      <alignment horizontal="center" vertical="center"/>
      <protection locked="0"/>
    </xf>
    <xf numFmtId="176" fontId="4" fillId="7" borderId="5" xfId="0" applyNumberFormat="1" applyFont="1" applyFill="1" applyBorder="1" applyAlignment="1" applyProtection="1">
      <alignment horizontal="center" vertical="center"/>
      <protection locked="0"/>
    </xf>
    <xf numFmtId="0" fontId="4" fillId="7" borderId="5" xfId="0" applyFont="1" applyFill="1" applyBorder="1" applyAlignment="1" applyProtection="1">
      <alignment horizontal="left" vertical="center"/>
      <protection locked="0"/>
    </xf>
    <xf numFmtId="0" fontId="4" fillId="8" borderId="5" xfId="0" applyFont="1" applyFill="1" applyBorder="1" applyAlignment="1" applyProtection="1">
      <alignment horizontal="center" vertical="center"/>
      <protection locked="0"/>
    </xf>
    <xf numFmtId="176" fontId="4" fillId="8" borderId="5" xfId="0" applyNumberFormat="1" applyFont="1" applyFill="1" applyBorder="1" applyAlignment="1" applyProtection="1">
      <alignment horizontal="center" vertical="center"/>
      <protection locked="0"/>
    </xf>
    <xf numFmtId="0" fontId="4" fillId="8" borderId="5" xfId="0" applyFont="1" applyFill="1" applyBorder="1" applyAlignment="1" applyProtection="1">
      <alignment horizontal="left" vertical="center"/>
      <protection locked="0"/>
    </xf>
    <xf numFmtId="0" fontId="4" fillId="9" borderId="5" xfId="0" applyFont="1" applyFill="1" applyBorder="1" applyAlignment="1" applyProtection="1">
      <alignment horizontal="center" vertical="center"/>
      <protection locked="0"/>
    </xf>
    <xf numFmtId="176" fontId="4" fillId="9" borderId="5" xfId="0" applyNumberFormat="1" applyFont="1" applyFill="1" applyBorder="1" applyAlignment="1" applyProtection="1">
      <alignment horizontal="center" vertical="center"/>
      <protection locked="0"/>
    </xf>
    <xf numFmtId="0" fontId="4" fillId="9" borderId="5" xfId="0" applyFont="1" applyFill="1" applyBorder="1" applyAlignment="1" applyProtection="1">
      <alignment horizontal="left" vertical="center"/>
      <protection locked="0"/>
    </xf>
    <xf numFmtId="0" fontId="4" fillId="10" borderId="5" xfId="0" applyFont="1" applyFill="1" applyBorder="1" applyAlignment="1" applyProtection="1">
      <alignment horizontal="center" vertical="center"/>
      <protection locked="0"/>
    </xf>
    <xf numFmtId="176" fontId="4" fillId="10" borderId="5" xfId="0" applyNumberFormat="1" applyFont="1" applyFill="1" applyBorder="1" applyAlignment="1" applyProtection="1">
      <alignment horizontal="center" vertical="center"/>
      <protection locked="0"/>
    </xf>
    <xf numFmtId="0" fontId="4" fillId="10" borderId="5" xfId="0" applyFont="1" applyFill="1" applyBorder="1" applyAlignment="1" applyProtection="1">
      <alignment horizontal="left" vertical="center"/>
      <protection locked="0"/>
    </xf>
    <xf numFmtId="0" fontId="4" fillId="11" borderId="5" xfId="0" applyFont="1" applyFill="1" applyBorder="1" applyAlignment="1" applyProtection="1">
      <alignment horizontal="center" vertical="center"/>
      <protection locked="0"/>
    </xf>
    <xf numFmtId="176" fontId="4" fillId="11" borderId="5" xfId="0" applyNumberFormat="1" applyFont="1" applyFill="1" applyBorder="1" applyAlignment="1" applyProtection="1">
      <alignment horizontal="center" vertical="center"/>
      <protection locked="0"/>
    </xf>
    <xf numFmtId="0" fontId="4" fillId="11" borderId="5" xfId="0" applyFont="1" applyFill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2" fillId="12" borderId="5" xfId="0" applyFont="1" applyFill="1" applyBorder="1" applyAlignment="1" applyProtection="1">
      <alignment horizontal="center" vertical="center"/>
      <protection locked="0"/>
    </xf>
    <xf numFmtId="178" fontId="4" fillId="12" borderId="5" xfId="0" applyNumberFormat="1" applyFont="1" applyFill="1" applyBorder="1" applyAlignment="1" applyProtection="1">
      <alignment horizontal="center" vertical="center"/>
      <protection locked="0"/>
    </xf>
    <xf numFmtId="0" fontId="11" fillId="12" borderId="5" xfId="0" applyFont="1" applyFill="1" applyBorder="1" applyAlignment="1" applyProtection="1">
      <alignment vertical="center"/>
      <protection locked="0"/>
    </xf>
    <xf numFmtId="0" fontId="4" fillId="13" borderId="5" xfId="0" applyFont="1" applyFill="1" applyBorder="1" applyAlignment="1" applyProtection="1">
      <alignment horizontal="center" vertical="center"/>
      <protection locked="0"/>
    </xf>
    <xf numFmtId="0" fontId="4" fillId="14" borderId="5" xfId="0" applyFont="1" applyFill="1" applyBorder="1" applyAlignment="1" applyProtection="1">
      <alignment horizontal="center" vertical="center"/>
      <protection locked="0"/>
    </xf>
    <xf numFmtId="0" fontId="4" fillId="15" borderId="5" xfId="0" applyFont="1" applyFill="1" applyBorder="1" applyAlignment="1" applyProtection="1">
      <alignment horizontal="center" vertical="center"/>
      <protection locked="0"/>
    </xf>
    <xf numFmtId="0" fontId="4" fillId="16" borderId="5" xfId="0" applyFont="1" applyFill="1" applyBorder="1" applyAlignment="1" applyProtection="1">
      <alignment horizontal="center" vertical="center"/>
      <protection locked="0"/>
    </xf>
    <xf numFmtId="0" fontId="4" fillId="17" borderId="5" xfId="0" applyFont="1" applyFill="1" applyBorder="1" applyAlignment="1" applyProtection="1">
      <alignment horizontal="center" vertical="center"/>
      <protection locked="0"/>
    </xf>
    <xf numFmtId="0" fontId="4" fillId="18" borderId="5" xfId="0" applyFont="1" applyFill="1" applyBorder="1" applyAlignment="1" applyProtection="1">
      <alignment horizontal="center" vertical="center"/>
      <protection locked="0"/>
    </xf>
    <xf numFmtId="0" fontId="4" fillId="19" borderId="5" xfId="0" applyFont="1" applyFill="1" applyBorder="1" applyAlignment="1" applyProtection="1">
      <alignment horizontal="center" vertical="center"/>
      <protection locked="0"/>
    </xf>
    <xf numFmtId="176" fontId="4" fillId="20" borderId="13" xfId="0" applyNumberFormat="1" applyFont="1" applyFill="1" applyBorder="1" applyAlignment="1" applyProtection="1">
      <alignment horizontal="center" vertical="center"/>
      <protection locked="0"/>
    </xf>
    <xf numFmtId="176" fontId="4" fillId="20" borderId="16" xfId="0" applyNumberFormat="1" applyFont="1" applyFill="1" applyBorder="1" applyAlignment="1" applyProtection="1">
      <alignment horizontal="center" vertical="center"/>
      <protection locked="0"/>
    </xf>
    <xf numFmtId="0" fontId="4" fillId="20" borderId="5" xfId="0" applyFont="1" applyFill="1" applyBorder="1" applyAlignment="1" applyProtection="1">
      <alignment horizontal="center" vertical="center"/>
      <protection locked="0"/>
    </xf>
    <xf numFmtId="176" fontId="4" fillId="20" borderId="12" xfId="0" applyNumberFormat="1" applyFont="1" applyFill="1" applyBorder="1" applyAlignment="1" applyProtection="1">
      <alignment horizontal="center" vertical="center"/>
      <protection locked="0"/>
    </xf>
    <xf numFmtId="176" fontId="4" fillId="20" borderId="20" xfId="0" applyNumberFormat="1" applyFont="1" applyFill="1" applyBorder="1" applyAlignment="1" applyProtection="1">
      <alignment horizontal="center" vertical="center"/>
      <protection locked="0"/>
    </xf>
    <xf numFmtId="0" fontId="4" fillId="20" borderId="20" xfId="0" applyFont="1" applyFill="1" applyBorder="1" applyAlignment="1" applyProtection="1">
      <alignment vertical="center"/>
      <protection locked="0"/>
    </xf>
    <xf numFmtId="0" fontId="10" fillId="3" borderId="17" xfId="0" applyFont="1" applyFill="1" applyBorder="1" applyAlignment="1" applyProtection="1">
      <alignment horizontal="center" vertical="center" wrapText="1"/>
      <protection locked="0"/>
    </xf>
    <xf numFmtId="0" fontId="4" fillId="21" borderId="9" xfId="0" applyFont="1" applyFill="1" applyBorder="1" applyAlignment="1" applyProtection="1">
      <alignment horizontal="center" vertical="center"/>
      <protection locked="0"/>
    </xf>
    <xf numFmtId="0" fontId="11" fillId="12" borderId="18" xfId="0" applyFont="1" applyFill="1" applyBorder="1" applyAlignment="1" applyProtection="1">
      <alignment horizontal="center"/>
      <protection locked="0"/>
    </xf>
    <xf numFmtId="0" fontId="11" fillId="12" borderId="17" xfId="0" applyFont="1" applyFill="1" applyBorder="1" applyAlignment="1" applyProtection="1">
      <alignment horizontal="center"/>
      <protection locked="0"/>
    </xf>
    <xf numFmtId="0" fontId="4" fillId="20" borderId="23" xfId="0" applyFont="1" applyFill="1" applyBorder="1" applyAlignment="1" applyProtection="1">
      <alignment vertical="center"/>
      <protection locked="0"/>
    </xf>
    <xf numFmtId="0" fontId="4" fillId="20" borderId="24" xfId="0" applyFont="1" applyFill="1" applyBorder="1" applyAlignment="1" applyProtection="1">
      <alignment vertical="center"/>
      <protection locked="0"/>
    </xf>
    <xf numFmtId="0" fontId="4" fillId="20" borderId="20" xfId="0" applyFont="1" applyFill="1" applyBorder="1" applyAlignment="1" applyProtection="1">
      <alignment horizontal="left" vertical="center"/>
      <protection locked="0"/>
    </xf>
    <xf numFmtId="177" fontId="4" fillId="4" borderId="5" xfId="0" applyNumberFormat="1" applyFont="1" applyFill="1" applyBorder="1" applyAlignment="1" applyProtection="1">
      <alignment horizontal="center" vertical="center"/>
      <protection locked="0"/>
    </xf>
    <xf numFmtId="176" fontId="4" fillId="23" borderId="20" xfId="0" applyNumberFormat="1" applyFont="1" applyFill="1" applyBorder="1" applyAlignment="1">
      <alignment horizontal="center" vertical="center" wrapText="1"/>
    </xf>
    <xf numFmtId="176" fontId="4" fillId="22" borderId="20" xfId="0" applyNumberFormat="1" applyFont="1" applyFill="1" applyBorder="1" applyAlignment="1" applyProtection="1">
      <alignment horizontal="center" vertical="center"/>
      <protection locked="0"/>
    </xf>
    <xf numFmtId="0" fontId="4" fillId="23" borderId="20" xfId="0" applyFont="1" applyFill="1" applyBorder="1" applyAlignment="1">
      <alignment vertical="center" wrapText="1"/>
    </xf>
    <xf numFmtId="0" fontId="4" fillId="23" borderId="20" xfId="0" applyFont="1" applyFill="1" applyBorder="1" applyAlignment="1">
      <alignment horizontal="center" vertical="center" wrapText="1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4" xfId="0" applyFont="1" applyBorder="1" applyAlignment="1">
      <alignment vertical="center"/>
    </xf>
    <xf numFmtId="0" fontId="0" fillId="0" borderId="4" xfId="0" applyBorder="1"/>
    <xf numFmtId="0" fontId="4" fillId="22" borderId="5" xfId="0" applyFont="1" applyFill="1" applyBorder="1" applyAlignment="1" applyProtection="1">
      <alignment horizontal="center" vertical="center"/>
      <protection locked="0"/>
    </xf>
    <xf numFmtId="177" fontId="4" fillId="13" borderId="5" xfId="0" applyNumberFormat="1" applyFont="1" applyFill="1" applyBorder="1" applyAlignment="1" applyProtection="1">
      <alignment horizontal="center" vertical="center"/>
      <protection locked="0"/>
    </xf>
    <xf numFmtId="177" fontId="4" fillId="14" borderId="5" xfId="0" applyNumberFormat="1" applyFont="1" applyFill="1" applyBorder="1" applyAlignment="1" applyProtection="1">
      <alignment horizontal="center" vertical="center"/>
      <protection locked="0"/>
    </xf>
    <xf numFmtId="177" fontId="4" fillId="15" borderId="5" xfId="0" applyNumberFormat="1" applyFont="1" applyFill="1" applyBorder="1" applyAlignment="1" applyProtection="1">
      <alignment horizontal="center" vertical="center"/>
      <protection locked="0"/>
    </xf>
    <xf numFmtId="177" fontId="4" fillId="16" borderId="5" xfId="0" applyNumberFormat="1" applyFont="1" applyFill="1" applyBorder="1" applyAlignment="1" applyProtection="1">
      <alignment horizontal="center" vertical="center"/>
      <protection locked="0"/>
    </xf>
    <xf numFmtId="177" fontId="4" fillId="17" borderId="5" xfId="0" applyNumberFormat="1" applyFont="1" applyFill="1" applyBorder="1" applyAlignment="1" applyProtection="1">
      <alignment horizontal="center" vertical="center"/>
      <protection locked="0"/>
    </xf>
    <xf numFmtId="177" fontId="4" fillId="18" borderId="5" xfId="0" applyNumberFormat="1" applyFont="1" applyFill="1" applyBorder="1" applyAlignment="1" applyProtection="1">
      <alignment horizontal="center" vertical="center"/>
      <protection locked="0"/>
    </xf>
    <xf numFmtId="177" fontId="4" fillId="19" borderId="5" xfId="0" applyNumberFormat="1" applyFont="1" applyFill="1" applyBorder="1" applyAlignment="1" applyProtection="1">
      <alignment horizontal="center" vertical="center"/>
      <protection locked="0"/>
    </xf>
    <xf numFmtId="0" fontId="4" fillId="24" borderId="5" xfId="0" applyFont="1" applyFill="1" applyBorder="1" applyAlignment="1" applyProtection="1">
      <alignment horizontal="center" vertical="center"/>
      <protection locked="0"/>
    </xf>
    <xf numFmtId="176" fontId="4" fillId="26" borderId="5" xfId="0" applyNumberFormat="1" applyFont="1" applyFill="1" applyBorder="1" applyAlignment="1" applyProtection="1">
      <alignment horizontal="center" vertical="center"/>
      <protection locked="0"/>
    </xf>
    <xf numFmtId="0" fontId="4" fillId="26" borderId="5" xfId="0" applyFont="1" applyFill="1" applyBorder="1" applyAlignment="1" applyProtection="1">
      <alignment horizontal="left" vertical="center"/>
      <protection locked="0"/>
    </xf>
    <xf numFmtId="177" fontId="4" fillId="24" borderId="5" xfId="0" applyNumberFormat="1" applyFont="1" applyFill="1" applyBorder="1" applyAlignment="1" applyProtection="1">
      <alignment horizontal="center" vertical="center"/>
      <protection locked="0"/>
    </xf>
    <xf numFmtId="0" fontId="4" fillId="26" borderId="5" xfId="0" applyFont="1" applyFill="1" applyBorder="1" applyAlignment="1" applyProtection="1">
      <alignment horizontal="center" vertical="center"/>
      <protection locked="0"/>
    </xf>
    <xf numFmtId="0" fontId="7" fillId="9" borderId="8" xfId="0" applyFont="1" applyFill="1" applyBorder="1" applyAlignment="1" applyProtection="1">
      <alignment horizontal="center" vertical="center" wrapText="1"/>
      <protection locked="0"/>
    </xf>
    <xf numFmtId="0" fontId="2" fillId="0" borderId="10" xfId="0" applyFont="1" applyBorder="1" applyProtection="1">
      <protection locked="0"/>
    </xf>
    <xf numFmtId="0" fontId="2" fillId="0" borderId="11" xfId="0" applyFont="1" applyBorder="1" applyProtection="1">
      <protection locked="0"/>
    </xf>
    <xf numFmtId="0" fontId="7" fillId="11" borderId="8" xfId="0" applyFont="1" applyFill="1" applyBorder="1" applyAlignment="1" applyProtection="1">
      <alignment horizontal="center" vertical="center" wrapText="1"/>
      <protection locked="0"/>
    </xf>
    <xf numFmtId="0" fontId="7" fillId="23" borderId="20" xfId="0" applyFont="1" applyFill="1" applyBorder="1" applyAlignment="1">
      <alignment horizontal="center" vertical="center" wrapText="1"/>
    </xf>
    <xf numFmtId="0" fontId="7" fillId="25" borderId="2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2" fillId="0" borderId="2" xfId="0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12" fillId="12" borderId="16" xfId="0" applyFont="1" applyFill="1" applyBorder="1" applyAlignment="1" applyProtection="1">
      <alignment horizontal="center" vertical="center"/>
      <protection locked="0"/>
    </xf>
    <xf numFmtId="0" fontId="2" fillId="0" borderId="17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2" fillId="0" borderId="21" xfId="0" applyFont="1" applyBorder="1" applyProtection="1">
      <protection locked="0"/>
    </xf>
    <xf numFmtId="0" fontId="7" fillId="10" borderId="8" xfId="0" applyFont="1" applyFill="1" applyBorder="1" applyAlignment="1" applyProtection="1">
      <alignment horizontal="center" vertical="center" wrapText="1"/>
      <protection locked="0"/>
    </xf>
    <xf numFmtId="0" fontId="7" fillId="4" borderId="8" xfId="0" applyFont="1" applyFill="1" applyBorder="1" applyAlignment="1" applyProtection="1">
      <alignment horizontal="center" vertical="center" wrapText="1"/>
      <protection locked="0"/>
    </xf>
    <xf numFmtId="0" fontId="7" fillId="5" borderId="25" xfId="0" applyFont="1" applyFill="1" applyBorder="1" applyAlignment="1" applyProtection="1">
      <alignment horizontal="center" vertical="center" wrapText="1"/>
      <protection locked="0"/>
    </xf>
    <xf numFmtId="0" fontId="7" fillId="5" borderId="10" xfId="0" applyFont="1" applyFill="1" applyBorder="1" applyAlignment="1" applyProtection="1">
      <alignment horizontal="center" vertical="center" wrapText="1"/>
      <protection locked="0"/>
    </xf>
    <xf numFmtId="0" fontId="7" fillId="5" borderId="11" xfId="0" applyFont="1" applyFill="1" applyBorder="1" applyAlignment="1" applyProtection="1">
      <alignment horizontal="center" vertical="center" wrapText="1"/>
      <protection locked="0"/>
    </xf>
    <xf numFmtId="0" fontId="7" fillId="6" borderId="8" xfId="0" applyFont="1" applyFill="1" applyBorder="1" applyAlignment="1" applyProtection="1">
      <alignment horizontal="center" vertical="center" wrapText="1"/>
      <protection locked="0"/>
    </xf>
    <xf numFmtId="0" fontId="7" fillId="7" borderId="8" xfId="0" applyFont="1" applyFill="1" applyBorder="1" applyAlignment="1" applyProtection="1">
      <alignment horizontal="center" vertical="center" wrapText="1"/>
      <protection locked="0"/>
    </xf>
    <xf numFmtId="0" fontId="7" fillId="8" borderId="8" xfId="0" applyFont="1" applyFill="1" applyBorder="1" applyAlignment="1" applyProtection="1">
      <alignment horizontal="center" vertical="center" wrapText="1"/>
      <protection locked="0"/>
    </xf>
    <xf numFmtId="0" fontId="7" fillId="20" borderId="12" xfId="0" applyFont="1" applyFill="1" applyBorder="1" applyAlignment="1" applyProtection="1">
      <alignment horizontal="center" vertical="center" wrapText="1"/>
      <protection locked="0"/>
    </xf>
    <xf numFmtId="0" fontId="7" fillId="20" borderId="14" xfId="0" applyFont="1" applyFill="1" applyBorder="1" applyAlignment="1" applyProtection="1">
      <alignment horizontal="center" vertical="center" wrapText="1"/>
      <protection locked="0"/>
    </xf>
    <xf numFmtId="0" fontId="7" fillId="20" borderId="15" xfId="0" applyFont="1" applyFill="1" applyBorder="1" applyAlignment="1" applyProtection="1">
      <alignment horizontal="center" vertical="center" wrapText="1"/>
      <protection locked="0"/>
    </xf>
    <xf numFmtId="180" fontId="4" fillId="0" borderId="0" xfId="0" applyNumberFormat="1" applyFont="1" applyAlignment="1">
      <alignment vertical="center"/>
    </xf>
    <xf numFmtId="179" fontId="4" fillId="27" borderId="16" xfId="0" applyNumberFormat="1" applyFont="1" applyFill="1" applyBorder="1" applyAlignment="1">
      <alignment horizontal="center" vertical="center"/>
    </xf>
    <xf numFmtId="179" fontId="4" fillId="28" borderId="16" xfId="0" applyNumberFormat="1" applyFont="1" applyFill="1" applyBorder="1" applyAlignment="1">
      <alignment horizontal="center" vertical="center"/>
    </xf>
    <xf numFmtId="179" fontId="4" fillId="27" borderId="17" xfId="0" applyNumberFormat="1" applyFont="1" applyFill="1" applyBorder="1" applyAlignment="1">
      <alignment horizontal="center" vertical="center"/>
    </xf>
    <xf numFmtId="177" fontId="4" fillId="28" borderId="16" xfId="0" applyNumberFormat="1" applyFont="1" applyFill="1" applyBorder="1" applyAlignment="1">
      <alignment horizontal="center" vertical="center"/>
    </xf>
    <xf numFmtId="179" fontId="4" fillId="29" borderId="16" xfId="0" applyNumberFormat="1" applyFont="1" applyFill="1" applyBorder="1" applyAlignment="1">
      <alignment horizontal="center" vertical="center"/>
    </xf>
    <xf numFmtId="177" fontId="4" fillId="27" borderId="16" xfId="0" applyNumberFormat="1" applyFont="1" applyFill="1" applyBorder="1" applyAlignment="1">
      <alignment horizontal="center" vertical="center"/>
    </xf>
    <xf numFmtId="177" fontId="4" fillId="29" borderId="16" xfId="0" applyNumberFormat="1" applyFont="1" applyFill="1" applyBorder="1" applyAlignment="1">
      <alignment horizontal="center" vertical="center"/>
    </xf>
    <xf numFmtId="179" fontId="4" fillId="30" borderId="16" xfId="0" applyNumberFormat="1" applyFont="1" applyFill="1" applyBorder="1" applyAlignment="1">
      <alignment horizontal="center" vertical="center"/>
    </xf>
    <xf numFmtId="177" fontId="4" fillId="30" borderId="16" xfId="0" applyNumberFormat="1" applyFont="1" applyFill="1" applyBorder="1" applyAlignment="1">
      <alignment horizontal="center" vertical="center"/>
    </xf>
    <xf numFmtId="179" fontId="4" fillId="31" borderId="16" xfId="0" applyNumberFormat="1" applyFont="1" applyFill="1" applyBorder="1" applyAlignment="1">
      <alignment horizontal="center" vertical="center"/>
    </xf>
    <xf numFmtId="177" fontId="4" fillId="31" borderId="16" xfId="0" applyNumberFormat="1" applyFont="1" applyFill="1" applyBorder="1" applyAlignment="1">
      <alignment horizontal="center" vertical="center"/>
    </xf>
    <xf numFmtId="179" fontId="4" fillId="32" borderId="16" xfId="0" applyNumberFormat="1" applyFont="1" applyFill="1" applyBorder="1" applyAlignment="1">
      <alignment horizontal="center" vertical="center"/>
    </xf>
    <xf numFmtId="177" fontId="4" fillId="32" borderId="16" xfId="0" applyNumberFormat="1" applyFont="1" applyFill="1" applyBorder="1" applyAlignment="1">
      <alignment horizontal="center" vertical="center"/>
    </xf>
    <xf numFmtId="177" fontId="4" fillId="33" borderId="16" xfId="0" applyNumberFormat="1" applyFont="1" applyFill="1" applyBorder="1" applyAlignment="1">
      <alignment horizontal="center" vertical="center"/>
    </xf>
    <xf numFmtId="179" fontId="4" fillId="34" borderId="16" xfId="0" applyNumberFormat="1" applyFont="1" applyFill="1" applyBorder="1" applyAlignment="1">
      <alignment horizontal="center" vertical="center"/>
    </xf>
    <xf numFmtId="0" fontId="2" fillId="35" borderId="4" xfId="0" applyFont="1" applyFill="1" applyBorder="1" applyAlignment="1" applyProtection="1">
      <protection locked="0"/>
    </xf>
    <xf numFmtId="0" fontId="0" fillId="35" borderId="4" xfId="0" applyFill="1" applyBorder="1" applyAlignment="1" applyProtection="1">
      <protection locked="0"/>
    </xf>
    <xf numFmtId="0" fontId="6" fillId="35" borderId="4" xfId="0" applyFont="1" applyFill="1" applyBorder="1" applyAlignment="1" applyProtection="1">
      <alignment horizontal="center" vertical="center"/>
      <protection locked="0"/>
    </xf>
    <xf numFmtId="0" fontId="14" fillId="35" borderId="4" xfId="0" applyFont="1" applyFill="1" applyBorder="1" applyAlignment="1" applyProtection="1">
      <alignment horizontal="center" vertical="center"/>
      <protection locked="0"/>
    </xf>
    <xf numFmtId="0" fontId="4" fillId="36" borderId="22" xfId="0" applyFont="1" applyFill="1" applyBorder="1" applyAlignment="1" applyProtection="1">
      <alignment horizontal="center" vertical="center"/>
      <protection locked="0"/>
    </xf>
    <xf numFmtId="0" fontId="4" fillId="37" borderId="20" xfId="0" applyFont="1" applyFill="1" applyBorder="1" applyAlignment="1">
      <alignment horizontal="center" vertical="center" wrapText="1"/>
    </xf>
    <xf numFmtId="0" fontId="4" fillId="38" borderId="22" xfId="0" applyFont="1" applyFill="1" applyBorder="1" applyAlignment="1" applyProtection="1">
      <alignment horizontal="center" vertical="center"/>
      <protection locked="0"/>
    </xf>
    <xf numFmtId="0" fontId="4" fillId="39" borderId="22" xfId="0" applyFont="1" applyFill="1" applyBorder="1" applyAlignment="1" applyProtection="1">
      <alignment horizontal="center" vertical="center"/>
      <protection locked="0"/>
    </xf>
    <xf numFmtId="0" fontId="4" fillId="40" borderId="22" xfId="0" applyFont="1" applyFill="1" applyBorder="1" applyAlignment="1" applyProtection="1">
      <alignment horizontal="center" vertical="center"/>
      <protection locked="0"/>
    </xf>
    <xf numFmtId="0" fontId="4" fillId="41" borderId="22" xfId="0" applyFont="1" applyFill="1" applyBorder="1" applyAlignment="1" applyProtection="1">
      <alignment horizontal="center" vertical="center"/>
      <protection locked="0"/>
    </xf>
    <xf numFmtId="0" fontId="4" fillId="42" borderId="22" xfId="0" applyFont="1" applyFill="1" applyBorder="1" applyAlignment="1" applyProtection="1">
      <alignment horizontal="center" vertical="center"/>
      <protection locked="0"/>
    </xf>
    <xf numFmtId="0" fontId="4" fillId="43" borderId="22" xfId="0" applyFont="1" applyFill="1" applyBorder="1" applyAlignment="1" applyProtection="1">
      <alignment horizontal="center" vertical="center"/>
      <protection locked="0"/>
    </xf>
    <xf numFmtId="0" fontId="4" fillId="44" borderId="22" xfId="0" applyFont="1" applyFill="1" applyBorder="1" applyAlignment="1" applyProtection="1">
      <alignment horizontal="center" vertical="center"/>
      <protection locked="0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CCFF"/>
      <color rgb="FFFFCCCC"/>
      <color rgb="FF9999FF"/>
      <color rgb="FFCC99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15"/>
  <sheetViews>
    <sheetView tabSelected="1" topLeftCell="A2" zoomScale="70" zoomScaleNormal="70" workbookViewId="0">
      <selection activeCell="M35" sqref="M35"/>
    </sheetView>
  </sheetViews>
  <sheetFormatPr defaultColWidth="14.42578125" defaultRowHeight="15" customHeight="1"/>
  <cols>
    <col min="1" max="1" width="6.42578125" customWidth="1"/>
    <col min="2" max="2" width="20.42578125" customWidth="1"/>
    <col min="3" max="3" width="25.42578125" customWidth="1"/>
    <col min="4" max="4" width="16" bestFit="1" customWidth="1"/>
    <col min="5" max="5" width="94.7109375" customWidth="1"/>
    <col min="6" max="6" width="15.140625" customWidth="1"/>
    <col min="7" max="7" width="12.7109375" customWidth="1"/>
    <col min="8" max="8" width="9.42578125" customWidth="1"/>
    <col min="9" max="9" width="13.85546875" customWidth="1"/>
    <col min="10" max="10" width="17.42578125" customWidth="1"/>
    <col min="11" max="11" width="36.140625" customWidth="1"/>
    <col min="12" max="12" width="11" customWidth="1"/>
    <col min="13" max="13" width="17.28515625" customWidth="1"/>
    <col min="14" max="26" width="11" customWidth="1"/>
    <col min="27" max="27" width="12.5703125" customWidth="1"/>
  </cols>
  <sheetData>
    <row r="1" spans="1:27" ht="27" hidden="1" customHeight="1">
      <c r="A1" s="98"/>
      <c r="B1" s="99"/>
      <c r="C1" s="99"/>
      <c r="D1" s="100"/>
      <c r="E1" s="99"/>
      <c r="F1" s="99"/>
      <c r="G1" s="99"/>
      <c r="H1" s="99"/>
      <c r="I1" s="99"/>
      <c r="J1" s="99"/>
      <c r="K1" s="101"/>
      <c r="L1" s="8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</row>
    <row r="2" spans="1:27" ht="16.5">
      <c r="A2" s="136" t="s">
        <v>346</v>
      </c>
      <c r="B2" s="135"/>
      <c r="C2" s="135"/>
      <c r="D2" s="135"/>
      <c r="E2" s="135"/>
      <c r="F2" s="135"/>
      <c r="G2" s="135"/>
      <c r="H2" s="135"/>
      <c r="I2" s="135"/>
      <c r="J2" s="134"/>
      <c r="K2" s="133"/>
      <c r="L2" s="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2"/>
    </row>
    <row r="3" spans="1:27" ht="16.5">
      <c r="A3" s="135"/>
      <c r="B3" s="135"/>
      <c r="C3" s="135"/>
      <c r="D3" s="135"/>
      <c r="E3" s="135"/>
      <c r="F3" s="135"/>
      <c r="G3" s="135"/>
      <c r="H3" s="135"/>
      <c r="I3" s="135"/>
      <c r="J3" s="134"/>
      <c r="K3" s="133"/>
      <c r="L3" s="9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</row>
    <row r="4" spans="1:27" ht="16.5">
      <c r="A4" s="135"/>
      <c r="B4" s="135"/>
      <c r="C4" s="135"/>
      <c r="D4" s="135"/>
      <c r="E4" s="135"/>
      <c r="F4" s="135"/>
      <c r="G4" s="135"/>
      <c r="H4" s="135"/>
      <c r="I4" s="135"/>
      <c r="J4" s="134"/>
      <c r="K4" s="133"/>
      <c r="L4" s="9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</row>
    <row r="5" spans="1:27" ht="18" customHeight="1">
      <c r="A5" s="135"/>
      <c r="B5" s="135"/>
      <c r="C5" s="135"/>
      <c r="D5" s="135"/>
      <c r="E5" s="135"/>
      <c r="F5" s="135"/>
      <c r="G5" s="135"/>
      <c r="H5" s="135"/>
      <c r="I5" s="135"/>
      <c r="J5" s="133"/>
      <c r="K5" s="133"/>
      <c r="L5" s="9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2"/>
    </row>
    <row r="6" spans="1:27" ht="15.75" customHeight="1" thickBot="1">
      <c r="A6" s="10"/>
      <c r="B6" s="11"/>
      <c r="C6" s="12"/>
      <c r="D6" s="12"/>
      <c r="E6" s="13"/>
      <c r="F6" s="14"/>
      <c r="G6" s="15"/>
      <c r="H6" s="16"/>
      <c r="I6" s="15"/>
      <c r="J6" s="14" t="s">
        <v>1</v>
      </c>
      <c r="K6" s="15"/>
      <c r="L6" s="9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2"/>
    </row>
    <row r="7" spans="1:27" ht="42" customHeight="1">
      <c r="A7" s="17" t="s">
        <v>2</v>
      </c>
      <c r="B7" s="18" t="s">
        <v>3</v>
      </c>
      <c r="C7" s="19" t="s">
        <v>4</v>
      </c>
      <c r="D7" s="19" t="s">
        <v>180</v>
      </c>
      <c r="E7" s="17" t="s">
        <v>5</v>
      </c>
      <c r="F7" s="20" t="s">
        <v>6</v>
      </c>
      <c r="G7" s="21" t="s">
        <v>7</v>
      </c>
      <c r="H7" s="64" t="s">
        <v>179</v>
      </c>
      <c r="I7" s="21" t="s">
        <v>8</v>
      </c>
      <c r="J7" s="22" t="s">
        <v>9</v>
      </c>
      <c r="K7" s="22" t="s">
        <v>10</v>
      </c>
      <c r="L7" s="9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2"/>
    </row>
    <row r="8" spans="1:27" ht="16.5" customHeight="1">
      <c r="A8" s="23">
        <v>1</v>
      </c>
      <c r="B8" s="107" t="s">
        <v>11</v>
      </c>
      <c r="C8" s="24">
        <v>8809576261110</v>
      </c>
      <c r="D8" s="24" t="s">
        <v>181</v>
      </c>
      <c r="E8" s="25" t="s">
        <v>12</v>
      </c>
      <c r="F8" s="118">
        <v>9391.6</v>
      </c>
      <c r="G8" s="65"/>
      <c r="H8" s="137">
        <v>40</v>
      </c>
      <c r="I8" s="65">
        <f t="shared" ref="I8:I136" si="0">G8*H8</f>
        <v>0</v>
      </c>
      <c r="J8" s="71">
        <f t="shared" ref="J8:J135" si="1">I8*F8</f>
        <v>0</v>
      </c>
      <c r="K8" s="23" t="s">
        <v>323</v>
      </c>
      <c r="L8" s="9"/>
      <c r="M8" s="11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2"/>
    </row>
    <row r="9" spans="1:27" ht="16.5" customHeight="1">
      <c r="A9" s="23">
        <v>2</v>
      </c>
      <c r="B9" s="93"/>
      <c r="C9" s="24">
        <v>8809576261226</v>
      </c>
      <c r="D9" s="24" t="s">
        <v>182</v>
      </c>
      <c r="E9" s="25" t="s">
        <v>13</v>
      </c>
      <c r="F9" s="119">
        <v>3572.2</v>
      </c>
      <c r="G9" s="65"/>
      <c r="H9" s="137">
        <v>200</v>
      </c>
      <c r="I9" s="65">
        <f t="shared" si="0"/>
        <v>0</v>
      </c>
      <c r="J9" s="71">
        <f t="shared" si="1"/>
        <v>0</v>
      </c>
      <c r="K9" s="23"/>
      <c r="L9" s="9"/>
      <c r="M9" s="117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2"/>
    </row>
    <row r="10" spans="1:27" ht="16.5" customHeight="1">
      <c r="A10" s="23">
        <v>3</v>
      </c>
      <c r="B10" s="93"/>
      <c r="C10" s="24">
        <v>8809576261127</v>
      </c>
      <c r="D10" s="24" t="s">
        <v>183</v>
      </c>
      <c r="E10" s="25" t="s">
        <v>14</v>
      </c>
      <c r="F10" s="119">
        <v>7791</v>
      </c>
      <c r="G10" s="65"/>
      <c r="H10" s="137">
        <v>40</v>
      </c>
      <c r="I10" s="65">
        <f t="shared" si="0"/>
        <v>0</v>
      </c>
      <c r="J10" s="71">
        <f t="shared" si="1"/>
        <v>0</v>
      </c>
      <c r="K10" s="23" t="s">
        <v>15</v>
      </c>
      <c r="L10" s="9"/>
      <c r="M10" s="117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2"/>
    </row>
    <row r="11" spans="1:27" ht="16.5" customHeight="1">
      <c r="A11" s="23">
        <v>4</v>
      </c>
      <c r="B11" s="93"/>
      <c r="C11" s="24">
        <v>8809576261219</v>
      </c>
      <c r="D11" s="24" t="s">
        <v>184</v>
      </c>
      <c r="E11" s="25" t="s">
        <v>16</v>
      </c>
      <c r="F11" s="119">
        <v>2978.6</v>
      </c>
      <c r="G11" s="65"/>
      <c r="H11" s="137">
        <v>200</v>
      </c>
      <c r="I11" s="65">
        <f t="shared" si="0"/>
        <v>0</v>
      </c>
      <c r="J11" s="71">
        <f t="shared" si="1"/>
        <v>0</v>
      </c>
      <c r="K11" s="23"/>
      <c r="L11" s="9"/>
      <c r="M11" s="117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2"/>
    </row>
    <row r="12" spans="1:27" ht="16.5" customHeight="1">
      <c r="A12" s="23">
        <v>5</v>
      </c>
      <c r="B12" s="93"/>
      <c r="C12" s="24">
        <v>8809576261158</v>
      </c>
      <c r="D12" s="24" t="s">
        <v>185</v>
      </c>
      <c r="E12" s="25" t="s">
        <v>17</v>
      </c>
      <c r="F12" s="119">
        <v>14606.8</v>
      </c>
      <c r="G12" s="65"/>
      <c r="H12" s="137">
        <v>25</v>
      </c>
      <c r="I12" s="65">
        <f t="shared" si="0"/>
        <v>0</v>
      </c>
      <c r="J12" s="71">
        <f t="shared" si="1"/>
        <v>0</v>
      </c>
      <c r="K12" s="23"/>
      <c r="L12" s="9"/>
      <c r="M12" s="11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2"/>
    </row>
    <row r="13" spans="1:27" ht="16.5" customHeight="1">
      <c r="A13" s="23">
        <v>6</v>
      </c>
      <c r="B13" s="93"/>
      <c r="C13" s="24">
        <v>8809576261141</v>
      </c>
      <c r="D13" s="24" t="s">
        <v>186</v>
      </c>
      <c r="E13" s="25" t="s">
        <v>18</v>
      </c>
      <c r="F13" s="119">
        <v>9582.4</v>
      </c>
      <c r="G13" s="65"/>
      <c r="H13" s="137">
        <v>40</v>
      </c>
      <c r="I13" s="65">
        <f t="shared" si="0"/>
        <v>0</v>
      </c>
      <c r="J13" s="71">
        <f t="shared" si="1"/>
        <v>0</v>
      </c>
      <c r="K13" s="23" t="s">
        <v>15</v>
      </c>
      <c r="L13" s="9"/>
      <c r="M13" s="11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2"/>
    </row>
    <row r="14" spans="1:27" ht="16.5" customHeight="1">
      <c r="A14" s="23">
        <v>7</v>
      </c>
      <c r="B14" s="93"/>
      <c r="C14" s="24">
        <v>8809576261196</v>
      </c>
      <c r="D14" s="24" t="s">
        <v>187</v>
      </c>
      <c r="E14" s="25" t="s">
        <v>19</v>
      </c>
      <c r="F14" s="119">
        <v>3900.8</v>
      </c>
      <c r="G14" s="65"/>
      <c r="H14" s="137">
        <v>200</v>
      </c>
      <c r="I14" s="65">
        <f t="shared" si="0"/>
        <v>0</v>
      </c>
      <c r="J14" s="71">
        <f t="shared" si="1"/>
        <v>0</v>
      </c>
      <c r="K14" s="23"/>
      <c r="L14" s="9"/>
      <c r="M14" s="11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2"/>
    </row>
    <row r="15" spans="1:27" ht="16.5" customHeight="1">
      <c r="A15" s="23">
        <v>8</v>
      </c>
      <c r="B15" s="93"/>
      <c r="C15" s="24">
        <v>8809576260663</v>
      </c>
      <c r="D15" s="24" t="s">
        <v>188</v>
      </c>
      <c r="E15" s="25" t="s">
        <v>20</v>
      </c>
      <c r="F15" s="119">
        <v>12009.8</v>
      </c>
      <c r="G15" s="65"/>
      <c r="H15" s="137">
        <v>50</v>
      </c>
      <c r="I15" s="65">
        <f t="shared" si="0"/>
        <v>0</v>
      </c>
      <c r="J15" s="71">
        <f t="shared" si="1"/>
        <v>0</v>
      </c>
      <c r="K15" s="23" t="s">
        <v>15</v>
      </c>
      <c r="L15" s="9"/>
      <c r="M15" s="117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2"/>
    </row>
    <row r="16" spans="1:27" ht="16.5" customHeight="1">
      <c r="A16" s="23">
        <v>9</v>
      </c>
      <c r="B16" s="93"/>
      <c r="C16" s="24">
        <v>8809576260601</v>
      </c>
      <c r="D16" s="24" t="s">
        <v>189</v>
      </c>
      <c r="E16" s="25" t="s">
        <v>21</v>
      </c>
      <c r="F16" s="119">
        <v>8119.6</v>
      </c>
      <c r="G16" s="65"/>
      <c r="H16" s="137">
        <v>50</v>
      </c>
      <c r="I16" s="65">
        <f t="shared" si="0"/>
        <v>0</v>
      </c>
      <c r="J16" s="71">
        <f t="shared" si="1"/>
        <v>0</v>
      </c>
      <c r="K16" s="23"/>
      <c r="L16" s="9"/>
      <c r="M16" s="11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2"/>
    </row>
    <row r="17" spans="1:27" ht="16.5" customHeight="1">
      <c r="A17" s="23">
        <v>10</v>
      </c>
      <c r="B17" s="93"/>
      <c r="C17" s="24">
        <v>8809576260618</v>
      </c>
      <c r="D17" s="24" t="s">
        <v>190</v>
      </c>
      <c r="E17" s="25" t="s">
        <v>22</v>
      </c>
      <c r="F17" s="119">
        <v>4865.3999999999996</v>
      </c>
      <c r="G17" s="65"/>
      <c r="H17" s="137">
        <v>128</v>
      </c>
      <c r="I17" s="65">
        <f t="shared" si="0"/>
        <v>0</v>
      </c>
      <c r="J17" s="71">
        <f t="shared" si="1"/>
        <v>0</v>
      </c>
      <c r="K17" s="23"/>
      <c r="L17" s="9"/>
      <c r="M17" s="117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2"/>
    </row>
    <row r="18" spans="1:27" ht="16.5" customHeight="1">
      <c r="A18" s="23">
        <v>11</v>
      </c>
      <c r="B18" s="93"/>
      <c r="C18" s="24">
        <v>8809576261387</v>
      </c>
      <c r="D18" s="24" t="s">
        <v>191</v>
      </c>
      <c r="E18" s="25" t="s">
        <v>23</v>
      </c>
      <c r="F18" s="118">
        <v>10027.6</v>
      </c>
      <c r="G18" s="65"/>
      <c r="H18" s="137">
        <v>50</v>
      </c>
      <c r="I18" s="65">
        <f t="shared" si="0"/>
        <v>0</v>
      </c>
      <c r="J18" s="71">
        <f t="shared" si="1"/>
        <v>0</v>
      </c>
      <c r="K18" s="23" t="s">
        <v>323</v>
      </c>
      <c r="L18" s="9"/>
      <c r="M18" s="11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2"/>
    </row>
    <row r="19" spans="1:27" ht="16.5" customHeight="1">
      <c r="A19" s="23">
        <v>12</v>
      </c>
      <c r="B19" s="93"/>
      <c r="C19" s="24">
        <v>8809913833192</v>
      </c>
      <c r="D19" s="24" t="s">
        <v>192</v>
      </c>
      <c r="E19" s="25" t="s">
        <v>173</v>
      </c>
      <c r="F19" s="120">
        <v>6010.2</v>
      </c>
      <c r="G19" s="65"/>
      <c r="H19" s="137">
        <v>36</v>
      </c>
      <c r="I19" s="65">
        <f t="shared" si="0"/>
        <v>0</v>
      </c>
      <c r="J19" s="71">
        <f t="shared" si="1"/>
        <v>0</v>
      </c>
      <c r="K19" s="23" t="s">
        <v>324</v>
      </c>
      <c r="L19" s="9"/>
      <c r="M19" s="117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2"/>
    </row>
    <row r="20" spans="1:27" ht="16.5" customHeight="1">
      <c r="A20" s="23">
        <v>13</v>
      </c>
      <c r="B20" s="93"/>
      <c r="C20" s="24">
        <v>8809576260496</v>
      </c>
      <c r="D20" s="24" t="s">
        <v>193</v>
      </c>
      <c r="E20" s="25" t="s">
        <v>24</v>
      </c>
      <c r="F20" s="119">
        <v>1187.2</v>
      </c>
      <c r="G20" s="65"/>
      <c r="H20" s="137">
        <v>300</v>
      </c>
      <c r="I20" s="65">
        <f t="shared" si="0"/>
        <v>0</v>
      </c>
      <c r="J20" s="71">
        <f t="shared" si="1"/>
        <v>0</v>
      </c>
      <c r="K20" s="23"/>
      <c r="L20" s="9"/>
      <c r="M20" s="117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2"/>
    </row>
    <row r="21" spans="1:27" ht="16.5" customHeight="1">
      <c r="A21" s="23">
        <v>14</v>
      </c>
      <c r="B21" s="93"/>
      <c r="C21" s="24">
        <v>8809576260502</v>
      </c>
      <c r="D21" s="24" t="s">
        <v>194</v>
      </c>
      <c r="E21" s="25" t="s">
        <v>25</v>
      </c>
      <c r="F21" s="119">
        <v>5840.6</v>
      </c>
      <c r="G21" s="65"/>
      <c r="H21" s="137">
        <v>60</v>
      </c>
      <c r="I21" s="65">
        <f t="shared" si="0"/>
        <v>0</v>
      </c>
      <c r="J21" s="71">
        <f t="shared" si="1"/>
        <v>0</v>
      </c>
      <c r="K21" s="23"/>
      <c r="L21" s="9"/>
      <c r="M21" s="11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2"/>
    </row>
    <row r="22" spans="1:27" ht="16.5" customHeight="1">
      <c r="A22" s="23">
        <v>15</v>
      </c>
      <c r="B22" s="93"/>
      <c r="C22" s="24">
        <v>8809576261134</v>
      </c>
      <c r="D22" s="24" t="s">
        <v>195</v>
      </c>
      <c r="E22" s="25" t="s">
        <v>26</v>
      </c>
      <c r="F22" s="119">
        <v>10388</v>
      </c>
      <c r="G22" s="65"/>
      <c r="H22" s="137">
        <v>40</v>
      </c>
      <c r="I22" s="65">
        <f t="shared" si="0"/>
        <v>0</v>
      </c>
      <c r="J22" s="71">
        <f t="shared" si="1"/>
        <v>0</v>
      </c>
      <c r="K22" s="23"/>
      <c r="L22" s="9"/>
      <c r="M22" s="11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2"/>
    </row>
    <row r="23" spans="1:27" ht="16.5" customHeight="1">
      <c r="A23" s="23">
        <v>16</v>
      </c>
      <c r="B23" s="93"/>
      <c r="C23" s="24">
        <v>8809576261202</v>
      </c>
      <c r="D23" s="24" t="s">
        <v>196</v>
      </c>
      <c r="E23" s="25" t="s">
        <v>27</v>
      </c>
      <c r="F23" s="119">
        <v>3572.2</v>
      </c>
      <c r="G23" s="65"/>
      <c r="H23" s="137">
        <v>200</v>
      </c>
      <c r="I23" s="65">
        <f t="shared" si="0"/>
        <v>0</v>
      </c>
      <c r="J23" s="71">
        <f t="shared" si="1"/>
        <v>0</v>
      </c>
      <c r="K23" s="23"/>
      <c r="L23" s="9"/>
      <c r="M23" s="11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2"/>
    </row>
    <row r="24" spans="1:27" ht="16.5" customHeight="1">
      <c r="A24" s="23">
        <v>17</v>
      </c>
      <c r="B24" s="93"/>
      <c r="C24" s="24">
        <v>8809576260441</v>
      </c>
      <c r="D24" s="24" t="s">
        <v>197</v>
      </c>
      <c r="E24" s="25" t="s">
        <v>28</v>
      </c>
      <c r="F24" s="119">
        <v>11850.8</v>
      </c>
      <c r="G24" s="65"/>
      <c r="H24" s="137">
        <v>52</v>
      </c>
      <c r="I24" s="65">
        <f t="shared" si="0"/>
        <v>0</v>
      </c>
      <c r="J24" s="71">
        <f t="shared" si="1"/>
        <v>0</v>
      </c>
      <c r="K24" s="23" t="s">
        <v>15</v>
      </c>
      <c r="L24" s="9"/>
      <c r="M24" s="11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2"/>
    </row>
    <row r="25" spans="1:27" ht="16.5" customHeight="1">
      <c r="A25" s="23">
        <v>18</v>
      </c>
      <c r="B25" s="93"/>
      <c r="C25" s="24">
        <v>8809576261318</v>
      </c>
      <c r="D25" s="24" t="s">
        <v>198</v>
      </c>
      <c r="E25" s="25" t="s">
        <v>29</v>
      </c>
      <c r="F25" s="119">
        <v>4536.8</v>
      </c>
      <c r="G25" s="65"/>
      <c r="H25" s="137">
        <v>200</v>
      </c>
      <c r="I25" s="65">
        <f t="shared" si="0"/>
        <v>0</v>
      </c>
      <c r="J25" s="71">
        <f t="shared" si="1"/>
        <v>0</v>
      </c>
      <c r="K25" s="23"/>
      <c r="L25" s="9"/>
      <c r="M25" s="117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2"/>
    </row>
    <row r="26" spans="1:27" ht="16.5" customHeight="1">
      <c r="A26" s="23">
        <v>19</v>
      </c>
      <c r="B26" s="93"/>
      <c r="C26" s="24">
        <v>8809576261608</v>
      </c>
      <c r="D26" s="24" t="s">
        <v>199</v>
      </c>
      <c r="E26" s="25" t="s">
        <v>30</v>
      </c>
      <c r="F26" s="118">
        <v>9518.7999999999993</v>
      </c>
      <c r="G26" s="65"/>
      <c r="H26" s="137">
        <v>50</v>
      </c>
      <c r="I26" s="65">
        <f t="shared" si="0"/>
        <v>0</v>
      </c>
      <c r="J26" s="71">
        <f t="shared" si="1"/>
        <v>0</v>
      </c>
      <c r="K26" s="23" t="s">
        <v>323</v>
      </c>
      <c r="L26" s="9"/>
      <c r="M26" s="11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2"/>
    </row>
    <row r="27" spans="1:27" ht="16.5" customHeight="1">
      <c r="A27" s="23">
        <v>20</v>
      </c>
      <c r="B27" s="93"/>
      <c r="C27" s="24">
        <v>8809576261301</v>
      </c>
      <c r="D27" s="24" t="s">
        <v>200</v>
      </c>
      <c r="E27" s="25" t="s">
        <v>31</v>
      </c>
      <c r="F27" s="119">
        <v>9741.4</v>
      </c>
      <c r="G27" s="65"/>
      <c r="H27" s="137">
        <v>100</v>
      </c>
      <c r="I27" s="65">
        <f t="shared" si="0"/>
        <v>0</v>
      </c>
      <c r="J27" s="71">
        <f t="shared" si="1"/>
        <v>0</v>
      </c>
      <c r="K27" s="23" t="s">
        <v>15</v>
      </c>
      <c r="L27" s="9"/>
      <c r="M27" s="117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2"/>
    </row>
    <row r="28" spans="1:27" ht="16.5" customHeight="1">
      <c r="A28" s="23">
        <v>21</v>
      </c>
      <c r="B28" s="93"/>
      <c r="C28" s="24" t="s">
        <v>32</v>
      </c>
      <c r="D28" s="24" t="s">
        <v>201</v>
      </c>
      <c r="E28" s="25" t="s">
        <v>33</v>
      </c>
      <c r="F28" s="121">
        <v>318</v>
      </c>
      <c r="G28" s="65"/>
      <c r="H28" s="137">
        <v>100</v>
      </c>
      <c r="I28" s="65">
        <f t="shared" si="0"/>
        <v>0</v>
      </c>
      <c r="J28" s="71">
        <f t="shared" si="1"/>
        <v>0</v>
      </c>
      <c r="K28" s="23"/>
      <c r="L28" s="9"/>
      <c r="M28" s="11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2"/>
    </row>
    <row r="29" spans="1:27" ht="16.5" customHeight="1">
      <c r="A29" s="23">
        <v>22</v>
      </c>
      <c r="B29" s="93"/>
      <c r="C29" s="24" t="s">
        <v>34</v>
      </c>
      <c r="D29" s="24" t="s">
        <v>202</v>
      </c>
      <c r="E29" s="25" t="s">
        <v>35</v>
      </c>
      <c r="F29" s="121">
        <v>318</v>
      </c>
      <c r="G29" s="65"/>
      <c r="H29" s="137">
        <v>100</v>
      </c>
      <c r="I29" s="65">
        <f t="shared" si="0"/>
        <v>0</v>
      </c>
      <c r="J29" s="71">
        <f t="shared" si="1"/>
        <v>0</v>
      </c>
      <c r="K29" s="23"/>
      <c r="L29" s="9"/>
      <c r="M29" s="117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2"/>
    </row>
    <row r="30" spans="1:27" ht="16.5" customHeight="1">
      <c r="A30" s="23">
        <v>23</v>
      </c>
      <c r="B30" s="93"/>
      <c r="C30" s="24" t="s">
        <v>36</v>
      </c>
      <c r="D30" s="24" t="s">
        <v>203</v>
      </c>
      <c r="E30" s="25" t="s">
        <v>37</v>
      </c>
      <c r="F30" s="121">
        <v>318</v>
      </c>
      <c r="G30" s="65"/>
      <c r="H30" s="137">
        <v>100</v>
      </c>
      <c r="I30" s="65">
        <f t="shared" si="0"/>
        <v>0</v>
      </c>
      <c r="J30" s="71">
        <f t="shared" si="1"/>
        <v>0</v>
      </c>
      <c r="K30" s="23"/>
      <c r="L30" s="9"/>
      <c r="M30" s="117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2"/>
    </row>
    <row r="31" spans="1:27" ht="16.5" customHeight="1">
      <c r="A31" s="23">
        <v>24</v>
      </c>
      <c r="B31" s="93"/>
      <c r="C31" s="24" t="s">
        <v>38</v>
      </c>
      <c r="D31" s="24" t="s">
        <v>204</v>
      </c>
      <c r="E31" s="25" t="s">
        <v>39</v>
      </c>
      <c r="F31" s="121">
        <v>318</v>
      </c>
      <c r="G31" s="65"/>
      <c r="H31" s="137">
        <v>100</v>
      </c>
      <c r="I31" s="65">
        <f t="shared" si="0"/>
        <v>0</v>
      </c>
      <c r="J31" s="71">
        <f t="shared" si="1"/>
        <v>0</v>
      </c>
      <c r="K31" s="23"/>
      <c r="L31" s="9"/>
      <c r="M31" s="117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2"/>
    </row>
    <row r="32" spans="1:27" ht="16.5" customHeight="1">
      <c r="A32" s="23">
        <v>25</v>
      </c>
      <c r="B32" s="93"/>
      <c r="C32" s="24" t="s">
        <v>40</v>
      </c>
      <c r="D32" s="24" t="s">
        <v>205</v>
      </c>
      <c r="E32" s="25" t="s">
        <v>41</v>
      </c>
      <c r="F32" s="121">
        <v>318</v>
      </c>
      <c r="G32" s="65"/>
      <c r="H32" s="137">
        <v>100</v>
      </c>
      <c r="I32" s="65">
        <f t="shared" si="0"/>
        <v>0</v>
      </c>
      <c r="J32" s="71">
        <f t="shared" si="1"/>
        <v>0</v>
      </c>
      <c r="K32" s="23"/>
      <c r="L32" s="9"/>
      <c r="M32" s="117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2"/>
    </row>
    <row r="33" spans="1:27" ht="16.5" customHeight="1">
      <c r="A33" s="23">
        <v>26</v>
      </c>
      <c r="B33" s="93"/>
      <c r="C33" s="24" t="s">
        <v>42</v>
      </c>
      <c r="D33" s="24" t="s">
        <v>206</v>
      </c>
      <c r="E33" s="25" t="s">
        <v>43</v>
      </c>
      <c r="F33" s="121">
        <v>318</v>
      </c>
      <c r="G33" s="65"/>
      <c r="H33" s="137">
        <v>100</v>
      </c>
      <c r="I33" s="65">
        <f t="shared" si="0"/>
        <v>0</v>
      </c>
      <c r="J33" s="71">
        <f t="shared" si="1"/>
        <v>0</v>
      </c>
      <c r="K33" s="23"/>
      <c r="L33" s="9"/>
      <c r="M33" s="117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2"/>
    </row>
    <row r="34" spans="1:27" ht="16.5" customHeight="1">
      <c r="A34" s="23">
        <v>27</v>
      </c>
      <c r="B34" s="94"/>
      <c r="C34" s="24" t="s">
        <v>44</v>
      </c>
      <c r="D34" s="24" t="s">
        <v>207</v>
      </c>
      <c r="E34" s="25" t="s">
        <v>45</v>
      </c>
      <c r="F34" s="121">
        <v>318</v>
      </c>
      <c r="G34" s="65"/>
      <c r="H34" s="137">
        <v>100</v>
      </c>
      <c r="I34" s="65">
        <f t="shared" si="0"/>
        <v>0</v>
      </c>
      <c r="J34" s="71">
        <f t="shared" si="1"/>
        <v>0</v>
      </c>
      <c r="K34" s="23"/>
      <c r="L34" s="9"/>
      <c r="M34" s="117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2"/>
    </row>
    <row r="35" spans="1:27" s="78" customFormat="1" ht="23.25" customHeight="1">
      <c r="A35" s="79">
        <v>28</v>
      </c>
      <c r="B35" s="96" t="s">
        <v>327</v>
      </c>
      <c r="C35" s="72">
        <v>8809913834540</v>
      </c>
      <c r="D35" s="73" t="s">
        <v>328</v>
      </c>
      <c r="E35" s="74" t="s">
        <v>329</v>
      </c>
      <c r="F35" s="121">
        <v>10483.4</v>
      </c>
      <c r="G35" s="65"/>
      <c r="H35" s="138">
        <v>40</v>
      </c>
      <c r="I35" s="65">
        <f t="shared" si="0"/>
        <v>0</v>
      </c>
      <c r="J35" s="71">
        <f t="shared" si="1"/>
        <v>0</v>
      </c>
      <c r="K35" s="75" t="s">
        <v>330</v>
      </c>
      <c r="L35" s="76"/>
      <c r="M35" s="11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</row>
    <row r="36" spans="1:27" s="78" customFormat="1" ht="23.25" customHeight="1">
      <c r="A36" s="79">
        <v>29</v>
      </c>
      <c r="B36" s="96"/>
      <c r="C36" s="72">
        <v>8809913834557</v>
      </c>
      <c r="D36" s="73" t="s">
        <v>331</v>
      </c>
      <c r="E36" s="74" t="s">
        <v>332</v>
      </c>
      <c r="F36" s="121">
        <v>7292.8</v>
      </c>
      <c r="G36" s="65"/>
      <c r="H36" s="138">
        <v>50</v>
      </c>
      <c r="I36" s="65">
        <f t="shared" si="0"/>
        <v>0</v>
      </c>
      <c r="J36" s="71">
        <f t="shared" si="1"/>
        <v>0</v>
      </c>
      <c r="K36" s="75" t="s">
        <v>330</v>
      </c>
      <c r="L36" s="76"/>
      <c r="M36" s="11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</row>
    <row r="37" spans="1:27" s="78" customFormat="1" ht="23.25" customHeight="1">
      <c r="A37" s="79">
        <v>30</v>
      </c>
      <c r="B37" s="96"/>
      <c r="C37" s="72">
        <v>8809913834571</v>
      </c>
      <c r="D37" s="73" t="s">
        <v>333</v>
      </c>
      <c r="E37" s="74" t="s">
        <v>334</v>
      </c>
      <c r="F37" s="121">
        <v>9200.7999999999993</v>
      </c>
      <c r="G37" s="65"/>
      <c r="H37" s="138">
        <v>48</v>
      </c>
      <c r="I37" s="65">
        <f t="shared" si="0"/>
        <v>0</v>
      </c>
      <c r="J37" s="71">
        <f t="shared" si="1"/>
        <v>0</v>
      </c>
      <c r="K37" s="75" t="s">
        <v>330</v>
      </c>
      <c r="L37" s="76"/>
      <c r="M37" s="11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</row>
    <row r="38" spans="1:27" ht="16.5" customHeight="1">
      <c r="A38" s="51">
        <v>31</v>
      </c>
      <c r="B38" s="108" t="s">
        <v>46</v>
      </c>
      <c r="C38" s="27">
        <v>8809576260700</v>
      </c>
      <c r="D38" s="27" t="s">
        <v>208</v>
      </c>
      <c r="E38" s="28" t="s">
        <v>47</v>
      </c>
      <c r="F38" s="122">
        <v>9900.4</v>
      </c>
      <c r="G38" s="65"/>
      <c r="H38" s="139">
        <v>40</v>
      </c>
      <c r="I38" s="65">
        <f t="shared" si="0"/>
        <v>0</v>
      </c>
      <c r="J38" s="71">
        <f t="shared" si="1"/>
        <v>0</v>
      </c>
      <c r="K38" s="26"/>
      <c r="L38" s="9"/>
      <c r="M38" s="117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2"/>
    </row>
    <row r="39" spans="1:27" ht="16.5" customHeight="1">
      <c r="A39" s="51">
        <v>32</v>
      </c>
      <c r="B39" s="109"/>
      <c r="C39" s="27">
        <v>8809576261073</v>
      </c>
      <c r="D39" s="27" t="s">
        <v>209</v>
      </c>
      <c r="E39" s="28" t="s">
        <v>48</v>
      </c>
      <c r="F39" s="122">
        <v>4059.8</v>
      </c>
      <c r="G39" s="65"/>
      <c r="H39" s="139">
        <v>120</v>
      </c>
      <c r="I39" s="65">
        <f t="shared" si="0"/>
        <v>0</v>
      </c>
      <c r="J39" s="71">
        <f t="shared" si="1"/>
        <v>0</v>
      </c>
      <c r="K39" s="26"/>
      <c r="L39" s="9"/>
      <c r="M39" s="117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2"/>
    </row>
    <row r="40" spans="1:27" ht="16.5" customHeight="1">
      <c r="A40" s="51">
        <v>33</v>
      </c>
      <c r="B40" s="109"/>
      <c r="C40" s="27">
        <v>8809913830191</v>
      </c>
      <c r="D40" s="27" t="s">
        <v>210</v>
      </c>
      <c r="E40" s="28" t="s">
        <v>49</v>
      </c>
      <c r="F40" s="122">
        <v>9741.4</v>
      </c>
      <c r="G40" s="65"/>
      <c r="H40" s="139">
        <v>50</v>
      </c>
      <c r="I40" s="65">
        <f t="shared" si="0"/>
        <v>0</v>
      </c>
      <c r="J40" s="71">
        <f t="shared" si="1"/>
        <v>0</v>
      </c>
      <c r="K40" s="26"/>
      <c r="L40" s="9"/>
      <c r="M40" s="117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2"/>
    </row>
    <row r="41" spans="1:27" ht="16.5" customHeight="1">
      <c r="A41" s="51">
        <v>34</v>
      </c>
      <c r="B41" s="109"/>
      <c r="C41" s="27">
        <v>8809576261486</v>
      </c>
      <c r="D41" s="27" t="s">
        <v>211</v>
      </c>
      <c r="E41" s="28" t="s">
        <v>50</v>
      </c>
      <c r="F41" s="122">
        <v>12508</v>
      </c>
      <c r="G41" s="65"/>
      <c r="H41" s="139">
        <v>50</v>
      </c>
      <c r="I41" s="65">
        <f t="shared" si="0"/>
        <v>0</v>
      </c>
      <c r="J41" s="71">
        <f t="shared" si="1"/>
        <v>0</v>
      </c>
      <c r="K41" s="26" t="s">
        <v>15</v>
      </c>
      <c r="L41" s="9"/>
      <c r="M41" s="117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2"/>
    </row>
    <row r="42" spans="1:27" ht="16.5" customHeight="1">
      <c r="A42" s="51">
        <v>35</v>
      </c>
      <c r="B42" s="109"/>
      <c r="C42" s="27">
        <v>8809913830139</v>
      </c>
      <c r="D42" s="27" t="s">
        <v>212</v>
      </c>
      <c r="E42" s="28" t="s">
        <v>51</v>
      </c>
      <c r="F42" s="122">
        <v>8119.6</v>
      </c>
      <c r="G42" s="65"/>
      <c r="H42" s="139">
        <v>50</v>
      </c>
      <c r="I42" s="65">
        <f t="shared" si="0"/>
        <v>0</v>
      </c>
      <c r="J42" s="71">
        <f t="shared" si="1"/>
        <v>0</v>
      </c>
      <c r="K42" s="26"/>
      <c r="L42" s="9"/>
      <c r="M42" s="117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2"/>
    </row>
    <row r="43" spans="1:27" ht="16.5" customHeight="1">
      <c r="A43" s="51">
        <v>36</v>
      </c>
      <c r="B43" s="109"/>
      <c r="C43" s="27">
        <v>8809576260717</v>
      </c>
      <c r="D43" s="27" t="s">
        <v>213</v>
      </c>
      <c r="E43" s="28" t="s">
        <v>52</v>
      </c>
      <c r="F43" s="122">
        <v>10059.4</v>
      </c>
      <c r="G43" s="65"/>
      <c r="H43" s="139">
        <v>50</v>
      </c>
      <c r="I43" s="65">
        <f t="shared" si="0"/>
        <v>0</v>
      </c>
      <c r="J43" s="71">
        <f t="shared" si="1"/>
        <v>0</v>
      </c>
      <c r="K43" s="26" t="s">
        <v>15</v>
      </c>
      <c r="L43" s="9"/>
      <c r="M43" s="117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2"/>
    </row>
    <row r="44" spans="1:27" ht="16.5" customHeight="1">
      <c r="A44" s="51">
        <v>37</v>
      </c>
      <c r="B44" s="109"/>
      <c r="C44" s="27">
        <v>8809576261059</v>
      </c>
      <c r="D44" s="27" t="s">
        <v>214</v>
      </c>
      <c r="E44" s="28" t="s">
        <v>53</v>
      </c>
      <c r="F44" s="122">
        <v>6487.2</v>
      </c>
      <c r="G44" s="65"/>
      <c r="H44" s="139">
        <v>120</v>
      </c>
      <c r="I44" s="65">
        <f t="shared" si="0"/>
        <v>0</v>
      </c>
      <c r="J44" s="71">
        <f t="shared" si="1"/>
        <v>0</v>
      </c>
      <c r="K44" s="26"/>
      <c r="L44" s="9"/>
      <c r="M44" s="117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2"/>
    </row>
    <row r="45" spans="1:27" ht="16.5" customHeight="1">
      <c r="A45" s="51">
        <v>38</v>
      </c>
      <c r="B45" s="109"/>
      <c r="C45" s="27">
        <v>8809576260724</v>
      </c>
      <c r="D45" s="27" t="s">
        <v>215</v>
      </c>
      <c r="E45" s="28" t="s">
        <v>54</v>
      </c>
      <c r="F45" s="122">
        <v>9741.4</v>
      </c>
      <c r="G45" s="65"/>
      <c r="H45" s="139">
        <v>50</v>
      </c>
      <c r="I45" s="65">
        <f t="shared" si="0"/>
        <v>0</v>
      </c>
      <c r="J45" s="71">
        <f t="shared" si="1"/>
        <v>0</v>
      </c>
      <c r="K45" s="26"/>
      <c r="L45" s="9"/>
      <c r="M45" s="117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2"/>
    </row>
    <row r="46" spans="1:27" ht="16.5" customHeight="1">
      <c r="A46" s="51">
        <v>39</v>
      </c>
      <c r="B46" s="109"/>
      <c r="C46" s="27">
        <v>8809576261004</v>
      </c>
      <c r="D46" s="27" t="s">
        <v>216</v>
      </c>
      <c r="E46" s="28" t="s">
        <v>55</v>
      </c>
      <c r="F46" s="122">
        <v>4059.8</v>
      </c>
      <c r="G46" s="65"/>
      <c r="H46" s="139">
        <v>120</v>
      </c>
      <c r="I46" s="65">
        <f t="shared" si="0"/>
        <v>0</v>
      </c>
      <c r="J46" s="71">
        <f t="shared" si="1"/>
        <v>0</v>
      </c>
      <c r="K46" s="26"/>
      <c r="L46" s="9"/>
      <c r="M46" s="117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2"/>
    </row>
    <row r="47" spans="1:27" ht="16.5" customHeight="1">
      <c r="A47" s="51">
        <v>40</v>
      </c>
      <c r="B47" s="109"/>
      <c r="C47" s="27">
        <v>8809576261493</v>
      </c>
      <c r="D47" s="27" t="s">
        <v>217</v>
      </c>
      <c r="E47" s="28" t="s">
        <v>56</v>
      </c>
      <c r="F47" s="122">
        <v>11045.2</v>
      </c>
      <c r="G47" s="65"/>
      <c r="H47" s="139">
        <v>40</v>
      </c>
      <c r="I47" s="65">
        <f t="shared" si="0"/>
        <v>0</v>
      </c>
      <c r="J47" s="71">
        <f t="shared" si="1"/>
        <v>0</v>
      </c>
      <c r="K47" s="26"/>
      <c r="L47" s="9"/>
      <c r="M47" s="117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2"/>
    </row>
    <row r="48" spans="1:27" ht="16.5" customHeight="1">
      <c r="A48" s="51">
        <v>41</v>
      </c>
      <c r="B48" s="109"/>
      <c r="C48" s="27">
        <v>8809913830603</v>
      </c>
      <c r="D48" s="27" t="s">
        <v>218</v>
      </c>
      <c r="E48" s="28" t="s">
        <v>57</v>
      </c>
      <c r="F48" s="118">
        <v>16133.2</v>
      </c>
      <c r="G48" s="65"/>
      <c r="H48" s="139">
        <v>50</v>
      </c>
      <c r="I48" s="65">
        <f t="shared" si="0"/>
        <v>0</v>
      </c>
      <c r="J48" s="71">
        <f t="shared" si="1"/>
        <v>0</v>
      </c>
      <c r="K48" s="26" t="s">
        <v>323</v>
      </c>
      <c r="L48" s="9"/>
      <c r="M48" s="117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2"/>
    </row>
    <row r="49" spans="1:27" ht="16.5" customHeight="1">
      <c r="A49" s="51">
        <v>42</v>
      </c>
      <c r="B49" s="109"/>
      <c r="C49" s="27">
        <v>8809576261592</v>
      </c>
      <c r="D49" s="27" t="s">
        <v>219</v>
      </c>
      <c r="E49" s="28" t="s">
        <v>58</v>
      </c>
      <c r="F49" s="118">
        <v>9359.7999999999993</v>
      </c>
      <c r="G49" s="65"/>
      <c r="H49" s="139">
        <v>50</v>
      </c>
      <c r="I49" s="65">
        <f t="shared" si="0"/>
        <v>0</v>
      </c>
      <c r="J49" s="71">
        <f t="shared" si="1"/>
        <v>0</v>
      </c>
      <c r="K49" s="26" t="s">
        <v>323</v>
      </c>
      <c r="L49" s="9"/>
      <c r="M49" s="117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2"/>
    </row>
    <row r="50" spans="1:27" ht="16.5" customHeight="1">
      <c r="A50" s="51">
        <v>43</v>
      </c>
      <c r="B50" s="109"/>
      <c r="C50" s="27">
        <v>8809913830061</v>
      </c>
      <c r="D50" s="27" t="s">
        <v>220</v>
      </c>
      <c r="E50" s="28" t="s">
        <v>59</v>
      </c>
      <c r="F50" s="118">
        <v>4123.3999999999996</v>
      </c>
      <c r="G50" s="65"/>
      <c r="H50" s="139">
        <v>117</v>
      </c>
      <c r="I50" s="65">
        <f t="shared" si="0"/>
        <v>0</v>
      </c>
      <c r="J50" s="71">
        <f t="shared" si="1"/>
        <v>0</v>
      </c>
      <c r="K50" s="26" t="s">
        <v>323</v>
      </c>
      <c r="L50" s="9"/>
      <c r="M50" s="117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2"/>
    </row>
    <row r="51" spans="1:27" ht="16.5" customHeight="1">
      <c r="A51" s="51">
        <v>44</v>
      </c>
      <c r="B51" s="109"/>
      <c r="C51" s="27">
        <v>8809913830122</v>
      </c>
      <c r="D51" s="27" t="s">
        <v>221</v>
      </c>
      <c r="E51" s="28" t="s">
        <v>60</v>
      </c>
      <c r="F51" s="118">
        <v>16843.400000000001</v>
      </c>
      <c r="G51" s="65"/>
      <c r="H51" s="139">
        <v>24</v>
      </c>
      <c r="I51" s="65">
        <f t="shared" si="0"/>
        <v>0</v>
      </c>
      <c r="J51" s="71">
        <f t="shared" si="1"/>
        <v>0</v>
      </c>
      <c r="K51" s="26" t="s">
        <v>323</v>
      </c>
      <c r="L51" s="9"/>
      <c r="M51" s="117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2"/>
    </row>
    <row r="52" spans="1:27" ht="16.5" customHeight="1">
      <c r="A52" s="51">
        <v>45</v>
      </c>
      <c r="B52" s="109"/>
      <c r="C52" s="27">
        <v>8809913830214</v>
      </c>
      <c r="D52" s="27" t="s">
        <v>222</v>
      </c>
      <c r="E52" s="28" t="s">
        <v>61</v>
      </c>
      <c r="F52" s="118">
        <v>9518.7999999999993</v>
      </c>
      <c r="G52" s="65"/>
      <c r="H52" s="139">
        <v>80</v>
      </c>
      <c r="I52" s="65">
        <f t="shared" si="0"/>
        <v>0</v>
      </c>
      <c r="J52" s="71">
        <f t="shared" si="1"/>
        <v>0</v>
      </c>
      <c r="K52" s="26" t="s">
        <v>323</v>
      </c>
      <c r="L52" s="9"/>
      <c r="M52" s="117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2"/>
    </row>
    <row r="53" spans="1:27" ht="16.5" customHeight="1">
      <c r="A53" s="51">
        <v>46</v>
      </c>
      <c r="B53" s="109"/>
      <c r="C53" s="27">
        <v>8809913830283</v>
      </c>
      <c r="D53" s="27" t="s">
        <v>223</v>
      </c>
      <c r="E53" s="28" t="s">
        <v>62</v>
      </c>
      <c r="F53" s="118">
        <v>5109.2</v>
      </c>
      <c r="G53" s="65"/>
      <c r="H53" s="139">
        <v>96</v>
      </c>
      <c r="I53" s="65">
        <f t="shared" si="0"/>
        <v>0</v>
      </c>
      <c r="J53" s="71">
        <f t="shared" si="1"/>
        <v>0</v>
      </c>
      <c r="K53" s="26" t="s">
        <v>323</v>
      </c>
      <c r="L53" s="9"/>
      <c r="M53" s="117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2"/>
    </row>
    <row r="54" spans="1:27" ht="16.5" customHeight="1">
      <c r="A54" s="51">
        <v>47</v>
      </c>
      <c r="B54" s="109"/>
      <c r="C54" s="27">
        <v>8809913832034</v>
      </c>
      <c r="D54" s="27" t="s">
        <v>224</v>
      </c>
      <c r="E54" s="28" t="s">
        <v>63</v>
      </c>
      <c r="F54" s="122">
        <v>1197.8</v>
      </c>
      <c r="G54" s="65"/>
      <c r="H54" s="139">
        <v>300</v>
      </c>
      <c r="I54" s="65">
        <f t="shared" si="0"/>
        <v>0</v>
      </c>
      <c r="J54" s="71">
        <f t="shared" si="1"/>
        <v>0</v>
      </c>
      <c r="K54" s="26"/>
      <c r="L54" s="9"/>
      <c r="M54" s="117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2"/>
    </row>
    <row r="55" spans="1:27" ht="16.5" customHeight="1">
      <c r="A55" s="51">
        <v>48</v>
      </c>
      <c r="B55" s="109"/>
      <c r="C55" s="27">
        <v>8809913832041</v>
      </c>
      <c r="D55" s="27" t="s">
        <v>225</v>
      </c>
      <c r="E55" s="28" t="s">
        <v>64</v>
      </c>
      <c r="F55" s="122">
        <v>5840.6</v>
      </c>
      <c r="G55" s="65"/>
      <c r="H55" s="139">
        <v>60</v>
      </c>
      <c r="I55" s="65">
        <f t="shared" si="0"/>
        <v>0</v>
      </c>
      <c r="J55" s="71">
        <f t="shared" si="1"/>
        <v>0</v>
      </c>
      <c r="K55" s="26"/>
      <c r="L55" s="9"/>
      <c r="M55" s="117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2"/>
    </row>
    <row r="56" spans="1:27" ht="16.5" customHeight="1">
      <c r="A56" s="51">
        <v>49</v>
      </c>
      <c r="B56" s="109"/>
      <c r="C56" s="27">
        <v>8809913832850</v>
      </c>
      <c r="D56" s="27" t="s">
        <v>226</v>
      </c>
      <c r="E56" s="28" t="s">
        <v>65</v>
      </c>
      <c r="F56" s="118">
        <v>10494</v>
      </c>
      <c r="G56" s="65"/>
      <c r="H56" s="139">
        <v>40</v>
      </c>
      <c r="I56" s="65">
        <f t="shared" si="0"/>
        <v>0</v>
      </c>
      <c r="J56" s="71">
        <f t="shared" si="1"/>
        <v>0</v>
      </c>
      <c r="K56" s="26"/>
      <c r="L56" s="9"/>
      <c r="M56" s="117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2"/>
    </row>
    <row r="57" spans="1:27" ht="16.5" customHeight="1">
      <c r="A57" s="51">
        <v>50</v>
      </c>
      <c r="B57" s="109"/>
      <c r="C57" s="27">
        <v>8809913833031</v>
      </c>
      <c r="D57" s="27" t="s">
        <v>227</v>
      </c>
      <c r="E57" s="28" t="s">
        <v>66</v>
      </c>
      <c r="F57" s="118">
        <v>10027.6</v>
      </c>
      <c r="G57" s="65"/>
      <c r="H57" s="139">
        <v>50</v>
      </c>
      <c r="I57" s="65">
        <f t="shared" si="0"/>
        <v>0</v>
      </c>
      <c r="J57" s="71">
        <f t="shared" si="1"/>
        <v>0</v>
      </c>
      <c r="K57" s="26"/>
      <c r="L57" s="9"/>
      <c r="M57" s="117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2"/>
    </row>
    <row r="58" spans="1:27" ht="16.5" customHeight="1">
      <c r="A58" s="51">
        <v>51</v>
      </c>
      <c r="B58" s="109"/>
      <c r="C58" s="27">
        <v>8809913833437</v>
      </c>
      <c r="D58" s="27" t="s">
        <v>309</v>
      </c>
      <c r="E58" s="28" t="s">
        <v>310</v>
      </c>
      <c r="F58" s="123">
        <v>15719.8</v>
      </c>
      <c r="G58" s="65"/>
      <c r="H58" s="139">
        <v>40</v>
      </c>
      <c r="I58" s="65">
        <f t="shared" si="0"/>
        <v>0</v>
      </c>
      <c r="J58" s="71">
        <f t="shared" si="1"/>
        <v>0</v>
      </c>
      <c r="K58" s="26"/>
      <c r="L58" s="9"/>
      <c r="M58" s="117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6.5" customHeight="1">
      <c r="A59" s="51">
        <v>52</v>
      </c>
      <c r="B59" s="109"/>
      <c r="C59" s="27" t="s">
        <v>67</v>
      </c>
      <c r="D59" s="27" t="s">
        <v>228</v>
      </c>
      <c r="E59" s="28" t="s">
        <v>68</v>
      </c>
      <c r="F59" s="124">
        <v>318</v>
      </c>
      <c r="G59" s="65"/>
      <c r="H59" s="139">
        <v>100</v>
      </c>
      <c r="I59" s="65">
        <f t="shared" si="0"/>
        <v>0</v>
      </c>
      <c r="J59" s="71">
        <f t="shared" si="1"/>
        <v>0</v>
      </c>
      <c r="K59" s="26"/>
      <c r="L59" s="9"/>
      <c r="M59" s="117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2"/>
    </row>
    <row r="60" spans="1:27" ht="16.5" customHeight="1">
      <c r="A60" s="51">
        <v>53</v>
      </c>
      <c r="B60" s="109"/>
      <c r="C60" s="27" t="s">
        <v>69</v>
      </c>
      <c r="D60" s="27" t="s">
        <v>229</v>
      </c>
      <c r="E60" s="28" t="s">
        <v>70</v>
      </c>
      <c r="F60" s="124">
        <v>318</v>
      </c>
      <c r="G60" s="65"/>
      <c r="H60" s="139">
        <v>100</v>
      </c>
      <c r="I60" s="65">
        <f t="shared" si="0"/>
        <v>0</v>
      </c>
      <c r="J60" s="71">
        <f t="shared" si="1"/>
        <v>0</v>
      </c>
      <c r="K60" s="26"/>
      <c r="L60" s="9"/>
      <c r="M60" s="117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2"/>
    </row>
    <row r="61" spans="1:27" ht="16.5" customHeight="1">
      <c r="A61" s="51">
        <v>54</v>
      </c>
      <c r="B61" s="109"/>
      <c r="C61" s="27" t="s">
        <v>71</v>
      </c>
      <c r="D61" s="27" t="s">
        <v>230</v>
      </c>
      <c r="E61" s="28" t="s">
        <v>72</v>
      </c>
      <c r="F61" s="124">
        <v>318</v>
      </c>
      <c r="G61" s="65"/>
      <c r="H61" s="139">
        <v>100</v>
      </c>
      <c r="I61" s="65">
        <f t="shared" si="0"/>
        <v>0</v>
      </c>
      <c r="J61" s="71">
        <f t="shared" si="1"/>
        <v>0</v>
      </c>
      <c r="K61" s="26"/>
      <c r="L61" s="9"/>
      <c r="M61" s="117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2"/>
    </row>
    <row r="62" spans="1:27" ht="16.5" customHeight="1">
      <c r="A62" s="51">
        <v>55</v>
      </c>
      <c r="B62" s="109"/>
      <c r="C62" s="27" t="s">
        <v>73</v>
      </c>
      <c r="D62" s="27" t="s">
        <v>231</v>
      </c>
      <c r="E62" s="28" t="s">
        <v>74</v>
      </c>
      <c r="F62" s="124">
        <v>318</v>
      </c>
      <c r="G62" s="65"/>
      <c r="H62" s="139">
        <v>100</v>
      </c>
      <c r="I62" s="65">
        <f t="shared" si="0"/>
        <v>0</v>
      </c>
      <c r="J62" s="71">
        <f t="shared" si="1"/>
        <v>0</v>
      </c>
      <c r="K62" s="26"/>
      <c r="L62" s="9"/>
      <c r="M62" s="11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2"/>
    </row>
    <row r="63" spans="1:27" ht="16.5" customHeight="1">
      <c r="A63" s="51">
        <v>56</v>
      </c>
      <c r="B63" s="109"/>
      <c r="C63" s="27" t="s">
        <v>75</v>
      </c>
      <c r="D63" s="27" t="s">
        <v>232</v>
      </c>
      <c r="E63" s="28" t="s">
        <v>76</v>
      </c>
      <c r="F63" s="124">
        <v>318</v>
      </c>
      <c r="G63" s="65"/>
      <c r="H63" s="139">
        <v>100</v>
      </c>
      <c r="I63" s="65">
        <f t="shared" si="0"/>
        <v>0</v>
      </c>
      <c r="J63" s="71">
        <f t="shared" si="1"/>
        <v>0</v>
      </c>
      <c r="K63" s="26"/>
      <c r="L63" s="9"/>
      <c r="M63" s="117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2"/>
    </row>
    <row r="64" spans="1:27" ht="16.5" customHeight="1">
      <c r="A64" s="51">
        <v>57</v>
      </c>
      <c r="B64" s="110"/>
      <c r="C64" s="27" t="s">
        <v>77</v>
      </c>
      <c r="D64" s="27" t="s">
        <v>233</v>
      </c>
      <c r="E64" s="28" t="s">
        <v>78</v>
      </c>
      <c r="F64" s="124">
        <v>318</v>
      </c>
      <c r="G64" s="65"/>
      <c r="H64" s="139">
        <v>100</v>
      </c>
      <c r="I64" s="65">
        <f t="shared" si="0"/>
        <v>0</v>
      </c>
      <c r="J64" s="71">
        <f t="shared" si="1"/>
        <v>0</v>
      </c>
      <c r="K64" s="26"/>
      <c r="L64" s="9"/>
      <c r="M64" s="11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2"/>
    </row>
    <row r="65" spans="1:27" ht="16.5" customHeight="1">
      <c r="A65" s="87">
        <v>58</v>
      </c>
      <c r="B65" s="97" t="s">
        <v>344</v>
      </c>
      <c r="C65" s="88">
        <v>8809913834847</v>
      </c>
      <c r="D65" s="88" t="s">
        <v>339</v>
      </c>
      <c r="E65" s="89" t="s">
        <v>341</v>
      </c>
      <c r="F65" s="124">
        <v>8999.4</v>
      </c>
      <c r="G65" s="65"/>
      <c r="H65" s="139">
        <v>50</v>
      </c>
      <c r="I65" s="65">
        <f>G65*H65</f>
        <v>0</v>
      </c>
      <c r="J65" s="90">
        <f t="shared" si="1"/>
        <v>0</v>
      </c>
      <c r="K65" s="91"/>
      <c r="L65" s="9"/>
      <c r="M65" s="117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2"/>
    </row>
    <row r="66" spans="1:27" ht="16.5" customHeight="1">
      <c r="A66" s="87">
        <v>59</v>
      </c>
      <c r="B66" s="97"/>
      <c r="C66" s="88">
        <v>8809913834861</v>
      </c>
      <c r="D66" s="88" t="s">
        <v>345</v>
      </c>
      <c r="E66" s="89" t="s">
        <v>342</v>
      </c>
      <c r="F66" s="124">
        <v>10091.200000000001</v>
      </c>
      <c r="G66" s="65"/>
      <c r="H66" s="139">
        <v>40</v>
      </c>
      <c r="I66" s="65">
        <f t="shared" si="0"/>
        <v>0</v>
      </c>
      <c r="J66" s="90">
        <f t="shared" si="1"/>
        <v>0</v>
      </c>
      <c r="K66" s="91"/>
      <c r="L66" s="9"/>
      <c r="M66" s="117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2"/>
    </row>
    <row r="67" spans="1:27" ht="16.5" customHeight="1">
      <c r="A67" s="87">
        <v>60</v>
      </c>
      <c r="B67" s="97"/>
      <c r="C67" s="88">
        <v>8809913834878</v>
      </c>
      <c r="D67" s="88" t="s">
        <v>340</v>
      </c>
      <c r="E67" s="89" t="s">
        <v>343</v>
      </c>
      <c r="F67" s="124">
        <v>9932.2000000000007</v>
      </c>
      <c r="G67" s="65"/>
      <c r="H67" s="139">
        <v>50</v>
      </c>
      <c r="I67" s="65">
        <f t="shared" si="0"/>
        <v>0</v>
      </c>
      <c r="J67" s="90">
        <f t="shared" si="1"/>
        <v>0</v>
      </c>
      <c r="K67" s="91"/>
      <c r="L67" s="9"/>
      <c r="M67" s="117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2"/>
    </row>
    <row r="68" spans="1:27" ht="16.5" customHeight="1">
      <c r="A68" s="52">
        <v>61</v>
      </c>
      <c r="B68" s="111" t="s">
        <v>79</v>
      </c>
      <c r="C68" s="30">
        <v>8809576261189</v>
      </c>
      <c r="D68" s="30" t="s">
        <v>234</v>
      </c>
      <c r="E68" s="31" t="s">
        <v>80</v>
      </c>
      <c r="F68" s="125">
        <v>7144.4</v>
      </c>
      <c r="G68" s="65"/>
      <c r="H68" s="140">
        <v>40</v>
      </c>
      <c r="I68" s="65">
        <f t="shared" si="0"/>
        <v>0</v>
      </c>
      <c r="J68" s="81">
        <f t="shared" si="1"/>
        <v>0</v>
      </c>
      <c r="K68" s="29"/>
      <c r="L68" s="9"/>
      <c r="M68" s="11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2"/>
    </row>
    <row r="69" spans="1:27" ht="16.5" customHeight="1">
      <c r="A69" s="52">
        <v>62</v>
      </c>
      <c r="B69" s="93"/>
      <c r="C69" s="30">
        <v>8809576261165</v>
      </c>
      <c r="D69" s="30" t="s">
        <v>235</v>
      </c>
      <c r="E69" s="31" t="s">
        <v>81</v>
      </c>
      <c r="F69" s="125">
        <v>9741.4</v>
      </c>
      <c r="G69" s="65"/>
      <c r="H69" s="140">
        <v>40</v>
      </c>
      <c r="I69" s="65">
        <f t="shared" si="0"/>
        <v>0</v>
      </c>
      <c r="J69" s="81">
        <f t="shared" si="1"/>
        <v>0</v>
      </c>
      <c r="K69" s="29"/>
      <c r="L69" s="9"/>
      <c r="M69" s="117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2"/>
    </row>
    <row r="70" spans="1:27" ht="16.5" customHeight="1">
      <c r="A70" s="52">
        <v>63</v>
      </c>
      <c r="B70" s="93"/>
      <c r="C70" s="30">
        <v>8809576261172</v>
      </c>
      <c r="D70" s="30" t="s">
        <v>236</v>
      </c>
      <c r="E70" s="31" t="s">
        <v>82</v>
      </c>
      <c r="F70" s="118">
        <v>10409.200000000001</v>
      </c>
      <c r="G70" s="65"/>
      <c r="H70" s="140">
        <v>50</v>
      </c>
      <c r="I70" s="65">
        <f t="shared" si="0"/>
        <v>0</v>
      </c>
      <c r="J70" s="81">
        <f t="shared" si="1"/>
        <v>0</v>
      </c>
      <c r="K70" s="29" t="s">
        <v>323</v>
      </c>
      <c r="L70" s="9"/>
      <c r="M70" s="117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2"/>
    </row>
    <row r="71" spans="1:27" ht="16.5" customHeight="1">
      <c r="A71" s="52">
        <v>64</v>
      </c>
      <c r="B71" s="93"/>
      <c r="C71" s="30">
        <v>8809913830627</v>
      </c>
      <c r="D71" s="30" t="s">
        <v>237</v>
      </c>
      <c r="E71" s="31" t="s">
        <v>83</v>
      </c>
      <c r="F71" s="118">
        <v>7282.2</v>
      </c>
      <c r="G71" s="65"/>
      <c r="H71" s="140">
        <v>50</v>
      </c>
      <c r="I71" s="65">
        <f t="shared" si="0"/>
        <v>0</v>
      </c>
      <c r="J71" s="81">
        <f t="shared" si="1"/>
        <v>0</v>
      </c>
      <c r="K71" s="29" t="s">
        <v>323</v>
      </c>
      <c r="L71" s="9"/>
      <c r="M71" s="117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2"/>
    </row>
    <row r="72" spans="1:27" ht="16.5" customHeight="1">
      <c r="A72" s="52">
        <v>65</v>
      </c>
      <c r="B72" s="93"/>
      <c r="C72" s="30">
        <v>8809576261417</v>
      </c>
      <c r="D72" s="30" t="s">
        <v>238</v>
      </c>
      <c r="E72" s="31" t="s">
        <v>84</v>
      </c>
      <c r="F72" s="125">
        <v>5363.6</v>
      </c>
      <c r="G72" s="65"/>
      <c r="H72" s="140">
        <v>144</v>
      </c>
      <c r="I72" s="65">
        <f t="shared" si="0"/>
        <v>0</v>
      </c>
      <c r="J72" s="81">
        <f t="shared" si="1"/>
        <v>0</v>
      </c>
      <c r="K72" s="29"/>
      <c r="L72" s="9"/>
      <c r="M72" s="117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2"/>
    </row>
    <row r="73" spans="1:27" ht="16.5" customHeight="1">
      <c r="A73" s="52">
        <v>66</v>
      </c>
      <c r="B73" s="93"/>
      <c r="C73" s="30">
        <v>8809576261615</v>
      </c>
      <c r="D73" s="30" t="s">
        <v>239</v>
      </c>
      <c r="E73" s="31" t="s">
        <v>85</v>
      </c>
      <c r="F73" s="125">
        <v>11861.4</v>
      </c>
      <c r="G73" s="65"/>
      <c r="H73" s="140">
        <v>40</v>
      </c>
      <c r="I73" s="65">
        <f t="shared" si="0"/>
        <v>0</v>
      </c>
      <c r="J73" s="81">
        <f t="shared" si="1"/>
        <v>0</v>
      </c>
      <c r="K73" s="29"/>
      <c r="L73" s="9"/>
      <c r="M73" s="11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2"/>
    </row>
    <row r="74" spans="1:27" ht="16.5" customHeight="1">
      <c r="A74" s="52">
        <v>67</v>
      </c>
      <c r="B74" s="93"/>
      <c r="C74" s="30">
        <v>8809913830931</v>
      </c>
      <c r="D74" s="30" t="s">
        <v>240</v>
      </c>
      <c r="E74" s="31" t="s">
        <v>86</v>
      </c>
      <c r="F74" s="125">
        <v>1197.8</v>
      </c>
      <c r="G74" s="65"/>
      <c r="H74" s="140">
        <v>300</v>
      </c>
      <c r="I74" s="65">
        <f t="shared" si="0"/>
        <v>0</v>
      </c>
      <c r="J74" s="81">
        <f t="shared" si="1"/>
        <v>0</v>
      </c>
      <c r="K74" s="29"/>
      <c r="L74" s="9"/>
      <c r="M74" s="117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2"/>
    </row>
    <row r="75" spans="1:27" ht="16.5" customHeight="1">
      <c r="A75" s="52">
        <v>68</v>
      </c>
      <c r="B75" s="93"/>
      <c r="C75" s="30">
        <v>8809913831440</v>
      </c>
      <c r="D75" s="30" t="s">
        <v>241</v>
      </c>
      <c r="E75" s="31" t="s">
        <v>87</v>
      </c>
      <c r="F75" s="125">
        <v>5840.6</v>
      </c>
      <c r="G75" s="65"/>
      <c r="H75" s="140">
        <v>60</v>
      </c>
      <c r="I75" s="65">
        <f t="shared" si="0"/>
        <v>0</v>
      </c>
      <c r="J75" s="81">
        <f t="shared" si="1"/>
        <v>0</v>
      </c>
      <c r="K75" s="29"/>
      <c r="L75" s="9"/>
      <c r="M75" s="117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2"/>
    </row>
    <row r="76" spans="1:27" ht="16.5" customHeight="1">
      <c r="A76" s="52">
        <v>69</v>
      </c>
      <c r="B76" s="93"/>
      <c r="C76" s="30">
        <v>8809576261622</v>
      </c>
      <c r="D76" s="30" t="s">
        <v>242</v>
      </c>
      <c r="E76" s="31" t="s">
        <v>88</v>
      </c>
      <c r="F76" s="118">
        <v>9518.7999999999993</v>
      </c>
      <c r="G76" s="65"/>
      <c r="H76" s="140">
        <v>50</v>
      </c>
      <c r="I76" s="65">
        <f t="shared" si="0"/>
        <v>0</v>
      </c>
      <c r="J76" s="81">
        <f t="shared" si="1"/>
        <v>0</v>
      </c>
      <c r="K76" s="29" t="s">
        <v>323</v>
      </c>
      <c r="L76" s="9"/>
      <c r="M76" s="117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2"/>
    </row>
    <row r="77" spans="1:27" ht="16.5" customHeight="1">
      <c r="A77" s="52">
        <v>70</v>
      </c>
      <c r="B77" s="93"/>
      <c r="C77" s="30">
        <v>8809913833048</v>
      </c>
      <c r="D77" s="30" t="s">
        <v>243</v>
      </c>
      <c r="E77" s="31" t="s">
        <v>89</v>
      </c>
      <c r="F77" s="118">
        <v>10536.4</v>
      </c>
      <c r="G77" s="65"/>
      <c r="H77" s="140">
        <v>50</v>
      </c>
      <c r="I77" s="65">
        <f t="shared" si="0"/>
        <v>0</v>
      </c>
      <c r="J77" s="81">
        <f t="shared" si="1"/>
        <v>0</v>
      </c>
      <c r="K77" s="29" t="s">
        <v>324</v>
      </c>
      <c r="L77" s="9"/>
      <c r="M77" s="117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2"/>
    </row>
    <row r="78" spans="1:27" ht="16.5" customHeight="1">
      <c r="A78" s="52">
        <v>71</v>
      </c>
      <c r="B78" s="93"/>
      <c r="C78" s="30">
        <v>8809913833444</v>
      </c>
      <c r="D78" s="30" t="s">
        <v>311</v>
      </c>
      <c r="E78" s="31" t="s">
        <v>312</v>
      </c>
      <c r="F78" s="123">
        <v>15115.6</v>
      </c>
      <c r="G78" s="65"/>
      <c r="H78" s="140">
        <v>40</v>
      </c>
      <c r="I78" s="65">
        <f t="shared" si="0"/>
        <v>0</v>
      </c>
      <c r="J78" s="81">
        <f t="shared" si="1"/>
        <v>0</v>
      </c>
      <c r="K78" s="29"/>
      <c r="L78" s="9"/>
      <c r="M78" s="117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6.5" customHeight="1">
      <c r="A79" s="52">
        <v>72</v>
      </c>
      <c r="B79" s="93"/>
      <c r="C79" s="30" t="s">
        <v>90</v>
      </c>
      <c r="D79" s="30" t="s">
        <v>244</v>
      </c>
      <c r="E79" s="31" t="s">
        <v>91</v>
      </c>
      <c r="F79" s="126">
        <v>318</v>
      </c>
      <c r="G79" s="65"/>
      <c r="H79" s="140">
        <v>100</v>
      </c>
      <c r="I79" s="65">
        <f t="shared" si="0"/>
        <v>0</v>
      </c>
      <c r="J79" s="81">
        <f t="shared" si="1"/>
        <v>0</v>
      </c>
      <c r="K79" s="29"/>
      <c r="L79" s="9"/>
      <c r="M79" s="117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2"/>
    </row>
    <row r="80" spans="1:27" ht="16.5" customHeight="1">
      <c r="A80" s="52">
        <v>73</v>
      </c>
      <c r="B80" s="93"/>
      <c r="C80" s="30" t="s">
        <v>92</v>
      </c>
      <c r="D80" s="30" t="s">
        <v>245</v>
      </c>
      <c r="E80" s="31" t="s">
        <v>93</v>
      </c>
      <c r="F80" s="126">
        <v>318</v>
      </c>
      <c r="G80" s="65"/>
      <c r="H80" s="140">
        <v>100</v>
      </c>
      <c r="I80" s="65">
        <f t="shared" si="0"/>
        <v>0</v>
      </c>
      <c r="J80" s="81">
        <f t="shared" si="1"/>
        <v>0</v>
      </c>
      <c r="K80" s="29"/>
      <c r="L80" s="9"/>
      <c r="M80" s="117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2"/>
    </row>
    <row r="81" spans="1:27" ht="16.5" customHeight="1">
      <c r="A81" s="52">
        <v>74</v>
      </c>
      <c r="B81" s="93"/>
      <c r="C81" s="30" t="s">
        <v>94</v>
      </c>
      <c r="D81" s="30" t="s">
        <v>246</v>
      </c>
      <c r="E81" s="31" t="s">
        <v>95</v>
      </c>
      <c r="F81" s="126">
        <v>318</v>
      </c>
      <c r="G81" s="65"/>
      <c r="H81" s="140">
        <v>100</v>
      </c>
      <c r="I81" s="65">
        <f t="shared" si="0"/>
        <v>0</v>
      </c>
      <c r="J81" s="81">
        <f t="shared" si="1"/>
        <v>0</v>
      </c>
      <c r="K81" s="29"/>
      <c r="L81" s="9"/>
      <c r="M81" s="117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2"/>
    </row>
    <row r="82" spans="1:27" ht="16.5" customHeight="1">
      <c r="A82" s="52">
        <v>75</v>
      </c>
      <c r="B82" s="94"/>
      <c r="C82" s="30" t="s">
        <v>96</v>
      </c>
      <c r="D82" s="30" t="s">
        <v>247</v>
      </c>
      <c r="E82" s="31" t="s">
        <v>97</v>
      </c>
      <c r="F82" s="126">
        <v>318</v>
      </c>
      <c r="G82" s="65"/>
      <c r="H82" s="140">
        <v>100</v>
      </c>
      <c r="I82" s="65">
        <f t="shared" si="0"/>
        <v>0</v>
      </c>
      <c r="J82" s="81">
        <f t="shared" si="1"/>
        <v>0</v>
      </c>
      <c r="K82" s="29"/>
      <c r="L82" s="9"/>
      <c r="M82" s="117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2"/>
    </row>
    <row r="83" spans="1:27" ht="16.5" customHeight="1">
      <c r="A83" s="53">
        <v>76</v>
      </c>
      <c r="B83" s="112" t="s">
        <v>98</v>
      </c>
      <c r="C83" s="33">
        <v>8809576261653</v>
      </c>
      <c r="D83" s="33" t="s">
        <v>248</v>
      </c>
      <c r="E83" s="34" t="s">
        <v>99</v>
      </c>
      <c r="F83" s="127">
        <v>7462.4</v>
      </c>
      <c r="G83" s="65"/>
      <c r="H83" s="141">
        <v>40</v>
      </c>
      <c r="I83" s="65">
        <f t="shared" si="0"/>
        <v>0</v>
      </c>
      <c r="J83" s="82">
        <f t="shared" si="1"/>
        <v>0</v>
      </c>
      <c r="K83" s="32" t="s">
        <v>15</v>
      </c>
      <c r="L83" s="9"/>
      <c r="M83" s="117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2"/>
    </row>
    <row r="84" spans="1:27" ht="16.5" customHeight="1">
      <c r="A84" s="53">
        <v>77</v>
      </c>
      <c r="B84" s="93"/>
      <c r="C84" s="33">
        <v>8809576261455</v>
      </c>
      <c r="D84" s="33" t="s">
        <v>249</v>
      </c>
      <c r="E84" s="34" t="s">
        <v>100</v>
      </c>
      <c r="F84" s="127">
        <v>9253.7999999999993</v>
      </c>
      <c r="G84" s="65"/>
      <c r="H84" s="141">
        <v>40</v>
      </c>
      <c r="I84" s="65">
        <f t="shared" si="0"/>
        <v>0</v>
      </c>
      <c r="J84" s="82">
        <f t="shared" si="1"/>
        <v>0</v>
      </c>
      <c r="K84" s="32"/>
      <c r="L84" s="9"/>
      <c r="M84" s="117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2"/>
    </row>
    <row r="85" spans="1:27" ht="16.5" customHeight="1">
      <c r="A85" s="53">
        <v>78</v>
      </c>
      <c r="B85" s="93"/>
      <c r="C85" s="33">
        <v>8809576261462</v>
      </c>
      <c r="D85" s="33" t="s">
        <v>250</v>
      </c>
      <c r="E85" s="34" t="s">
        <v>101</v>
      </c>
      <c r="F85" s="123">
        <v>9020.6</v>
      </c>
      <c r="G85" s="65"/>
      <c r="H85" s="141">
        <v>50</v>
      </c>
      <c r="I85" s="65">
        <f t="shared" si="0"/>
        <v>0</v>
      </c>
      <c r="J85" s="82">
        <f t="shared" si="1"/>
        <v>0</v>
      </c>
      <c r="K85" s="32" t="s">
        <v>323</v>
      </c>
      <c r="L85" s="9"/>
      <c r="M85" s="117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2"/>
    </row>
    <row r="86" spans="1:27" ht="16.5" customHeight="1">
      <c r="A86" s="53">
        <v>79</v>
      </c>
      <c r="B86" s="93"/>
      <c r="C86" s="33">
        <v>8809913830115</v>
      </c>
      <c r="D86" s="33" t="s">
        <v>251</v>
      </c>
      <c r="E86" s="34" t="s">
        <v>102</v>
      </c>
      <c r="F86" s="127">
        <v>7727.4</v>
      </c>
      <c r="G86" s="65"/>
      <c r="H86" s="141">
        <v>50</v>
      </c>
      <c r="I86" s="65">
        <f t="shared" si="0"/>
        <v>0</v>
      </c>
      <c r="J86" s="82">
        <f t="shared" si="1"/>
        <v>0</v>
      </c>
      <c r="K86" s="32"/>
      <c r="L86" s="9"/>
      <c r="M86" s="117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2"/>
    </row>
    <row r="87" spans="1:27" ht="16.5" customHeight="1">
      <c r="A87" s="53">
        <v>80</v>
      </c>
      <c r="B87" s="93"/>
      <c r="C87" s="33">
        <v>8809576261875</v>
      </c>
      <c r="D87" s="33" t="s">
        <v>252</v>
      </c>
      <c r="E87" s="34" t="s">
        <v>103</v>
      </c>
      <c r="F87" s="127">
        <v>4960.8</v>
      </c>
      <c r="G87" s="65"/>
      <c r="H87" s="141">
        <v>200</v>
      </c>
      <c r="I87" s="65">
        <f t="shared" si="0"/>
        <v>0</v>
      </c>
      <c r="J87" s="82">
        <f t="shared" si="1"/>
        <v>0</v>
      </c>
      <c r="K87" s="32"/>
      <c r="L87" s="9"/>
      <c r="M87" s="117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2"/>
    </row>
    <row r="88" spans="1:27" ht="16.5" customHeight="1">
      <c r="A88" s="53">
        <v>81</v>
      </c>
      <c r="B88" s="93"/>
      <c r="C88" s="33">
        <v>8809576261646</v>
      </c>
      <c r="D88" s="33" t="s">
        <v>253</v>
      </c>
      <c r="E88" s="34" t="s">
        <v>104</v>
      </c>
      <c r="F88" s="127">
        <v>9306.7999999999993</v>
      </c>
      <c r="G88" s="65"/>
      <c r="H88" s="141">
        <v>40</v>
      </c>
      <c r="I88" s="65">
        <f t="shared" si="0"/>
        <v>0</v>
      </c>
      <c r="J88" s="82">
        <f t="shared" si="1"/>
        <v>0</v>
      </c>
      <c r="K88" s="32"/>
      <c r="L88" s="9"/>
      <c r="M88" s="117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2"/>
    </row>
    <row r="89" spans="1:27" ht="16.5" customHeight="1">
      <c r="A89" s="53">
        <v>82</v>
      </c>
      <c r="B89" s="93"/>
      <c r="C89" s="33">
        <v>8809913830085</v>
      </c>
      <c r="D89" s="33" t="s">
        <v>254</v>
      </c>
      <c r="E89" s="34" t="s">
        <v>105</v>
      </c>
      <c r="F89" s="127">
        <v>10059.4</v>
      </c>
      <c r="G89" s="65"/>
      <c r="H89" s="141">
        <v>80</v>
      </c>
      <c r="I89" s="65">
        <f t="shared" si="0"/>
        <v>0</v>
      </c>
      <c r="J89" s="82">
        <f t="shared" si="1"/>
        <v>0</v>
      </c>
      <c r="K89" s="32" t="s">
        <v>15</v>
      </c>
      <c r="L89" s="9"/>
      <c r="M89" s="117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2"/>
    </row>
    <row r="90" spans="1:27" ht="16.5" customHeight="1">
      <c r="A90" s="53">
        <v>83</v>
      </c>
      <c r="B90" s="93"/>
      <c r="C90" s="33">
        <v>8809913831310</v>
      </c>
      <c r="D90" s="33" t="s">
        <v>255</v>
      </c>
      <c r="E90" s="34" t="s">
        <v>106</v>
      </c>
      <c r="F90" s="127">
        <v>1197.8</v>
      </c>
      <c r="G90" s="65"/>
      <c r="H90" s="141">
        <v>300</v>
      </c>
      <c r="I90" s="65">
        <f t="shared" si="0"/>
        <v>0</v>
      </c>
      <c r="J90" s="82">
        <f t="shared" si="1"/>
        <v>0</v>
      </c>
      <c r="K90" s="32"/>
      <c r="L90" s="9"/>
      <c r="M90" s="117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2"/>
    </row>
    <row r="91" spans="1:27" ht="16.5" customHeight="1">
      <c r="A91" s="53">
        <v>84</v>
      </c>
      <c r="B91" s="93"/>
      <c r="C91" s="33">
        <v>8809913831327</v>
      </c>
      <c r="D91" s="33" t="s">
        <v>256</v>
      </c>
      <c r="E91" s="34" t="s">
        <v>107</v>
      </c>
      <c r="F91" s="127">
        <v>5840.6</v>
      </c>
      <c r="G91" s="65"/>
      <c r="H91" s="141">
        <v>60</v>
      </c>
      <c r="I91" s="65">
        <f t="shared" si="0"/>
        <v>0</v>
      </c>
      <c r="J91" s="82">
        <f t="shared" si="1"/>
        <v>0</v>
      </c>
      <c r="K91" s="32"/>
      <c r="L91" s="9"/>
      <c r="M91" s="117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2"/>
    </row>
    <row r="92" spans="1:27" ht="16.5" customHeight="1">
      <c r="A92" s="53">
        <v>85</v>
      </c>
      <c r="B92" s="93"/>
      <c r="C92" s="33">
        <v>8809913832485</v>
      </c>
      <c r="D92" s="33" t="s">
        <v>257</v>
      </c>
      <c r="E92" s="34" t="s">
        <v>108</v>
      </c>
      <c r="F92" s="123">
        <v>9995.7999999999993</v>
      </c>
      <c r="G92" s="65"/>
      <c r="H92" s="141">
        <v>50</v>
      </c>
      <c r="I92" s="65">
        <f t="shared" si="0"/>
        <v>0</v>
      </c>
      <c r="J92" s="82">
        <f t="shared" si="1"/>
        <v>0</v>
      </c>
      <c r="K92" s="32" t="s">
        <v>325</v>
      </c>
      <c r="L92" s="9"/>
      <c r="M92" s="117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2"/>
    </row>
    <row r="93" spans="1:27" ht="16.5" customHeight="1">
      <c r="A93" s="53">
        <v>86</v>
      </c>
      <c r="B93" s="93"/>
      <c r="C93" s="33">
        <v>8809913833482</v>
      </c>
      <c r="D93" s="33" t="s">
        <v>313</v>
      </c>
      <c r="E93" s="34" t="s">
        <v>314</v>
      </c>
      <c r="F93" s="123">
        <v>12868.4</v>
      </c>
      <c r="G93" s="65"/>
      <c r="H93" s="141">
        <v>40</v>
      </c>
      <c r="I93" s="65">
        <f t="shared" si="0"/>
        <v>0</v>
      </c>
      <c r="J93" s="82">
        <f t="shared" si="1"/>
        <v>0</v>
      </c>
      <c r="K93" s="32"/>
      <c r="L93" s="9"/>
      <c r="M93" s="117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6.5" customHeight="1">
      <c r="A94" s="53">
        <v>87</v>
      </c>
      <c r="B94" s="93"/>
      <c r="C94" s="33" t="s">
        <v>109</v>
      </c>
      <c r="D94" s="33" t="s">
        <v>258</v>
      </c>
      <c r="E94" s="34" t="s">
        <v>110</v>
      </c>
      <c r="F94" s="128">
        <v>318</v>
      </c>
      <c r="G94" s="65"/>
      <c r="H94" s="141">
        <v>100</v>
      </c>
      <c r="I94" s="65">
        <f t="shared" si="0"/>
        <v>0</v>
      </c>
      <c r="J94" s="82">
        <f t="shared" si="1"/>
        <v>0</v>
      </c>
      <c r="K94" s="32"/>
      <c r="L94" s="9"/>
      <c r="M94" s="117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2"/>
    </row>
    <row r="95" spans="1:27" ht="16.5" customHeight="1">
      <c r="A95" s="53">
        <v>88</v>
      </c>
      <c r="B95" s="93"/>
      <c r="C95" s="33" t="s">
        <v>111</v>
      </c>
      <c r="D95" s="33" t="s">
        <v>259</v>
      </c>
      <c r="E95" s="34" t="s">
        <v>112</v>
      </c>
      <c r="F95" s="128">
        <v>318</v>
      </c>
      <c r="G95" s="65"/>
      <c r="H95" s="141">
        <v>100</v>
      </c>
      <c r="I95" s="65">
        <f t="shared" si="0"/>
        <v>0</v>
      </c>
      <c r="J95" s="82">
        <f t="shared" si="1"/>
        <v>0</v>
      </c>
      <c r="K95" s="32"/>
      <c r="L95" s="9"/>
      <c r="M95" s="117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2"/>
    </row>
    <row r="96" spans="1:27" ht="16.5" customHeight="1">
      <c r="A96" s="53">
        <v>89</v>
      </c>
      <c r="B96" s="93"/>
      <c r="C96" s="33" t="s">
        <v>113</v>
      </c>
      <c r="D96" s="33" t="s">
        <v>260</v>
      </c>
      <c r="E96" s="34" t="s">
        <v>114</v>
      </c>
      <c r="F96" s="128">
        <v>318</v>
      </c>
      <c r="G96" s="65"/>
      <c r="H96" s="141">
        <v>100</v>
      </c>
      <c r="I96" s="65">
        <f t="shared" si="0"/>
        <v>0</v>
      </c>
      <c r="J96" s="82">
        <f t="shared" si="1"/>
        <v>0</v>
      </c>
      <c r="K96" s="32"/>
      <c r="L96" s="9"/>
      <c r="M96" s="117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2"/>
    </row>
    <row r="97" spans="1:27" ht="16.5" customHeight="1">
      <c r="A97" s="53">
        <v>90</v>
      </c>
      <c r="B97" s="94"/>
      <c r="C97" s="33" t="s">
        <v>115</v>
      </c>
      <c r="D97" s="33" t="s">
        <v>261</v>
      </c>
      <c r="E97" s="34" t="s">
        <v>116</v>
      </c>
      <c r="F97" s="128">
        <v>318</v>
      </c>
      <c r="G97" s="65"/>
      <c r="H97" s="141">
        <v>100</v>
      </c>
      <c r="I97" s="65">
        <f t="shared" si="0"/>
        <v>0</v>
      </c>
      <c r="J97" s="82">
        <f t="shared" si="1"/>
        <v>0</v>
      </c>
      <c r="K97" s="32"/>
      <c r="L97" s="9"/>
      <c r="M97" s="117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2"/>
    </row>
    <row r="98" spans="1:27" ht="16.5" customHeight="1">
      <c r="A98" s="54">
        <v>91</v>
      </c>
      <c r="B98" s="113" t="s">
        <v>117</v>
      </c>
      <c r="C98" s="36">
        <v>8809576261714</v>
      </c>
      <c r="D98" s="36" t="s">
        <v>262</v>
      </c>
      <c r="E98" s="37" t="s">
        <v>118</v>
      </c>
      <c r="F98" s="129">
        <v>7695.6</v>
      </c>
      <c r="G98" s="65"/>
      <c r="H98" s="142">
        <v>40</v>
      </c>
      <c r="I98" s="65">
        <f t="shared" si="0"/>
        <v>0</v>
      </c>
      <c r="J98" s="83">
        <f t="shared" si="1"/>
        <v>0</v>
      </c>
      <c r="K98" s="35"/>
      <c r="L98" s="9"/>
      <c r="M98" s="117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2"/>
    </row>
    <row r="99" spans="1:27" ht="16.5" customHeight="1">
      <c r="A99" s="54">
        <v>92</v>
      </c>
      <c r="B99" s="93"/>
      <c r="C99" s="36">
        <v>8809576261660</v>
      </c>
      <c r="D99" s="36" t="s">
        <v>263</v>
      </c>
      <c r="E99" s="37" t="s">
        <v>119</v>
      </c>
      <c r="F99" s="129">
        <v>10822.6</v>
      </c>
      <c r="G99" s="65"/>
      <c r="H99" s="142">
        <v>40</v>
      </c>
      <c r="I99" s="65">
        <f t="shared" si="0"/>
        <v>0</v>
      </c>
      <c r="J99" s="83">
        <f t="shared" si="1"/>
        <v>0</v>
      </c>
      <c r="K99" s="35"/>
      <c r="L99" s="9"/>
      <c r="M99" s="117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2"/>
    </row>
    <row r="100" spans="1:27" ht="16.5" customHeight="1">
      <c r="A100" s="54">
        <v>93</v>
      </c>
      <c r="B100" s="93"/>
      <c r="C100" s="36">
        <v>8809576261677</v>
      </c>
      <c r="D100" s="36" t="s">
        <v>264</v>
      </c>
      <c r="E100" s="37" t="s">
        <v>120</v>
      </c>
      <c r="F100" s="129">
        <v>12105.2</v>
      </c>
      <c r="G100" s="65"/>
      <c r="H100" s="142">
        <v>50</v>
      </c>
      <c r="I100" s="65">
        <f t="shared" si="0"/>
        <v>0</v>
      </c>
      <c r="J100" s="83">
        <f t="shared" si="1"/>
        <v>0</v>
      </c>
      <c r="K100" s="35" t="s">
        <v>15</v>
      </c>
      <c r="L100" s="9"/>
      <c r="M100" s="117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2"/>
    </row>
    <row r="101" spans="1:27" ht="16.5" customHeight="1">
      <c r="A101" s="54">
        <v>94</v>
      </c>
      <c r="B101" s="93"/>
      <c r="C101" s="36">
        <v>8809576261882</v>
      </c>
      <c r="D101" s="36" t="s">
        <v>265</v>
      </c>
      <c r="E101" s="37" t="s">
        <v>121</v>
      </c>
      <c r="F101" s="129">
        <v>4823</v>
      </c>
      <c r="G101" s="65"/>
      <c r="H101" s="142">
        <v>200</v>
      </c>
      <c r="I101" s="65">
        <f t="shared" si="0"/>
        <v>0</v>
      </c>
      <c r="J101" s="83">
        <f t="shared" si="1"/>
        <v>0</v>
      </c>
      <c r="K101" s="35"/>
      <c r="L101" s="9"/>
      <c r="M101" s="117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2"/>
    </row>
    <row r="102" spans="1:27" ht="16.5" customHeight="1">
      <c r="A102" s="54">
        <v>95</v>
      </c>
      <c r="B102" s="93"/>
      <c r="C102" s="36">
        <v>8809576261691</v>
      </c>
      <c r="D102" s="36" t="s">
        <v>266</v>
      </c>
      <c r="E102" s="37" t="s">
        <v>122</v>
      </c>
      <c r="F102" s="129">
        <v>2544</v>
      </c>
      <c r="G102" s="65"/>
      <c r="H102" s="142">
        <v>600</v>
      </c>
      <c r="I102" s="65">
        <f t="shared" si="0"/>
        <v>0</v>
      </c>
      <c r="J102" s="83">
        <f t="shared" si="1"/>
        <v>0</v>
      </c>
      <c r="K102" s="35"/>
      <c r="L102" s="9"/>
      <c r="M102" s="117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2"/>
    </row>
    <row r="103" spans="1:27" ht="16.5" customHeight="1">
      <c r="A103" s="54">
        <v>96</v>
      </c>
      <c r="B103" s="93"/>
      <c r="C103" s="36">
        <v>8809913830047</v>
      </c>
      <c r="D103" s="36" t="s">
        <v>267</v>
      </c>
      <c r="E103" s="37" t="s">
        <v>123</v>
      </c>
      <c r="F103" s="118">
        <v>9518.7999999999993</v>
      </c>
      <c r="G103" s="65"/>
      <c r="H103" s="142">
        <v>40</v>
      </c>
      <c r="I103" s="65">
        <f t="shared" si="0"/>
        <v>0</v>
      </c>
      <c r="J103" s="83">
        <f t="shared" si="1"/>
        <v>0</v>
      </c>
      <c r="K103" s="35" t="s">
        <v>323</v>
      </c>
      <c r="L103" s="9"/>
      <c r="M103" s="117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2"/>
    </row>
    <row r="104" spans="1:27" ht="16.5" customHeight="1">
      <c r="A104" s="54">
        <v>97</v>
      </c>
      <c r="B104" s="93"/>
      <c r="C104" s="36">
        <v>8809913830337</v>
      </c>
      <c r="D104" s="36" t="s">
        <v>268</v>
      </c>
      <c r="E104" s="37" t="s">
        <v>124</v>
      </c>
      <c r="F104" s="129">
        <v>10706</v>
      </c>
      <c r="G104" s="65"/>
      <c r="H104" s="142">
        <v>80</v>
      </c>
      <c r="I104" s="65">
        <f t="shared" si="0"/>
        <v>0</v>
      </c>
      <c r="J104" s="83">
        <f t="shared" si="1"/>
        <v>0</v>
      </c>
      <c r="K104" s="35"/>
      <c r="L104" s="9"/>
      <c r="M104" s="117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2"/>
    </row>
    <row r="105" spans="1:27" ht="16.5" customHeight="1">
      <c r="A105" s="54">
        <v>98</v>
      </c>
      <c r="B105" s="93"/>
      <c r="C105" s="36">
        <v>8809913830610</v>
      </c>
      <c r="D105" s="36" t="s">
        <v>269</v>
      </c>
      <c r="E105" s="37" t="s">
        <v>125</v>
      </c>
      <c r="F105" s="118">
        <v>9836.7999999999993</v>
      </c>
      <c r="G105" s="65"/>
      <c r="H105" s="142">
        <v>50</v>
      </c>
      <c r="I105" s="65">
        <f t="shared" si="0"/>
        <v>0</v>
      </c>
      <c r="J105" s="83">
        <f t="shared" si="1"/>
        <v>0</v>
      </c>
      <c r="K105" s="35" t="s">
        <v>323</v>
      </c>
      <c r="L105" s="9"/>
      <c r="M105" s="117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2"/>
    </row>
    <row r="106" spans="1:27" ht="16.5" customHeight="1">
      <c r="A106" s="54">
        <v>99</v>
      </c>
      <c r="B106" s="93"/>
      <c r="C106" s="36">
        <v>8809913832058</v>
      </c>
      <c r="D106" s="36" t="s">
        <v>270</v>
      </c>
      <c r="E106" s="37" t="s">
        <v>337</v>
      </c>
      <c r="F106" s="129">
        <v>1197.8</v>
      </c>
      <c r="G106" s="65"/>
      <c r="H106" s="142">
        <v>300</v>
      </c>
      <c r="I106" s="65">
        <f t="shared" si="0"/>
        <v>0</v>
      </c>
      <c r="J106" s="83">
        <f t="shared" si="1"/>
        <v>0</v>
      </c>
      <c r="K106" s="35"/>
      <c r="L106" s="9"/>
      <c r="M106" s="117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2"/>
    </row>
    <row r="107" spans="1:27" ht="16.5" customHeight="1">
      <c r="A107" s="54">
        <v>100</v>
      </c>
      <c r="B107" s="93"/>
      <c r="C107" s="36">
        <v>8809913832065</v>
      </c>
      <c r="D107" s="36" t="s">
        <v>271</v>
      </c>
      <c r="E107" s="37" t="s">
        <v>338</v>
      </c>
      <c r="F107" s="129">
        <v>5840.6</v>
      </c>
      <c r="G107" s="65"/>
      <c r="H107" s="142">
        <v>60</v>
      </c>
      <c r="I107" s="65">
        <f t="shared" si="0"/>
        <v>0</v>
      </c>
      <c r="J107" s="83">
        <f t="shared" si="1"/>
        <v>0</v>
      </c>
      <c r="K107" s="35"/>
      <c r="L107" s="9"/>
      <c r="M107" s="117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2"/>
    </row>
    <row r="108" spans="1:27" ht="16.5" customHeight="1">
      <c r="A108" s="54">
        <v>101</v>
      </c>
      <c r="B108" s="93"/>
      <c r="C108" s="36">
        <v>8809913832867</v>
      </c>
      <c r="D108" s="36" t="s">
        <v>272</v>
      </c>
      <c r="E108" s="37" t="s">
        <v>126</v>
      </c>
      <c r="F108" s="118">
        <v>8013.6</v>
      </c>
      <c r="G108" s="65"/>
      <c r="H108" s="142">
        <v>40</v>
      </c>
      <c r="I108" s="65">
        <f t="shared" si="0"/>
        <v>0</v>
      </c>
      <c r="J108" s="83">
        <f t="shared" si="1"/>
        <v>0</v>
      </c>
      <c r="K108" s="35"/>
      <c r="L108" s="9"/>
      <c r="M108" s="117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2"/>
    </row>
    <row r="109" spans="1:27" ht="16.5" customHeight="1">
      <c r="A109" s="54">
        <v>102</v>
      </c>
      <c r="B109" s="93"/>
      <c r="C109" s="36">
        <v>8809913833499</v>
      </c>
      <c r="D109" s="36" t="s">
        <v>315</v>
      </c>
      <c r="E109" s="37" t="s">
        <v>316</v>
      </c>
      <c r="F109" s="123">
        <v>13483.2</v>
      </c>
      <c r="G109" s="65"/>
      <c r="H109" s="142">
        <v>40</v>
      </c>
      <c r="I109" s="65">
        <f t="shared" si="0"/>
        <v>0</v>
      </c>
      <c r="J109" s="83">
        <f t="shared" si="1"/>
        <v>0</v>
      </c>
      <c r="K109" s="35"/>
      <c r="L109" s="9"/>
      <c r="M109" s="117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6.5" customHeight="1">
      <c r="A110" s="54">
        <v>103</v>
      </c>
      <c r="B110" s="93"/>
      <c r="C110" s="36" t="s">
        <v>127</v>
      </c>
      <c r="D110" s="36" t="s">
        <v>273</v>
      </c>
      <c r="E110" s="37" t="s">
        <v>128</v>
      </c>
      <c r="F110" s="130">
        <v>318</v>
      </c>
      <c r="G110" s="65"/>
      <c r="H110" s="142">
        <v>100</v>
      </c>
      <c r="I110" s="65">
        <f t="shared" si="0"/>
        <v>0</v>
      </c>
      <c r="J110" s="83">
        <f t="shared" si="1"/>
        <v>0</v>
      </c>
      <c r="K110" s="35"/>
      <c r="L110" s="9"/>
      <c r="M110" s="117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2"/>
    </row>
    <row r="111" spans="1:27" ht="16.5" customHeight="1">
      <c r="A111" s="54">
        <v>104</v>
      </c>
      <c r="B111" s="93"/>
      <c r="C111" s="36" t="s">
        <v>129</v>
      </c>
      <c r="D111" s="36" t="s">
        <v>274</v>
      </c>
      <c r="E111" s="37" t="s">
        <v>130</v>
      </c>
      <c r="F111" s="130">
        <v>318</v>
      </c>
      <c r="G111" s="65"/>
      <c r="H111" s="142">
        <v>100</v>
      </c>
      <c r="I111" s="65">
        <f t="shared" si="0"/>
        <v>0</v>
      </c>
      <c r="J111" s="83">
        <f t="shared" si="1"/>
        <v>0</v>
      </c>
      <c r="K111" s="35"/>
      <c r="L111" s="9"/>
      <c r="M111" s="117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2"/>
    </row>
    <row r="112" spans="1:27" ht="16.5" customHeight="1">
      <c r="A112" s="54">
        <v>105</v>
      </c>
      <c r="B112" s="93"/>
      <c r="C112" s="36" t="s">
        <v>131</v>
      </c>
      <c r="D112" s="36" t="s">
        <v>275</v>
      </c>
      <c r="E112" s="37" t="s">
        <v>132</v>
      </c>
      <c r="F112" s="130">
        <v>318</v>
      </c>
      <c r="G112" s="65"/>
      <c r="H112" s="142">
        <v>100</v>
      </c>
      <c r="I112" s="65">
        <f t="shared" si="0"/>
        <v>0</v>
      </c>
      <c r="J112" s="83">
        <f t="shared" si="1"/>
        <v>0</v>
      </c>
      <c r="K112" s="35"/>
      <c r="L112" s="9"/>
      <c r="M112" s="117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2"/>
    </row>
    <row r="113" spans="1:27" ht="16.5" customHeight="1">
      <c r="A113" s="54">
        <v>106</v>
      </c>
      <c r="B113" s="93"/>
      <c r="C113" s="36" t="s">
        <v>133</v>
      </c>
      <c r="D113" s="36" t="s">
        <v>276</v>
      </c>
      <c r="E113" s="37" t="s">
        <v>134</v>
      </c>
      <c r="F113" s="130">
        <v>318</v>
      </c>
      <c r="G113" s="65"/>
      <c r="H113" s="142">
        <v>100</v>
      </c>
      <c r="I113" s="65">
        <f t="shared" si="0"/>
        <v>0</v>
      </c>
      <c r="J113" s="83">
        <f t="shared" si="1"/>
        <v>0</v>
      </c>
      <c r="K113" s="35"/>
      <c r="L113" s="9"/>
      <c r="M113" s="117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2"/>
    </row>
    <row r="114" spans="1:27" ht="16.5" customHeight="1">
      <c r="A114" s="54">
        <v>107</v>
      </c>
      <c r="B114" s="94"/>
      <c r="C114" s="36" t="s">
        <v>135</v>
      </c>
      <c r="D114" s="36" t="s">
        <v>277</v>
      </c>
      <c r="E114" s="37" t="s">
        <v>136</v>
      </c>
      <c r="F114" s="130">
        <v>318</v>
      </c>
      <c r="G114" s="65"/>
      <c r="H114" s="142">
        <v>100</v>
      </c>
      <c r="I114" s="65">
        <f t="shared" si="0"/>
        <v>0</v>
      </c>
      <c r="J114" s="83">
        <f t="shared" si="1"/>
        <v>0</v>
      </c>
      <c r="K114" s="35"/>
      <c r="L114" s="9"/>
      <c r="M114" s="117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2"/>
    </row>
    <row r="115" spans="1:27" ht="16.5" customHeight="1">
      <c r="A115" s="55">
        <v>108</v>
      </c>
      <c r="B115" s="92" t="s">
        <v>137</v>
      </c>
      <c r="C115" s="39">
        <v>8809576261738</v>
      </c>
      <c r="D115" s="39" t="s">
        <v>278</v>
      </c>
      <c r="E115" s="40" t="s">
        <v>138</v>
      </c>
      <c r="F115" s="118">
        <v>9773.2000000000007</v>
      </c>
      <c r="G115" s="65"/>
      <c r="H115" s="143">
        <v>40</v>
      </c>
      <c r="I115" s="65">
        <f t="shared" si="0"/>
        <v>0</v>
      </c>
      <c r="J115" s="84">
        <f t="shared" si="1"/>
        <v>0</v>
      </c>
      <c r="K115" s="38" t="s">
        <v>323</v>
      </c>
      <c r="L115" s="9"/>
      <c r="M115" s="117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2"/>
    </row>
    <row r="116" spans="1:27" ht="16.5" customHeight="1">
      <c r="A116" s="55">
        <v>109</v>
      </c>
      <c r="B116" s="93"/>
      <c r="C116" s="39">
        <v>8809913830634</v>
      </c>
      <c r="D116" s="39" t="s">
        <v>279</v>
      </c>
      <c r="E116" s="40" t="s">
        <v>139</v>
      </c>
      <c r="F116" s="118">
        <v>5331.8</v>
      </c>
      <c r="G116" s="65"/>
      <c r="H116" s="143">
        <v>144</v>
      </c>
      <c r="I116" s="65">
        <f t="shared" si="0"/>
        <v>0</v>
      </c>
      <c r="J116" s="84">
        <f t="shared" si="1"/>
        <v>0</v>
      </c>
      <c r="K116" s="38" t="s">
        <v>323</v>
      </c>
      <c r="L116" s="9"/>
      <c r="M116" s="117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2"/>
    </row>
    <row r="117" spans="1:27" ht="16.5" customHeight="1">
      <c r="A117" s="55">
        <v>110</v>
      </c>
      <c r="B117" s="93"/>
      <c r="C117" s="39">
        <v>8809576261752</v>
      </c>
      <c r="D117" s="39" t="s">
        <v>280</v>
      </c>
      <c r="E117" s="40" t="s">
        <v>140</v>
      </c>
      <c r="F117" s="118">
        <v>10154.799999999999</v>
      </c>
      <c r="G117" s="65"/>
      <c r="H117" s="143">
        <v>50</v>
      </c>
      <c r="I117" s="65">
        <f t="shared" si="0"/>
        <v>0</v>
      </c>
      <c r="J117" s="84">
        <f t="shared" si="1"/>
        <v>0</v>
      </c>
      <c r="K117" s="38" t="s">
        <v>323</v>
      </c>
      <c r="L117" s="9"/>
      <c r="M117" s="117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2"/>
    </row>
    <row r="118" spans="1:27" ht="16.5" customHeight="1">
      <c r="A118" s="55">
        <v>111</v>
      </c>
      <c r="B118" s="93"/>
      <c r="C118" s="39">
        <v>8809913830146</v>
      </c>
      <c r="D118" s="39" t="s">
        <v>281</v>
      </c>
      <c r="E118" s="40" t="s">
        <v>141</v>
      </c>
      <c r="F118" s="118">
        <v>14469</v>
      </c>
      <c r="G118" s="65"/>
      <c r="H118" s="143">
        <v>50</v>
      </c>
      <c r="I118" s="65">
        <f t="shared" si="0"/>
        <v>0</v>
      </c>
      <c r="J118" s="84">
        <f t="shared" si="1"/>
        <v>0</v>
      </c>
      <c r="K118" s="38" t="s">
        <v>323</v>
      </c>
      <c r="L118" s="9"/>
      <c r="M118" s="117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2"/>
    </row>
    <row r="119" spans="1:27" ht="16.5" customHeight="1">
      <c r="A119" s="55">
        <v>112</v>
      </c>
      <c r="B119" s="93"/>
      <c r="C119" s="39">
        <v>8809576261769</v>
      </c>
      <c r="D119" s="39" t="s">
        <v>282</v>
      </c>
      <c r="E119" s="40" t="s">
        <v>142</v>
      </c>
      <c r="F119" s="118">
        <v>11299.6</v>
      </c>
      <c r="G119" s="65"/>
      <c r="H119" s="143">
        <v>50</v>
      </c>
      <c r="I119" s="65">
        <f t="shared" si="0"/>
        <v>0</v>
      </c>
      <c r="J119" s="84">
        <f t="shared" si="1"/>
        <v>0</v>
      </c>
      <c r="K119" s="38" t="s">
        <v>323</v>
      </c>
      <c r="L119" s="9"/>
      <c r="M119" s="117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2"/>
    </row>
    <row r="120" spans="1:27" ht="16.5" customHeight="1">
      <c r="A120" s="55">
        <v>113</v>
      </c>
      <c r="B120" s="93"/>
      <c r="C120" s="39">
        <v>8809913830245</v>
      </c>
      <c r="D120" s="39" t="s">
        <v>283</v>
      </c>
      <c r="E120" s="40" t="s">
        <v>143</v>
      </c>
      <c r="F120" s="118">
        <v>4314.2</v>
      </c>
      <c r="G120" s="65"/>
      <c r="H120" s="143">
        <v>200</v>
      </c>
      <c r="I120" s="65">
        <f t="shared" si="0"/>
        <v>0</v>
      </c>
      <c r="J120" s="84">
        <f t="shared" si="1"/>
        <v>0</v>
      </c>
      <c r="K120" s="38" t="s">
        <v>323</v>
      </c>
      <c r="L120" s="9"/>
      <c r="M120" s="117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2"/>
    </row>
    <row r="121" spans="1:27" ht="16.5" customHeight="1">
      <c r="A121" s="55">
        <v>114</v>
      </c>
      <c r="B121" s="93"/>
      <c r="C121" s="39">
        <v>8809913830177</v>
      </c>
      <c r="D121" s="39" t="s">
        <v>284</v>
      </c>
      <c r="E121" s="40" t="s">
        <v>144</v>
      </c>
      <c r="F121" s="118">
        <v>9010</v>
      </c>
      <c r="G121" s="65"/>
      <c r="H121" s="143">
        <v>80</v>
      </c>
      <c r="I121" s="65">
        <f t="shared" si="0"/>
        <v>0</v>
      </c>
      <c r="J121" s="84">
        <f t="shared" si="1"/>
        <v>0</v>
      </c>
      <c r="K121" s="38" t="s">
        <v>323</v>
      </c>
      <c r="L121" s="9"/>
      <c r="M121" s="117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2"/>
    </row>
    <row r="122" spans="1:27" ht="16.5" customHeight="1">
      <c r="A122" s="55">
        <v>115</v>
      </c>
      <c r="B122" s="93"/>
      <c r="C122" s="39">
        <v>8809913830313</v>
      </c>
      <c r="D122" s="39" t="s">
        <v>285</v>
      </c>
      <c r="E122" s="40" t="s">
        <v>145</v>
      </c>
      <c r="F122" s="118">
        <v>16218</v>
      </c>
      <c r="G122" s="65"/>
      <c r="H122" s="143">
        <v>45</v>
      </c>
      <c r="I122" s="65">
        <f t="shared" si="0"/>
        <v>0</v>
      </c>
      <c r="J122" s="84">
        <f t="shared" si="1"/>
        <v>0</v>
      </c>
      <c r="K122" s="38" t="s">
        <v>323</v>
      </c>
      <c r="L122" s="9"/>
      <c r="M122" s="117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2"/>
    </row>
    <row r="123" spans="1:27" ht="16.5" customHeight="1">
      <c r="A123" s="55">
        <v>116</v>
      </c>
      <c r="B123" s="93"/>
      <c r="C123" s="39">
        <v>8809913830573</v>
      </c>
      <c r="D123" s="39" t="s">
        <v>286</v>
      </c>
      <c r="E123" s="40" t="s">
        <v>146</v>
      </c>
      <c r="F123" s="118">
        <v>9836.7999999999993</v>
      </c>
      <c r="G123" s="65"/>
      <c r="H123" s="143">
        <v>50</v>
      </c>
      <c r="I123" s="65">
        <f t="shared" si="0"/>
        <v>0</v>
      </c>
      <c r="J123" s="84">
        <f t="shared" si="1"/>
        <v>0</v>
      </c>
      <c r="K123" s="38" t="s">
        <v>323</v>
      </c>
      <c r="L123" s="9"/>
      <c r="M123" s="117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2"/>
    </row>
    <row r="124" spans="1:27" ht="16.5" customHeight="1">
      <c r="A124" s="55">
        <v>117</v>
      </c>
      <c r="B124" s="93"/>
      <c r="C124" s="39">
        <v>8809913832003</v>
      </c>
      <c r="D124" s="39" t="s">
        <v>287</v>
      </c>
      <c r="E124" s="40" t="s">
        <v>336</v>
      </c>
      <c r="F124" s="131">
        <v>1240.2</v>
      </c>
      <c r="G124" s="65"/>
      <c r="H124" s="143">
        <v>300</v>
      </c>
      <c r="I124" s="65">
        <f t="shared" si="0"/>
        <v>0</v>
      </c>
      <c r="J124" s="84">
        <f t="shared" si="1"/>
        <v>0</v>
      </c>
      <c r="K124" s="38"/>
      <c r="L124" s="9"/>
      <c r="M124" s="117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2"/>
    </row>
    <row r="125" spans="1:27" ht="16.5" customHeight="1">
      <c r="A125" s="55">
        <v>118</v>
      </c>
      <c r="B125" s="93"/>
      <c r="C125" s="39">
        <v>8809913832010</v>
      </c>
      <c r="D125" s="39" t="s">
        <v>288</v>
      </c>
      <c r="E125" s="40" t="s">
        <v>335</v>
      </c>
      <c r="F125" s="131">
        <v>6126.8</v>
      </c>
      <c r="G125" s="65"/>
      <c r="H125" s="143">
        <v>60</v>
      </c>
      <c r="I125" s="65">
        <f t="shared" si="0"/>
        <v>0</v>
      </c>
      <c r="J125" s="84">
        <f t="shared" si="1"/>
        <v>0</v>
      </c>
      <c r="K125" s="38"/>
      <c r="L125" s="9"/>
      <c r="M125" s="117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2"/>
    </row>
    <row r="126" spans="1:27" ht="16.5" customHeight="1">
      <c r="A126" s="55">
        <v>119</v>
      </c>
      <c r="B126" s="93"/>
      <c r="C126" s="39" t="s">
        <v>147</v>
      </c>
      <c r="D126" s="39" t="s">
        <v>289</v>
      </c>
      <c r="E126" s="40" t="s">
        <v>148</v>
      </c>
      <c r="F126" s="131">
        <v>318</v>
      </c>
      <c r="G126" s="65"/>
      <c r="H126" s="143">
        <v>100</v>
      </c>
      <c r="I126" s="65">
        <f t="shared" si="0"/>
        <v>0</v>
      </c>
      <c r="J126" s="84">
        <f t="shared" si="1"/>
        <v>0</v>
      </c>
      <c r="K126" s="38"/>
      <c r="L126" s="9"/>
      <c r="M126" s="117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2"/>
    </row>
    <row r="127" spans="1:27" ht="16.5" customHeight="1">
      <c r="A127" s="55">
        <v>120</v>
      </c>
      <c r="B127" s="93"/>
      <c r="C127" s="39" t="s">
        <v>149</v>
      </c>
      <c r="D127" s="39" t="s">
        <v>290</v>
      </c>
      <c r="E127" s="40" t="s">
        <v>150</v>
      </c>
      <c r="F127" s="131">
        <v>318</v>
      </c>
      <c r="G127" s="65"/>
      <c r="H127" s="143">
        <v>100</v>
      </c>
      <c r="I127" s="65">
        <f t="shared" si="0"/>
        <v>0</v>
      </c>
      <c r="J127" s="84">
        <f t="shared" si="1"/>
        <v>0</v>
      </c>
      <c r="K127" s="38"/>
      <c r="L127" s="9"/>
      <c r="M127" s="117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2"/>
    </row>
    <row r="128" spans="1:27" ht="16.5" customHeight="1">
      <c r="A128" s="55">
        <v>121</v>
      </c>
      <c r="B128" s="93"/>
      <c r="C128" s="39" t="s">
        <v>151</v>
      </c>
      <c r="D128" s="39" t="s">
        <v>291</v>
      </c>
      <c r="E128" s="40" t="s">
        <v>152</v>
      </c>
      <c r="F128" s="131">
        <v>318</v>
      </c>
      <c r="G128" s="65"/>
      <c r="H128" s="143">
        <v>100</v>
      </c>
      <c r="I128" s="65">
        <f t="shared" si="0"/>
        <v>0</v>
      </c>
      <c r="J128" s="84">
        <f t="shared" si="1"/>
        <v>0</v>
      </c>
      <c r="K128" s="38"/>
      <c r="L128" s="9"/>
      <c r="M128" s="117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"/>
    </row>
    <row r="129" spans="1:27" ht="16.5" customHeight="1">
      <c r="A129" s="55">
        <v>122</v>
      </c>
      <c r="B129" s="93"/>
      <c r="C129" s="39" t="s">
        <v>153</v>
      </c>
      <c r="D129" s="39" t="s">
        <v>292</v>
      </c>
      <c r="E129" s="40" t="s">
        <v>154</v>
      </c>
      <c r="F129" s="131">
        <v>318</v>
      </c>
      <c r="G129" s="65"/>
      <c r="H129" s="143">
        <v>100</v>
      </c>
      <c r="I129" s="65">
        <f t="shared" si="0"/>
        <v>0</v>
      </c>
      <c r="J129" s="84">
        <f t="shared" si="1"/>
        <v>0</v>
      </c>
      <c r="K129" s="38"/>
      <c r="L129" s="9"/>
      <c r="M129" s="117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2"/>
    </row>
    <row r="130" spans="1:27" ht="16.5" customHeight="1">
      <c r="A130" s="55">
        <v>123</v>
      </c>
      <c r="B130" s="94"/>
      <c r="C130" s="39" t="s">
        <v>155</v>
      </c>
      <c r="D130" s="39" t="s">
        <v>293</v>
      </c>
      <c r="E130" s="40" t="s">
        <v>156</v>
      </c>
      <c r="F130" s="131">
        <v>318</v>
      </c>
      <c r="G130" s="65"/>
      <c r="H130" s="143">
        <v>100</v>
      </c>
      <c r="I130" s="65">
        <f t="shared" si="0"/>
        <v>0</v>
      </c>
      <c r="J130" s="84">
        <f t="shared" si="1"/>
        <v>0</v>
      </c>
      <c r="K130" s="38"/>
      <c r="L130" s="9"/>
      <c r="M130" s="117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2"/>
    </row>
    <row r="131" spans="1:27" ht="16.5" customHeight="1">
      <c r="A131" s="56">
        <v>124</v>
      </c>
      <c r="B131" s="106" t="s">
        <v>172</v>
      </c>
      <c r="C131" s="42">
        <v>8809576260885</v>
      </c>
      <c r="D131" s="42" t="s">
        <v>294</v>
      </c>
      <c r="E131" s="43" t="s">
        <v>157</v>
      </c>
      <c r="F131" s="118">
        <v>4218.8</v>
      </c>
      <c r="G131" s="65"/>
      <c r="H131" s="144">
        <v>40</v>
      </c>
      <c r="I131" s="65">
        <f t="shared" si="0"/>
        <v>0</v>
      </c>
      <c r="J131" s="85">
        <f t="shared" si="1"/>
        <v>0</v>
      </c>
      <c r="K131" s="41" t="s">
        <v>175</v>
      </c>
      <c r="L131" s="9"/>
      <c r="M131" s="117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2"/>
    </row>
    <row r="132" spans="1:27" ht="16.5" customHeight="1">
      <c r="A132" s="56">
        <v>125</v>
      </c>
      <c r="B132" s="93"/>
      <c r="C132" s="42">
        <v>8809913830207</v>
      </c>
      <c r="D132" s="42" t="s">
        <v>295</v>
      </c>
      <c r="E132" s="43" t="s">
        <v>158</v>
      </c>
      <c r="F132" s="118">
        <v>3826.6</v>
      </c>
      <c r="G132" s="65"/>
      <c r="H132" s="144">
        <v>40</v>
      </c>
      <c r="I132" s="65">
        <f t="shared" si="0"/>
        <v>0</v>
      </c>
      <c r="J132" s="85">
        <f t="shared" si="1"/>
        <v>0</v>
      </c>
      <c r="K132" s="41" t="s">
        <v>174</v>
      </c>
      <c r="L132" s="9"/>
      <c r="M132" s="117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2"/>
    </row>
    <row r="133" spans="1:27" ht="16.5" customHeight="1">
      <c r="A133" s="56">
        <v>126</v>
      </c>
      <c r="B133" s="93"/>
      <c r="C133" s="42">
        <v>8809576260557</v>
      </c>
      <c r="D133" s="42" t="s">
        <v>296</v>
      </c>
      <c r="E133" s="43" t="s">
        <v>159</v>
      </c>
      <c r="F133" s="118">
        <v>11108.8</v>
      </c>
      <c r="G133" s="65"/>
      <c r="H133" s="144">
        <v>40</v>
      </c>
      <c r="I133" s="65">
        <f t="shared" si="0"/>
        <v>0</v>
      </c>
      <c r="J133" s="85">
        <f t="shared" si="1"/>
        <v>0</v>
      </c>
      <c r="K133" s="41" t="s">
        <v>174</v>
      </c>
      <c r="L133" s="9"/>
      <c r="M133" s="117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2"/>
    </row>
    <row r="134" spans="1:27" ht="16.5" customHeight="1">
      <c r="A134" s="56">
        <v>127</v>
      </c>
      <c r="B134" s="94"/>
      <c r="C134" s="42">
        <v>8809576260458</v>
      </c>
      <c r="D134" s="42" t="s">
        <v>297</v>
      </c>
      <c r="E134" s="43" t="s">
        <v>160</v>
      </c>
      <c r="F134" s="118">
        <v>7928.8</v>
      </c>
      <c r="G134" s="65"/>
      <c r="H134" s="144">
        <v>40</v>
      </c>
      <c r="I134" s="65">
        <f t="shared" si="0"/>
        <v>0</v>
      </c>
      <c r="J134" s="85">
        <f t="shared" si="1"/>
        <v>0</v>
      </c>
      <c r="K134" s="41" t="s">
        <v>174</v>
      </c>
      <c r="L134" s="9"/>
      <c r="M134" s="117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2"/>
    </row>
    <row r="135" spans="1:27" ht="16.5" customHeight="1">
      <c r="A135" s="51">
        <v>128</v>
      </c>
      <c r="B135" s="95" t="s">
        <v>161</v>
      </c>
      <c r="C135" s="45">
        <v>8809576261868</v>
      </c>
      <c r="D135" s="45" t="s">
        <v>298</v>
      </c>
      <c r="E135" s="46" t="s">
        <v>162</v>
      </c>
      <c r="F135" s="132">
        <v>19323.8</v>
      </c>
      <c r="G135" s="65"/>
      <c r="H135" s="145">
        <v>30</v>
      </c>
      <c r="I135" s="65">
        <f t="shared" si="0"/>
        <v>0</v>
      </c>
      <c r="J135" s="80">
        <f t="shared" si="1"/>
        <v>0</v>
      </c>
      <c r="K135" s="44"/>
      <c r="L135" s="9"/>
      <c r="M135" s="117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2"/>
    </row>
    <row r="136" spans="1:27" ht="16.5" customHeight="1">
      <c r="A136" s="51">
        <v>129</v>
      </c>
      <c r="B136" s="93"/>
      <c r="C136" s="45">
        <v>8809576261233</v>
      </c>
      <c r="D136" s="45" t="s">
        <v>299</v>
      </c>
      <c r="E136" s="46" t="s">
        <v>163</v>
      </c>
      <c r="F136" s="132">
        <v>16546.599999999999</v>
      </c>
      <c r="G136" s="65"/>
      <c r="H136" s="145">
        <v>40</v>
      </c>
      <c r="I136" s="65">
        <f t="shared" si="0"/>
        <v>0</v>
      </c>
      <c r="J136" s="80">
        <f t="shared" ref="J136:J148" si="2">I136*F136</f>
        <v>0</v>
      </c>
      <c r="K136" s="44"/>
      <c r="L136" s="9"/>
      <c r="M136" s="117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2"/>
    </row>
    <row r="137" spans="1:27" ht="16.5" customHeight="1">
      <c r="A137" s="51">
        <v>130</v>
      </c>
      <c r="B137" s="93"/>
      <c r="C137" s="45">
        <v>8809913830641</v>
      </c>
      <c r="D137" s="45" t="s">
        <v>300</v>
      </c>
      <c r="E137" s="46" t="s">
        <v>164</v>
      </c>
      <c r="F137" s="118">
        <v>15868.2</v>
      </c>
      <c r="G137" s="65"/>
      <c r="H137" s="145">
        <v>24</v>
      </c>
      <c r="I137" s="65">
        <f t="shared" ref="I137:I148" si="3">G137*H137</f>
        <v>0</v>
      </c>
      <c r="J137" s="80">
        <f t="shared" si="2"/>
        <v>0</v>
      </c>
      <c r="K137" s="44" t="s">
        <v>325</v>
      </c>
      <c r="L137" s="9"/>
      <c r="M137" s="117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2"/>
    </row>
    <row r="138" spans="1:27" ht="16.5" customHeight="1">
      <c r="A138" s="51">
        <v>131</v>
      </c>
      <c r="B138" s="93"/>
      <c r="C138" s="45">
        <v>8809913832645</v>
      </c>
      <c r="D138" s="45" t="s">
        <v>301</v>
      </c>
      <c r="E138" s="46" t="s">
        <v>165</v>
      </c>
      <c r="F138" s="118">
        <v>17299.2</v>
      </c>
      <c r="G138" s="65"/>
      <c r="H138" s="145">
        <v>16</v>
      </c>
      <c r="I138" s="65">
        <f t="shared" si="3"/>
        <v>0</v>
      </c>
      <c r="J138" s="80">
        <f t="shared" si="2"/>
        <v>0</v>
      </c>
      <c r="K138" s="44" t="s">
        <v>325</v>
      </c>
      <c r="L138" s="9"/>
      <c r="M138" s="117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2"/>
    </row>
    <row r="139" spans="1:27" ht="16.5" customHeight="1">
      <c r="A139" s="51">
        <v>132</v>
      </c>
      <c r="B139" s="94"/>
      <c r="C139" s="45">
        <v>8809913830344</v>
      </c>
      <c r="D139" s="45" t="s">
        <v>302</v>
      </c>
      <c r="E139" s="46" t="s">
        <v>166</v>
      </c>
      <c r="F139" s="132">
        <v>19345</v>
      </c>
      <c r="G139" s="65"/>
      <c r="H139" s="145">
        <v>50</v>
      </c>
      <c r="I139" s="65">
        <f t="shared" si="3"/>
        <v>0</v>
      </c>
      <c r="J139" s="80">
        <f t="shared" si="2"/>
        <v>0</v>
      </c>
      <c r="K139" s="44"/>
      <c r="L139" s="9"/>
      <c r="M139" s="117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2"/>
    </row>
    <row r="140" spans="1:27" ht="15.75" customHeight="1">
      <c r="A140" s="57">
        <v>133</v>
      </c>
      <c r="B140" s="114" t="s">
        <v>167</v>
      </c>
      <c r="C140" s="58">
        <v>8809913832508</v>
      </c>
      <c r="D140" s="59" t="s">
        <v>303</v>
      </c>
      <c r="E140" s="68" t="s">
        <v>168</v>
      </c>
      <c r="F140" s="120">
        <v>12317.2</v>
      </c>
      <c r="G140" s="65"/>
      <c r="H140" s="145">
        <v>45</v>
      </c>
      <c r="I140" s="65">
        <f t="shared" si="3"/>
        <v>0</v>
      </c>
      <c r="J140" s="86">
        <f t="shared" si="2"/>
        <v>0</v>
      </c>
      <c r="K140" s="60" t="s">
        <v>326</v>
      </c>
      <c r="L140" s="47"/>
      <c r="M140" s="117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2"/>
    </row>
    <row r="141" spans="1:27" ht="15.75" customHeight="1">
      <c r="A141" s="57">
        <v>134</v>
      </c>
      <c r="B141" s="115"/>
      <c r="C141" s="59">
        <v>8809913832959</v>
      </c>
      <c r="D141" s="59" t="s">
        <v>304</v>
      </c>
      <c r="E141" s="68" t="s">
        <v>176</v>
      </c>
      <c r="F141" s="120">
        <v>4918.3999999999996</v>
      </c>
      <c r="G141" s="65"/>
      <c r="H141" s="145">
        <v>300</v>
      </c>
      <c r="I141" s="65">
        <f t="shared" si="3"/>
        <v>0</v>
      </c>
      <c r="J141" s="86">
        <f t="shared" si="2"/>
        <v>0</v>
      </c>
      <c r="K141" s="60" t="s">
        <v>326</v>
      </c>
      <c r="L141" s="47"/>
      <c r="M141" s="117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2"/>
    </row>
    <row r="142" spans="1:27" ht="15.75" customHeight="1">
      <c r="A142" s="57">
        <v>135</v>
      </c>
      <c r="B142" s="115"/>
      <c r="C142" s="58">
        <v>8809913832492</v>
      </c>
      <c r="D142" s="59" t="s">
        <v>305</v>
      </c>
      <c r="E142" s="68" t="s">
        <v>169</v>
      </c>
      <c r="F142" s="120">
        <v>8384.6</v>
      </c>
      <c r="G142" s="65"/>
      <c r="H142" s="145">
        <v>45</v>
      </c>
      <c r="I142" s="65">
        <f t="shared" si="3"/>
        <v>0</v>
      </c>
      <c r="J142" s="86">
        <f t="shared" si="2"/>
        <v>0</v>
      </c>
      <c r="K142" s="60" t="s">
        <v>326</v>
      </c>
      <c r="L142" s="47"/>
      <c r="M142" s="117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2"/>
    </row>
    <row r="143" spans="1:27" ht="15.75" customHeight="1">
      <c r="A143" s="57">
        <v>136</v>
      </c>
      <c r="B143" s="115"/>
      <c r="C143" s="59">
        <v>8809913832935</v>
      </c>
      <c r="D143" s="59" t="s">
        <v>306</v>
      </c>
      <c r="E143" s="68" t="s">
        <v>177</v>
      </c>
      <c r="F143" s="120">
        <v>3773.6</v>
      </c>
      <c r="G143" s="65"/>
      <c r="H143" s="145">
        <v>300</v>
      </c>
      <c r="I143" s="65">
        <f t="shared" si="3"/>
        <v>0</v>
      </c>
      <c r="J143" s="86">
        <f t="shared" si="2"/>
        <v>0</v>
      </c>
      <c r="K143" s="60" t="s">
        <v>326</v>
      </c>
      <c r="L143" s="47"/>
      <c r="M143" s="117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2"/>
    </row>
    <row r="144" spans="1:27" ht="15.75" customHeight="1">
      <c r="A144" s="57">
        <v>137</v>
      </c>
      <c r="B144" s="115"/>
      <c r="C144" s="61">
        <v>8809913832515</v>
      </c>
      <c r="D144" s="61" t="s">
        <v>307</v>
      </c>
      <c r="E144" s="69" t="s">
        <v>170</v>
      </c>
      <c r="F144" s="120">
        <v>9900.4</v>
      </c>
      <c r="G144" s="65"/>
      <c r="H144" s="145">
        <v>45</v>
      </c>
      <c r="I144" s="65">
        <f t="shared" si="3"/>
        <v>0</v>
      </c>
      <c r="J144" s="86">
        <f t="shared" si="2"/>
        <v>0</v>
      </c>
      <c r="K144" s="60" t="s">
        <v>326</v>
      </c>
      <c r="L144" s="47"/>
      <c r="M144" s="117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2"/>
    </row>
    <row r="145" spans="1:27" ht="15.75" customHeight="1">
      <c r="A145" s="57">
        <v>138</v>
      </c>
      <c r="B145" s="115"/>
      <c r="C145" s="62">
        <v>8809913832942</v>
      </c>
      <c r="D145" s="62" t="s">
        <v>308</v>
      </c>
      <c r="E145" s="63" t="s">
        <v>178</v>
      </c>
      <c r="F145" s="120">
        <v>4462.6000000000004</v>
      </c>
      <c r="G145" s="65"/>
      <c r="H145" s="145">
        <v>300</v>
      </c>
      <c r="I145" s="65">
        <f t="shared" si="3"/>
        <v>0</v>
      </c>
      <c r="J145" s="86">
        <f t="shared" si="2"/>
        <v>0</v>
      </c>
      <c r="K145" s="60" t="s">
        <v>326</v>
      </c>
      <c r="L145" s="47"/>
      <c r="M145" s="117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2"/>
    </row>
    <row r="146" spans="1:27" ht="16.5">
      <c r="A146" s="57">
        <v>139</v>
      </c>
      <c r="B146" s="115"/>
      <c r="C146" s="62">
        <v>8809913833000</v>
      </c>
      <c r="D146" s="62" t="s">
        <v>317</v>
      </c>
      <c r="E146" s="70" t="s">
        <v>318</v>
      </c>
      <c r="F146" s="123">
        <v>318</v>
      </c>
      <c r="G146" s="65"/>
      <c r="H146" s="145">
        <v>100</v>
      </c>
      <c r="I146" s="65">
        <f t="shared" si="3"/>
        <v>0</v>
      </c>
      <c r="J146" s="86">
        <f t="shared" si="2"/>
        <v>0</v>
      </c>
      <c r="K146" s="60"/>
      <c r="L146" s="9"/>
      <c r="M146" s="117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6.5">
      <c r="A147" s="57">
        <v>140</v>
      </c>
      <c r="B147" s="115"/>
      <c r="C147" s="62">
        <v>8809913832980</v>
      </c>
      <c r="D147" s="62" t="s">
        <v>319</v>
      </c>
      <c r="E147" s="70" t="s">
        <v>320</v>
      </c>
      <c r="F147" s="123">
        <v>318</v>
      </c>
      <c r="G147" s="65"/>
      <c r="H147" s="145">
        <v>100</v>
      </c>
      <c r="I147" s="65">
        <f t="shared" si="3"/>
        <v>0</v>
      </c>
      <c r="J147" s="86">
        <f t="shared" si="2"/>
        <v>0</v>
      </c>
      <c r="K147" s="60"/>
      <c r="L147" s="9"/>
      <c r="M147" s="117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6.5">
      <c r="A148" s="57">
        <v>141</v>
      </c>
      <c r="B148" s="116"/>
      <c r="C148" s="62">
        <v>8809913832997</v>
      </c>
      <c r="D148" s="62" t="s">
        <v>321</v>
      </c>
      <c r="E148" s="70" t="s">
        <v>322</v>
      </c>
      <c r="F148" s="123">
        <v>318</v>
      </c>
      <c r="G148" s="65"/>
      <c r="H148" s="145">
        <v>100</v>
      </c>
      <c r="I148" s="65">
        <f t="shared" si="3"/>
        <v>0</v>
      </c>
      <c r="J148" s="86">
        <f t="shared" si="2"/>
        <v>0</v>
      </c>
      <c r="K148" s="60"/>
      <c r="L148" s="9"/>
      <c r="M148" s="117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6.5" customHeight="1" thickBot="1">
      <c r="A149" s="102" t="s">
        <v>171</v>
      </c>
      <c r="B149" s="103"/>
      <c r="C149" s="104"/>
      <c r="D149" s="104"/>
      <c r="E149" s="105"/>
      <c r="F149" s="48"/>
      <c r="G149" s="66" t="str">
        <f>IF(SUM(G8:G148)=0,"",SUM(G8:G148))</f>
        <v/>
      </c>
      <c r="H149" s="67"/>
      <c r="I149" s="66">
        <f>SUM(I8:I148)</f>
        <v>0</v>
      </c>
      <c r="J149" s="49">
        <f>SUM(J8:J148)</f>
        <v>0</v>
      </c>
      <c r="K149" s="50"/>
      <c r="L149" s="47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2"/>
    </row>
    <row r="150" spans="1:27" ht="16.5" customHeight="1">
      <c r="A150" s="1"/>
      <c r="B150" s="3"/>
      <c r="C150" s="4"/>
      <c r="D150" s="4"/>
      <c r="E150" s="6"/>
      <c r="F150" s="1"/>
      <c r="G150" s="1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2"/>
    </row>
    <row r="151" spans="1:27" ht="16.5" customHeight="1">
      <c r="A151" s="1"/>
      <c r="B151" s="3"/>
      <c r="C151" s="4"/>
      <c r="D151" s="4"/>
      <c r="E151" s="6"/>
      <c r="F151" s="1"/>
      <c r="G151" s="1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2"/>
    </row>
    <row r="152" spans="1:27" ht="16.5" customHeight="1">
      <c r="A152" s="1"/>
      <c r="B152" s="3"/>
      <c r="C152" s="4"/>
      <c r="D152" s="4"/>
      <c r="E152" s="6"/>
      <c r="F152" s="1"/>
      <c r="G152" s="1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2"/>
    </row>
    <row r="153" spans="1:27" ht="16.5" customHeight="1">
      <c r="A153" s="1"/>
      <c r="B153" s="3"/>
      <c r="C153" s="4"/>
      <c r="D153" s="4"/>
      <c r="E153" s="6"/>
      <c r="F153" s="1"/>
      <c r="G153" s="1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2"/>
    </row>
    <row r="154" spans="1:27" ht="16.5" customHeight="1">
      <c r="A154" s="1"/>
      <c r="B154" s="3"/>
      <c r="C154" s="4"/>
      <c r="D154" s="4"/>
      <c r="E154" s="6"/>
      <c r="F154" s="1"/>
      <c r="G154" s="1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2"/>
    </row>
    <row r="155" spans="1:27" ht="16.5" customHeight="1">
      <c r="A155" s="1"/>
      <c r="B155" s="3"/>
      <c r="C155" s="4"/>
      <c r="D155" s="4"/>
      <c r="E155" s="6"/>
      <c r="F155" s="1"/>
      <c r="G155" s="1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2"/>
    </row>
    <row r="156" spans="1:27" ht="16.5" customHeight="1">
      <c r="A156" s="1"/>
      <c r="B156" s="3"/>
      <c r="C156" s="4"/>
      <c r="D156" s="4"/>
      <c r="E156" s="6"/>
      <c r="F156" s="1"/>
      <c r="G156" s="1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2"/>
    </row>
    <row r="157" spans="1:27" ht="16.5" customHeight="1">
      <c r="A157" s="1"/>
      <c r="B157" s="3"/>
      <c r="C157" s="4"/>
      <c r="D157" s="4"/>
      <c r="E157" s="6"/>
      <c r="F157" s="1"/>
      <c r="G157" s="1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2"/>
    </row>
    <row r="158" spans="1:27" ht="16.5" customHeight="1">
      <c r="A158" s="1"/>
      <c r="B158" s="3"/>
      <c r="C158" s="4"/>
      <c r="D158" s="4"/>
      <c r="E158" s="6"/>
      <c r="F158" s="1"/>
      <c r="G158" s="1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2"/>
    </row>
    <row r="159" spans="1:27" ht="16.5" customHeight="1">
      <c r="A159" s="1"/>
      <c r="B159" s="3"/>
      <c r="C159" s="4"/>
      <c r="D159" s="4"/>
      <c r="E159" s="6"/>
      <c r="F159" s="1"/>
      <c r="G159" s="1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2"/>
    </row>
    <row r="160" spans="1:27" ht="16.5" customHeight="1">
      <c r="A160" s="1"/>
      <c r="B160" s="3"/>
      <c r="C160" s="4"/>
      <c r="D160" s="4"/>
      <c r="E160" s="6"/>
      <c r="F160" s="1"/>
      <c r="G160" s="1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2"/>
    </row>
    <row r="161" spans="1:27" ht="16.5" customHeight="1">
      <c r="A161" s="1"/>
      <c r="B161" s="3"/>
      <c r="C161" s="4"/>
      <c r="D161" s="4"/>
      <c r="E161" s="6"/>
      <c r="F161" s="1"/>
      <c r="G161" s="1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2"/>
    </row>
    <row r="162" spans="1:27" ht="16.5" customHeight="1">
      <c r="A162" s="1"/>
      <c r="B162" s="3"/>
      <c r="C162" s="4"/>
      <c r="D162" s="4"/>
      <c r="E162" s="6"/>
      <c r="F162" s="1"/>
      <c r="G162" s="1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2"/>
    </row>
    <row r="163" spans="1:27" ht="16.5" customHeight="1">
      <c r="A163" s="1"/>
      <c r="B163" s="3"/>
      <c r="C163" s="4"/>
      <c r="D163" s="4"/>
      <c r="E163" s="6"/>
      <c r="F163" s="1"/>
      <c r="G163" s="1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2"/>
    </row>
    <row r="164" spans="1:27" ht="16.5" customHeight="1">
      <c r="A164" s="1"/>
      <c r="B164" s="3"/>
      <c r="C164" s="4"/>
      <c r="D164" s="4"/>
      <c r="E164" s="6"/>
      <c r="F164" s="1"/>
      <c r="G164" s="1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2"/>
    </row>
    <row r="165" spans="1:27" ht="16.5" customHeight="1">
      <c r="A165" s="1"/>
      <c r="B165" s="3"/>
      <c r="C165" s="4"/>
      <c r="D165" s="4"/>
      <c r="E165" s="6"/>
      <c r="F165" s="1"/>
      <c r="G165" s="1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2"/>
    </row>
    <row r="166" spans="1:27" ht="16.5" customHeight="1">
      <c r="A166" s="1"/>
      <c r="B166" s="3"/>
      <c r="C166" s="4"/>
      <c r="D166" s="4"/>
      <c r="E166" s="6"/>
      <c r="F166" s="1"/>
      <c r="G166" s="1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2"/>
    </row>
    <row r="167" spans="1:27" ht="16.5" customHeight="1">
      <c r="A167" s="1"/>
      <c r="B167" s="3"/>
      <c r="C167" s="4"/>
      <c r="D167" s="4"/>
      <c r="E167" s="6"/>
      <c r="F167" s="1"/>
      <c r="G167" s="1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2"/>
    </row>
    <row r="168" spans="1:27" ht="16.5" customHeight="1">
      <c r="A168" s="1"/>
      <c r="B168" s="3"/>
      <c r="C168" s="4"/>
      <c r="D168" s="4"/>
      <c r="E168" s="6"/>
      <c r="F168" s="1"/>
      <c r="G168" s="1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2"/>
    </row>
    <row r="169" spans="1:27" ht="16.5" customHeight="1">
      <c r="A169" s="1"/>
      <c r="B169" s="3"/>
      <c r="C169" s="4"/>
      <c r="D169" s="4"/>
      <c r="E169" s="6"/>
      <c r="F169" s="1"/>
      <c r="G169" s="1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2"/>
    </row>
    <row r="170" spans="1:27" ht="16.5" customHeight="1">
      <c r="A170" s="1"/>
      <c r="B170" s="3"/>
      <c r="C170" s="4"/>
      <c r="D170" s="4"/>
      <c r="E170" s="6"/>
      <c r="F170" s="1"/>
      <c r="G170" s="1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2"/>
    </row>
    <row r="171" spans="1:27" ht="16.5" customHeight="1">
      <c r="A171" s="1"/>
      <c r="B171" s="3"/>
      <c r="C171" s="4"/>
      <c r="D171" s="4"/>
      <c r="E171" s="6"/>
      <c r="F171" s="1"/>
      <c r="G171" s="1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2"/>
    </row>
    <row r="172" spans="1:27" ht="16.5" customHeight="1">
      <c r="A172" s="1"/>
      <c r="B172" s="3"/>
      <c r="C172" s="4"/>
      <c r="D172" s="4"/>
      <c r="E172" s="6"/>
      <c r="F172" s="1"/>
      <c r="G172" s="1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2"/>
    </row>
    <row r="173" spans="1:27" ht="16.5" customHeight="1">
      <c r="A173" s="1"/>
      <c r="B173" s="3"/>
      <c r="C173" s="4"/>
      <c r="D173" s="4"/>
      <c r="E173" s="6"/>
      <c r="F173" s="1"/>
      <c r="G173" s="1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2"/>
    </row>
    <row r="174" spans="1:27" ht="16.5" customHeight="1">
      <c r="A174" s="1"/>
      <c r="B174" s="3"/>
      <c r="C174" s="4"/>
      <c r="D174" s="4"/>
      <c r="E174" s="6"/>
      <c r="F174" s="1"/>
      <c r="G174" s="1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2"/>
    </row>
    <row r="175" spans="1:27" ht="16.5" customHeight="1">
      <c r="A175" s="1"/>
      <c r="B175" s="3"/>
      <c r="C175" s="4"/>
      <c r="D175" s="4"/>
      <c r="E175" s="6"/>
      <c r="F175" s="1"/>
      <c r="G175" s="1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2"/>
    </row>
    <row r="176" spans="1:27" ht="16.5" customHeight="1">
      <c r="A176" s="1"/>
      <c r="B176" s="3"/>
      <c r="C176" s="4"/>
      <c r="D176" s="4"/>
      <c r="E176" s="6"/>
      <c r="F176" s="1"/>
      <c r="G176" s="1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2"/>
    </row>
    <row r="177" spans="1:27" ht="16.5" customHeight="1">
      <c r="A177" s="1"/>
      <c r="B177" s="3"/>
      <c r="C177" s="4"/>
      <c r="D177" s="4"/>
      <c r="E177" s="6"/>
      <c r="F177" s="1"/>
      <c r="G177" s="1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2"/>
    </row>
    <row r="178" spans="1:27" ht="16.5" customHeight="1">
      <c r="A178" s="1"/>
      <c r="B178" s="3"/>
      <c r="C178" s="4"/>
      <c r="D178" s="4"/>
      <c r="E178" s="6"/>
      <c r="F178" s="1"/>
      <c r="G178" s="1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2"/>
    </row>
    <row r="179" spans="1:27" ht="16.5" customHeight="1">
      <c r="A179" s="1"/>
      <c r="B179" s="3"/>
      <c r="C179" s="4"/>
      <c r="D179" s="4"/>
      <c r="E179" s="6"/>
      <c r="F179" s="1"/>
      <c r="G179" s="1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2"/>
    </row>
    <row r="180" spans="1:27" ht="16.5" customHeight="1">
      <c r="A180" s="1"/>
      <c r="B180" s="3"/>
      <c r="C180" s="4"/>
      <c r="D180" s="4"/>
      <c r="E180" s="6"/>
      <c r="F180" s="1"/>
      <c r="G180" s="1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2"/>
    </row>
    <row r="181" spans="1:27" ht="16.5" customHeight="1">
      <c r="A181" s="1"/>
      <c r="B181" s="3"/>
      <c r="C181" s="4"/>
      <c r="D181" s="4"/>
      <c r="E181" s="6"/>
      <c r="F181" s="1"/>
      <c r="G181" s="1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2"/>
    </row>
    <row r="182" spans="1:27" ht="16.5" customHeight="1">
      <c r="A182" s="1"/>
      <c r="B182" s="3"/>
      <c r="C182" s="4"/>
      <c r="D182" s="4"/>
      <c r="E182" s="6"/>
      <c r="F182" s="1"/>
      <c r="G182" s="1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2"/>
    </row>
    <row r="183" spans="1:27" ht="16.5" customHeight="1">
      <c r="A183" s="1"/>
      <c r="B183" s="3"/>
      <c r="C183" s="4"/>
      <c r="D183" s="4"/>
      <c r="E183" s="6"/>
      <c r="F183" s="1"/>
      <c r="G183" s="1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2"/>
    </row>
    <row r="184" spans="1:27" ht="16.5" customHeight="1">
      <c r="A184" s="1"/>
      <c r="B184" s="3"/>
      <c r="C184" s="4"/>
      <c r="D184" s="4"/>
      <c r="E184" s="6"/>
      <c r="F184" s="1"/>
      <c r="G184" s="1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2"/>
    </row>
    <row r="185" spans="1:27" ht="16.5" customHeight="1">
      <c r="A185" s="1"/>
      <c r="B185" s="3"/>
      <c r="C185" s="4"/>
      <c r="D185" s="4"/>
      <c r="E185" s="6"/>
      <c r="F185" s="1"/>
      <c r="G185" s="1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2"/>
    </row>
    <row r="186" spans="1:27" ht="16.5" customHeight="1">
      <c r="A186" s="1"/>
      <c r="B186" s="3"/>
      <c r="C186" s="4"/>
      <c r="D186" s="4"/>
      <c r="E186" s="6"/>
      <c r="F186" s="1"/>
      <c r="G186" s="1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2"/>
    </row>
    <row r="187" spans="1:27" ht="16.5" customHeight="1">
      <c r="A187" s="1"/>
      <c r="B187" s="3"/>
      <c r="C187" s="4"/>
      <c r="D187" s="4"/>
      <c r="E187" s="6"/>
      <c r="F187" s="1"/>
      <c r="G187" s="1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2"/>
    </row>
    <row r="188" spans="1:27" ht="16.5" customHeight="1">
      <c r="A188" s="1"/>
      <c r="B188" s="3"/>
      <c r="C188" s="4"/>
      <c r="D188" s="4"/>
      <c r="E188" s="6"/>
      <c r="F188" s="1"/>
      <c r="G188" s="1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2"/>
    </row>
    <row r="189" spans="1:27" ht="16.5" customHeight="1">
      <c r="A189" s="1"/>
      <c r="B189" s="3"/>
      <c r="C189" s="4"/>
      <c r="D189" s="4"/>
      <c r="E189" s="6"/>
      <c r="F189" s="1"/>
      <c r="G189" s="1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2"/>
    </row>
    <row r="190" spans="1:27" ht="16.5" customHeight="1">
      <c r="A190" s="1"/>
      <c r="B190" s="3"/>
      <c r="C190" s="4"/>
      <c r="D190" s="4"/>
      <c r="E190" s="6"/>
      <c r="F190" s="1"/>
      <c r="G190" s="1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2"/>
    </row>
    <row r="191" spans="1:27" ht="16.5" customHeight="1">
      <c r="A191" s="1"/>
      <c r="B191" s="3"/>
      <c r="C191" s="4"/>
      <c r="D191" s="4"/>
      <c r="E191" s="6"/>
      <c r="F191" s="1"/>
      <c r="G191" s="1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2"/>
    </row>
    <row r="192" spans="1:27" ht="16.5" customHeight="1">
      <c r="A192" s="1"/>
      <c r="B192" s="3"/>
      <c r="C192" s="4"/>
      <c r="D192" s="4"/>
      <c r="E192" s="6"/>
      <c r="F192" s="1"/>
      <c r="G192" s="1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2"/>
    </row>
    <row r="193" spans="1:27" ht="16.5" customHeight="1">
      <c r="A193" s="1"/>
      <c r="B193" s="3"/>
      <c r="C193" s="4"/>
      <c r="D193" s="4"/>
      <c r="E193" s="6"/>
      <c r="F193" s="1"/>
      <c r="G193" s="1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2"/>
    </row>
    <row r="194" spans="1:27" ht="16.5" customHeight="1">
      <c r="A194" s="1"/>
      <c r="B194" s="3"/>
      <c r="C194" s="4"/>
      <c r="D194" s="4"/>
      <c r="E194" s="6"/>
      <c r="F194" s="1"/>
      <c r="G194" s="1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2"/>
    </row>
    <row r="195" spans="1:27" ht="16.5" customHeight="1">
      <c r="A195" s="1"/>
      <c r="B195" s="3"/>
      <c r="C195" s="4"/>
      <c r="D195" s="4"/>
      <c r="E195" s="6"/>
      <c r="F195" s="1"/>
      <c r="G195" s="1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2"/>
    </row>
    <row r="196" spans="1:27" ht="16.5" customHeight="1">
      <c r="A196" s="1"/>
      <c r="B196" s="3"/>
      <c r="C196" s="4"/>
      <c r="D196" s="4"/>
      <c r="E196" s="6"/>
      <c r="F196" s="1"/>
      <c r="G196" s="1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2"/>
    </row>
    <row r="197" spans="1:27" ht="16.5" customHeight="1">
      <c r="A197" s="1"/>
      <c r="B197" s="3"/>
      <c r="C197" s="4"/>
      <c r="D197" s="4"/>
      <c r="E197" s="6"/>
      <c r="F197" s="1"/>
      <c r="G197" s="1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2"/>
    </row>
    <row r="198" spans="1:27" ht="16.5" customHeight="1">
      <c r="A198" s="1"/>
      <c r="B198" s="3"/>
      <c r="C198" s="4"/>
      <c r="D198" s="4"/>
      <c r="E198" s="6"/>
      <c r="F198" s="1"/>
      <c r="G198" s="1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2"/>
    </row>
    <row r="199" spans="1:27" ht="16.5" customHeight="1">
      <c r="A199" s="1"/>
      <c r="B199" s="3"/>
      <c r="C199" s="4"/>
      <c r="D199" s="4"/>
      <c r="E199" s="6"/>
      <c r="F199" s="1"/>
      <c r="G199" s="1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2"/>
    </row>
    <row r="200" spans="1:27" ht="16.5" customHeight="1">
      <c r="A200" s="1"/>
      <c r="B200" s="3"/>
      <c r="C200" s="4"/>
      <c r="D200" s="4"/>
      <c r="E200" s="6"/>
      <c r="F200" s="1"/>
      <c r="G200" s="1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2"/>
    </row>
    <row r="201" spans="1:27" ht="16.5" customHeight="1">
      <c r="A201" s="1"/>
      <c r="B201" s="3"/>
      <c r="C201" s="4"/>
      <c r="D201" s="4"/>
      <c r="E201" s="6"/>
      <c r="F201" s="1"/>
      <c r="G201" s="1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2"/>
    </row>
    <row r="202" spans="1:27" ht="16.5" customHeight="1">
      <c r="A202" s="1"/>
      <c r="B202" s="3"/>
      <c r="C202" s="4"/>
      <c r="D202" s="4"/>
      <c r="E202" s="6"/>
      <c r="F202" s="1"/>
      <c r="G202" s="1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2"/>
    </row>
    <row r="203" spans="1:27" ht="16.5" customHeight="1">
      <c r="A203" s="1"/>
      <c r="B203" s="3"/>
      <c r="C203" s="4"/>
      <c r="D203" s="4"/>
      <c r="E203" s="6"/>
      <c r="F203" s="1"/>
      <c r="G203" s="1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2"/>
    </row>
    <row r="204" spans="1:27" ht="16.5" customHeight="1">
      <c r="A204" s="1"/>
      <c r="B204" s="3"/>
      <c r="C204" s="4"/>
      <c r="D204" s="4"/>
      <c r="E204" s="6"/>
      <c r="F204" s="1"/>
      <c r="G204" s="1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2"/>
    </row>
    <row r="205" spans="1:27" ht="16.5" customHeight="1">
      <c r="A205" s="1"/>
      <c r="B205" s="3"/>
      <c r="C205" s="4"/>
      <c r="D205" s="4"/>
      <c r="E205" s="6"/>
      <c r="F205" s="1"/>
      <c r="G205" s="1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2"/>
    </row>
    <row r="206" spans="1:27" ht="16.5" customHeight="1">
      <c r="A206" s="1"/>
      <c r="B206" s="3"/>
      <c r="C206" s="4"/>
      <c r="D206" s="4"/>
      <c r="E206" s="6"/>
      <c r="F206" s="1"/>
      <c r="G206" s="1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2"/>
    </row>
    <row r="207" spans="1:27" ht="16.5" customHeight="1">
      <c r="A207" s="1"/>
      <c r="B207" s="3"/>
      <c r="C207" s="4"/>
      <c r="D207" s="4"/>
      <c r="E207" s="6"/>
      <c r="F207" s="1"/>
      <c r="G207" s="1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2"/>
    </row>
    <row r="208" spans="1:27" ht="16.5" customHeight="1">
      <c r="A208" s="1"/>
      <c r="B208" s="3"/>
      <c r="C208" s="4"/>
      <c r="D208" s="4"/>
      <c r="E208" s="6"/>
      <c r="F208" s="1"/>
      <c r="G208" s="1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2"/>
    </row>
    <row r="209" spans="1:27" ht="16.5" customHeight="1">
      <c r="A209" s="1"/>
      <c r="B209" s="3"/>
      <c r="C209" s="4"/>
      <c r="D209" s="4"/>
      <c r="E209" s="6"/>
      <c r="F209" s="1"/>
      <c r="G209" s="1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2"/>
    </row>
    <row r="210" spans="1:27" ht="16.5" customHeight="1">
      <c r="A210" s="1"/>
      <c r="B210" s="3"/>
      <c r="C210" s="4"/>
      <c r="D210" s="4"/>
      <c r="E210" s="6"/>
      <c r="F210" s="1"/>
      <c r="G210" s="1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2"/>
    </row>
    <row r="211" spans="1:27" ht="16.5" customHeight="1">
      <c r="A211" s="1"/>
      <c r="B211" s="3"/>
      <c r="C211" s="4"/>
      <c r="D211" s="4"/>
      <c r="E211" s="6"/>
      <c r="F211" s="1"/>
      <c r="G211" s="1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2"/>
    </row>
    <row r="212" spans="1:27" ht="16.5" customHeight="1">
      <c r="A212" s="1"/>
      <c r="B212" s="3"/>
      <c r="C212" s="4"/>
      <c r="D212" s="4"/>
      <c r="E212" s="6"/>
      <c r="F212" s="1"/>
      <c r="G212" s="1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2"/>
    </row>
    <row r="213" spans="1:27" ht="16.5" customHeight="1">
      <c r="A213" s="1"/>
      <c r="B213" s="3"/>
      <c r="C213" s="4"/>
      <c r="D213" s="4"/>
      <c r="E213" s="6"/>
      <c r="F213" s="1"/>
      <c r="G213" s="1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2"/>
    </row>
    <row r="214" spans="1:27" ht="16.5" customHeight="1">
      <c r="A214" s="1"/>
      <c r="B214" s="3"/>
      <c r="C214" s="4"/>
      <c r="D214" s="4"/>
      <c r="E214" s="6"/>
      <c r="F214" s="1"/>
      <c r="G214" s="1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2"/>
    </row>
    <row r="215" spans="1:27" ht="16.5" customHeight="1">
      <c r="A215" s="1"/>
      <c r="B215" s="3"/>
      <c r="C215" s="4"/>
      <c r="D215" s="4"/>
      <c r="E215" s="6"/>
      <c r="F215" s="1"/>
      <c r="G215" s="1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2"/>
    </row>
    <row r="216" spans="1:27" ht="16.5" customHeight="1">
      <c r="A216" s="1"/>
      <c r="B216" s="3"/>
      <c r="C216" s="4"/>
      <c r="D216" s="4"/>
      <c r="E216" s="6"/>
      <c r="F216" s="1"/>
      <c r="G216" s="1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2"/>
    </row>
    <row r="217" spans="1:27" ht="16.5" customHeight="1">
      <c r="A217" s="1"/>
      <c r="B217" s="3"/>
      <c r="C217" s="4"/>
      <c r="D217" s="4"/>
      <c r="E217" s="6"/>
      <c r="F217" s="1"/>
      <c r="G217" s="1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2"/>
    </row>
    <row r="218" spans="1:27" ht="16.5" customHeight="1">
      <c r="A218" s="1"/>
      <c r="B218" s="3"/>
      <c r="C218" s="4"/>
      <c r="D218" s="4"/>
      <c r="E218" s="6"/>
      <c r="F218" s="1"/>
      <c r="G218" s="1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2"/>
    </row>
    <row r="219" spans="1:27" ht="16.5" customHeight="1">
      <c r="A219" s="1"/>
      <c r="B219" s="3"/>
      <c r="C219" s="4"/>
      <c r="D219" s="4"/>
      <c r="E219" s="6"/>
      <c r="F219" s="1"/>
      <c r="G219" s="1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2"/>
    </row>
    <row r="220" spans="1:27" ht="16.5" customHeight="1">
      <c r="A220" s="1"/>
      <c r="B220" s="3"/>
      <c r="C220" s="4"/>
      <c r="D220" s="4"/>
      <c r="E220" s="6"/>
      <c r="F220" s="1"/>
      <c r="G220" s="1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2"/>
    </row>
    <row r="221" spans="1:27" ht="16.5" customHeight="1">
      <c r="A221" s="1"/>
      <c r="B221" s="3"/>
      <c r="C221" s="4"/>
      <c r="D221" s="4"/>
      <c r="E221" s="6"/>
      <c r="F221" s="1"/>
      <c r="G221" s="1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2"/>
    </row>
    <row r="222" spans="1:27" ht="16.5" customHeight="1">
      <c r="A222" s="1"/>
      <c r="B222" s="3"/>
      <c r="C222" s="4"/>
      <c r="D222" s="4"/>
      <c r="E222" s="6"/>
      <c r="F222" s="1"/>
      <c r="G222" s="1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2"/>
    </row>
    <row r="223" spans="1:27" ht="16.5" customHeight="1">
      <c r="A223" s="1"/>
      <c r="B223" s="3"/>
      <c r="C223" s="4"/>
      <c r="D223" s="4"/>
      <c r="E223" s="6"/>
      <c r="F223" s="1"/>
      <c r="G223" s="1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2"/>
    </row>
    <row r="224" spans="1:27" ht="16.5" customHeight="1">
      <c r="A224" s="1"/>
      <c r="B224" s="3"/>
      <c r="C224" s="4"/>
      <c r="D224" s="4"/>
      <c r="E224" s="6"/>
      <c r="F224" s="1"/>
      <c r="G224" s="1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2"/>
    </row>
    <row r="225" spans="1:27" ht="16.5" customHeight="1">
      <c r="A225" s="1"/>
      <c r="B225" s="3"/>
      <c r="C225" s="4"/>
      <c r="D225" s="4"/>
      <c r="E225" s="6"/>
      <c r="F225" s="1"/>
      <c r="G225" s="1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2"/>
    </row>
    <row r="226" spans="1:27" ht="16.5" customHeight="1">
      <c r="A226" s="1"/>
      <c r="B226" s="3"/>
      <c r="C226" s="4"/>
      <c r="D226" s="4"/>
      <c r="E226" s="6"/>
      <c r="F226" s="1"/>
      <c r="G226" s="1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2"/>
    </row>
    <row r="227" spans="1:27" ht="16.5" customHeight="1">
      <c r="A227" s="1"/>
      <c r="B227" s="3"/>
      <c r="C227" s="4"/>
      <c r="D227" s="4"/>
      <c r="E227" s="6"/>
      <c r="F227" s="1"/>
      <c r="G227" s="1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2"/>
    </row>
    <row r="228" spans="1:27" ht="16.5" customHeight="1">
      <c r="A228" s="1"/>
      <c r="B228" s="3"/>
      <c r="C228" s="4"/>
      <c r="D228" s="4"/>
      <c r="E228" s="6"/>
      <c r="F228" s="1"/>
      <c r="G228" s="1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2"/>
    </row>
    <row r="229" spans="1:27" ht="16.5" customHeight="1">
      <c r="A229" s="1"/>
      <c r="B229" s="3"/>
      <c r="C229" s="4"/>
      <c r="D229" s="4"/>
      <c r="E229" s="6"/>
      <c r="F229" s="1"/>
      <c r="G229" s="1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2"/>
    </row>
    <row r="230" spans="1:27" ht="16.5" customHeight="1">
      <c r="A230" s="1"/>
      <c r="B230" s="3"/>
      <c r="C230" s="4"/>
      <c r="D230" s="4"/>
      <c r="E230" s="6"/>
      <c r="F230" s="1"/>
      <c r="G230" s="1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2"/>
    </row>
    <row r="231" spans="1:27" ht="16.5" customHeight="1">
      <c r="A231" s="1"/>
      <c r="B231" s="3"/>
      <c r="C231" s="4"/>
      <c r="D231" s="4"/>
      <c r="E231" s="6"/>
      <c r="F231" s="1"/>
      <c r="G231" s="1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2"/>
    </row>
    <row r="232" spans="1:27" ht="16.5" customHeight="1">
      <c r="A232" s="1"/>
      <c r="B232" s="3"/>
      <c r="C232" s="4"/>
      <c r="D232" s="4"/>
      <c r="E232" s="6"/>
      <c r="F232" s="1"/>
      <c r="G232" s="1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2"/>
    </row>
    <row r="233" spans="1:27" ht="16.5" customHeight="1">
      <c r="A233" s="1"/>
      <c r="B233" s="3"/>
      <c r="C233" s="4"/>
      <c r="D233" s="4"/>
      <c r="E233" s="6"/>
      <c r="F233" s="1"/>
      <c r="G233" s="1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2"/>
    </row>
    <row r="234" spans="1:27" ht="16.5" customHeight="1">
      <c r="A234" s="1"/>
      <c r="B234" s="3"/>
      <c r="C234" s="4"/>
      <c r="D234" s="4"/>
      <c r="E234" s="6"/>
      <c r="F234" s="1"/>
      <c r="G234" s="1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2"/>
    </row>
    <row r="235" spans="1:27" ht="16.5" customHeight="1">
      <c r="A235" s="1"/>
      <c r="B235" s="3"/>
      <c r="C235" s="4"/>
      <c r="D235" s="4"/>
      <c r="E235" s="6"/>
      <c r="F235" s="1"/>
      <c r="G235" s="1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2"/>
    </row>
    <row r="236" spans="1:27" ht="16.5" customHeight="1">
      <c r="A236" s="1"/>
      <c r="B236" s="3"/>
      <c r="C236" s="4"/>
      <c r="D236" s="4"/>
      <c r="E236" s="6"/>
      <c r="F236" s="1"/>
      <c r="G236" s="1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2"/>
    </row>
    <row r="237" spans="1:27" ht="16.5" customHeight="1">
      <c r="A237" s="1"/>
      <c r="B237" s="3"/>
      <c r="C237" s="4"/>
      <c r="D237" s="4"/>
      <c r="E237" s="6"/>
      <c r="F237" s="1"/>
      <c r="G237" s="1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2"/>
    </row>
    <row r="238" spans="1:27" ht="16.5" customHeight="1">
      <c r="A238" s="1"/>
      <c r="B238" s="3"/>
      <c r="C238" s="4"/>
      <c r="D238" s="4"/>
      <c r="E238" s="6"/>
      <c r="F238" s="1"/>
      <c r="G238" s="1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2"/>
    </row>
    <row r="239" spans="1:27" ht="16.5" customHeight="1">
      <c r="A239" s="1"/>
      <c r="B239" s="3"/>
      <c r="C239" s="4"/>
      <c r="D239" s="4"/>
      <c r="E239" s="6"/>
      <c r="F239" s="1"/>
      <c r="G239" s="1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2"/>
    </row>
    <row r="240" spans="1:27" ht="16.5" customHeight="1">
      <c r="A240" s="1"/>
      <c r="B240" s="3"/>
      <c r="C240" s="4"/>
      <c r="D240" s="4"/>
      <c r="E240" s="6"/>
      <c r="F240" s="1"/>
      <c r="G240" s="1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2"/>
    </row>
    <row r="241" spans="1:27" ht="16.5" customHeight="1">
      <c r="A241" s="1"/>
      <c r="B241" s="3"/>
      <c r="C241" s="4"/>
      <c r="D241" s="4"/>
      <c r="E241" s="6"/>
      <c r="F241" s="1"/>
      <c r="G241" s="1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2"/>
    </row>
    <row r="242" spans="1:27" ht="16.5" customHeight="1">
      <c r="A242" s="1"/>
      <c r="B242" s="3"/>
      <c r="C242" s="4"/>
      <c r="D242" s="4"/>
      <c r="E242" s="6"/>
      <c r="F242" s="1"/>
      <c r="G242" s="1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2"/>
    </row>
    <row r="243" spans="1:27" ht="16.5" customHeight="1">
      <c r="A243" s="1"/>
      <c r="B243" s="3"/>
      <c r="C243" s="4"/>
      <c r="D243" s="4"/>
      <c r="E243" s="6"/>
      <c r="F243" s="1"/>
      <c r="G243" s="1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2"/>
    </row>
    <row r="244" spans="1:27" ht="16.5" customHeight="1">
      <c r="A244" s="1"/>
      <c r="B244" s="3"/>
      <c r="C244" s="4"/>
      <c r="D244" s="4"/>
      <c r="E244" s="6"/>
      <c r="F244" s="1"/>
      <c r="G244" s="1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2"/>
    </row>
    <row r="245" spans="1:27" ht="16.5" customHeight="1">
      <c r="A245" s="1"/>
      <c r="B245" s="3"/>
      <c r="C245" s="4"/>
      <c r="D245" s="4"/>
      <c r="E245" s="6"/>
      <c r="F245" s="1"/>
      <c r="G245" s="1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2"/>
    </row>
    <row r="246" spans="1:27" ht="16.5" customHeight="1">
      <c r="A246" s="1"/>
      <c r="B246" s="3"/>
      <c r="C246" s="4"/>
      <c r="D246" s="4"/>
      <c r="E246" s="6"/>
      <c r="F246" s="1"/>
      <c r="G246" s="1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2"/>
    </row>
    <row r="247" spans="1:27" ht="16.5" customHeight="1">
      <c r="A247" s="1"/>
      <c r="B247" s="3"/>
      <c r="C247" s="4"/>
      <c r="D247" s="4"/>
      <c r="E247" s="6"/>
      <c r="F247" s="1"/>
      <c r="G247" s="1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2"/>
    </row>
    <row r="248" spans="1:27" ht="16.5" customHeight="1">
      <c r="A248" s="1"/>
      <c r="B248" s="3"/>
      <c r="C248" s="4"/>
      <c r="D248" s="4"/>
      <c r="E248" s="6"/>
      <c r="F248" s="1"/>
      <c r="G248" s="1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2"/>
    </row>
    <row r="249" spans="1:27" ht="16.5" customHeight="1">
      <c r="A249" s="1"/>
      <c r="B249" s="3"/>
      <c r="C249" s="4"/>
      <c r="D249" s="4"/>
      <c r="E249" s="6"/>
      <c r="F249" s="1"/>
      <c r="G249" s="1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2"/>
    </row>
    <row r="250" spans="1:27" ht="16.5" customHeight="1">
      <c r="A250" s="1"/>
      <c r="B250" s="3"/>
      <c r="C250" s="4"/>
      <c r="D250" s="4"/>
      <c r="E250" s="6"/>
      <c r="F250" s="1"/>
      <c r="G250" s="1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2"/>
    </row>
    <row r="251" spans="1:27" ht="16.5" customHeight="1">
      <c r="A251" s="1"/>
      <c r="B251" s="3"/>
      <c r="C251" s="4"/>
      <c r="D251" s="4"/>
      <c r="E251" s="6"/>
      <c r="F251" s="1"/>
      <c r="G251" s="1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2"/>
    </row>
    <row r="252" spans="1:27" ht="16.5" customHeight="1">
      <c r="A252" s="1"/>
      <c r="B252" s="3"/>
      <c r="C252" s="4"/>
      <c r="D252" s="4"/>
      <c r="E252" s="6"/>
      <c r="F252" s="1"/>
      <c r="G252" s="1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2"/>
    </row>
    <row r="253" spans="1:27" ht="16.5" customHeight="1">
      <c r="A253" s="1"/>
      <c r="B253" s="3"/>
      <c r="C253" s="4"/>
      <c r="D253" s="4"/>
      <c r="E253" s="6"/>
      <c r="F253" s="1"/>
      <c r="G253" s="1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2"/>
    </row>
    <row r="254" spans="1:27" ht="16.5" customHeight="1">
      <c r="A254" s="1"/>
      <c r="B254" s="3"/>
      <c r="C254" s="4"/>
      <c r="D254" s="4"/>
      <c r="E254" s="6"/>
      <c r="F254" s="1"/>
      <c r="G254" s="1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2"/>
    </row>
    <row r="255" spans="1:27" ht="16.5" customHeight="1">
      <c r="A255" s="1"/>
      <c r="B255" s="3"/>
      <c r="C255" s="4"/>
      <c r="D255" s="4"/>
      <c r="E255" s="6"/>
      <c r="F255" s="1"/>
      <c r="G255" s="1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2"/>
    </row>
    <row r="256" spans="1:27" ht="16.5" customHeight="1">
      <c r="A256" s="1"/>
      <c r="B256" s="3"/>
      <c r="C256" s="4"/>
      <c r="D256" s="4"/>
      <c r="E256" s="6"/>
      <c r="F256" s="1"/>
      <c r="G256" s="1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2"/>
    </row>
    <row r="257" spans="1:27" ht="16.5" customHeight="1">
      <c r="A257" s="1"/>
      <c r="B257" s="3"/>
      <c r="C257" s="4"/>
      <c r="D257" s="4"/>
      <c r="E257" s="6"/>
      <c r="F257" s="1"/>
      <c r="G257" s="1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2"/>
    </row>
    <row r="258" spans="1:27" ht="16.5" customHeight="1">
      <c r="A258" s="1"/>
      <c r="B258" s="3"/>
      <c r="C258" s="4"/>
      <c r="D258" s="4"/>
      <c r="E258" s="6"/>
      <c r="F258" s="1"/>
      <c r="G258" s="1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2"/>
    </row>
    <row r="259" spans="1:27" ht="16.5" customHeight="1">
      <c r="A259" s="1"/>
      <c r="B259" s="3"/>
      <c r="C259" s="4"/>
      <c r="D259" s="4"/>
      <c r="E259" s="6"/>
      <c r="F259" s="1"/>
      <c r="G259" s="1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2"/>
    </row>
    <row r="260" spans="1:27" ht="16.5" customHeight="1">
      <c r="A260" s="1"/>
      <c r="B260" s="3"/>
      <c r="C260" s="4"/>
      <c r="D260" s="4"/>
      <c r="E260" s="6"/>
      <c r="F260" s="1"/>
      <c r="G260" s="1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2"/>
    </row>
    <row r="261" spans="1:27" ht="16.5" customHeight="1">
      <c r="A261" s="1"/>
      <c r="B261" s="3"/>
      <c r="C261" s="4"/>
      <c r="D261" s="4"/>
      <c r="E261" s="6"/>
      <c r="F261" s="1"/>
      <c r="G261" s="1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2"/>
    </row>
    <row r="262" spans="1:27" ht="16.5" customHeight="1">
      <c r="A262" s="1"/>
      <c r="B262" s="3"/>
      <c r="C262" s="4"/>
      <c r="D262" s="4"/>
      <c r="E262" s="6"/>
      <c r="F262" s="1"/>
      <c r="G262" s="1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2"/>
    </row>
    <row r="263" spans="1:27" ht="16.5" customHeight="1">
      <c r="A263" s="1"/>
      <c r="B263" s="3"/>
      <c r="C263" s="4"/>
      <c r="D263" s="4"/>
      <c r="E263" s="6"/>
      <c r="F263" s="1"/>
      <c r="G263" s="1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2"/>
    </row>
    <row r="264" spans="1:27" ht="16.5" customHeight="1">
      <c r="A264" s="1"/>
      <c r="B264" s="3"/>
      <c r="C264" s="4"/>
      <c r="D264" s="4"/>
      <c r="E264" s="6"/>
      <c r="F264" s="1"/>
      <c r="G264" s="1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2"/>
    </row>
    <row r="265" spans="1:27" ht="16.5" customHeight="1">
      <c r="A265" s="1"/>
      <c r="B265" s="3"/>
      <c r="C265" s="4"/>
      <c r="D265" s="4"/>
      <c r="E265" s="6"/>
      <c r="F265" s="1"/>
      <c r="G265" s="1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2"/>
    </row>
    <row r="266" spans="1:27" ht="16.5" customHeight="1">
      <c r="A266" s="1"/>
      <c r="B266" s="3"/>
      <c r="C266" s="4"/>
      <c r="D266" s="4"/>
      <c r="E266" s="6"/>
      <c r="F266" s="1"/>
      <c r="G266" s="1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2"/>
    </row>
    <row r="267" spans="1:27" ht="16.5" customHeight="1">
      <c r="A267" s="1"/>
      <c r="B267" s="3"/>
      <c r="C267" s="4"/>
      <c r="D267" s="4"/>
      <c r="E267" s="6"/>
      <c r="F267" s="1"/>
      <c r="G267" s="1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2"/>
    </row>
    <row r="268" spans="1:27" ht="16.5" customHeight="1">
      <c r="A268" s="1"/>
      <c r="B268" s="3"/>
      <c r="C268" s="4"/>
      <c r="D268" s="4"/>
      <c r="E268" s="6"/>
      <c r="F268" s="1"/>
      <c r="G268" s="1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2"/>
    </row>
    <row r="269" spans="1:27" ht="16.5" customHeight="1">
      <c r="A269" s="1"/>
      <c r="B269" s="3"/>
      <c r="C269" s="4"/>
      <c r="D269" s="4"/>
      <c r="E269" s="6"/>
      <c r="F269" s="1"/>
      <c r="G269" s="1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2"/>
    </row>
    <row r="270" spans="1:27" ht="16.5" customHeight="1">
      <c r="A270" s="1"/>
      <c r="B270" s="3"/>
      <c r="C270" s="4"/>
      <c r="D270" s="4"/>
      <c r="E270" s="6"/>
      <c r="F270" s="1"/>
      <c r="G270" s="1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2"/>
    </row>
    <row r="271" spans="1:27" ht="16.5" customHeight="1">
      <c r="A271" s="1"/>
      <c r="B271" s="3"/>
      <c r="C271" s="4"/>
      <c r="D271" s="4"/>
      <c r="E271" s="6"/>
      <c r="F271" s="1"/>
      <c r="G271" s="1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2"/>
    </row>
    <row r="272" spans="1:27" ht="16.5" customHeight="1">
      <c r="A272" s="1"/>
      <c r="B272" s="3"/>
      <c r="C272" s="4"/>
      <c r="D272" s="4"/>
      <c r="E272" s="6"/>
      <c r="F272" s="1"/>
      <c r="G272" s="1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2"/>
    </row>
    <row r="273" spans="1:27" ht="16.5" customHeight="1">
      <c r="A273" s="1"/>
      <c r="B273" s="3"/>
      <c r="C273" s="4"/>
      <c r="D273" s="4"/>
      <c r="E273" s="6"/>
      <c r="F273" s="1"/>
      <c r="G273" s="1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2"/>
    </row>
    <row r="274" spans="1:27" ht="16.5" customHeight="1">
      <c r="A274" s="1"/>
      <c r="B274" s="3"/>
      <c r="C274" s="4"/>
      <c r="D274" s="4"/>
      <c r="E274" s="6"/>
      <c r="F274" s="1"/>
      <c r="G274" s="1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2"/>
    </row>
    <row r="275" spans="1:27" ht="16.5" customHeight="1">
      <c r="A275" s="1"/>
      <c r="B275" s="3"/>
      <c r="C275" s="4"/>
      <c r="D275" s="4"/>
      <c r="E275" s="6"/>
      <c r="F275" s="1"/>
      <c r="G275" s="1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2"/>
    </row>
    <row r="276" spans="1:27" ht="16.5" customHeight="1">
      <c r="A276" s="1"/>
      <c r="B276" s="3"/>
      <c r="C276" s="4"/>
      <c r="D276" s="4"/>
      <c r="E276" s="6"/>
      <c r="F276" s="1"/>
      <c r="G276" s="1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2"/>
    </row>
    <row r="277" spans="1:27" ht="16.5" customHeight="1">
      <c r="A277" s="1"/>
      <c r="B277" s="3"/>
      <c r="C277" s="4"/>
      <c r="D277" s="4"/>
      <c r="E277" s="6"/>
      <c r="F277" s="1"/>
      <c r="G277" s="1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2"/>
    </row>
    <row r="278" spans="1:27" ht="16.5" customHeight="1">
      <c r="A278" s="1"/>
      <c r="B278" s="3"/>
      <c r="C278" s="4"/>
      <c r="D278" s="4"/>
      <c r="E278" s="6"/>
      <c r="F278" s="1"/>
      <c r="G278" s="1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2"/>
    </row>
    <row r="279" spans="1:27" ht="16.5" customHeight="1">
      <c r="A279" s="1"/>
      <c r="B279" s="3"/>
      <c r="C279" s="4"/>
      <c r="D279" s="4"/>
      <c r="E279" s="6"/>
      <c r="F279" s="1"/>
      <c r="G279" s="1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2"/>
    </row>
    <row r="280" spans="1:27" ht="16.5" customHeight="1">
      <c r="A280" s="1"/>
      <c r="B280" s="3"/>
      <c r="C280" s="4"/>
      <c r="D280" s="4"/>
      <c r="E280" s="6"/>
      <c r="F280" s="1"/>
      <c r="G280" s="1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2"/>
    </row>
    <row r="281" spans="1:27" ht="16.5" customHeight="1">
      <c r="A281" s="1"/>
      <c r="B281" s="3"/>
      <c r="C281" s="4"/>
      <c r="D281" s="4"/>
      <c r="E281" s="6"/>
      <c r="F281" s="1"/>
      <c r="G281" s="1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2"/>
    </row>
    <row r="282" spans="1:27" ht="16.5" customHeight="1">
      <c r="A282" s="1"/>
      <c r="B282" s="3"/>
      <c r="C282" s="4"/>
      <c r="D282" s="4"/>
      <c r="E282" s="6"/>
      <c r="F282" s="1"/>
      <c r="G282" s="1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2"/>
    </row>
    <row r="283" spans="1:27" ht="16.5" customHeight="1">
      <c r="A283" s="1"/>
      <c r="B283" s="3"/>
      <c r="C283" s="4"/>
      <c r="D283" s="4"/>
      <c r="E283" s="6"/>
      <c r="F283" s="1"/>
      <c r="G283" s="1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2"/>
    </row>
    <row r="284" spans="1:27" ht="16.5" customHeight="1">
      <c r="A284" s="1"/>
      <c r="B284" s="3"/>
      <c r="C284" s="4"/>
      <c r="D284" s="4"/>
      <c r="E284" s="6"/>
      <c r="F284" s="1"/>
      <c r="G284" s="1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2"/>
    </row>
    <row r="285" spans="1:27" ht="16.5" customHeight="1">
      <c r="A285" s="1"/>
      <c r="B285" s="3"/>
      <c r="C285" s="4"/>
      <c r="D285" s="4"/>
      <c r="E285" s="6"/>
      <c r="F285" s="1"/>
      <c r="G285" s="1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2"/>
    </row>
    <row r="286" spans="1:27" ht="16.5" customHeight="1">
      <c r="A286" s="1"/>
      <c r="B286" s="3"/>
      <c r="C286" s="4"/>
      <c r="D286" s="4"/>
      <c r="E286" s="6"/>
      <c r="F286" s="1"/>
      <c r="G286" s="1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2"/>
    </row>
    <row r="287" spans="1:27" ht="16.5" customHeight="1">
      <c r="A287" s="1"/>
      <c r="B287" s="3"/>
      <c r="C287" s="4"/>
      <c r="D287" s="4"/>
      <c r="E287" s="6"/>
      <c r="F287" s="1"/>
      <c r="G287" s="1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2"/>
    </row>
    <row r="288" spans="1:27" ht="16.5" customHeight="1">
      <c r="A288" s="1"/>
      <c r="B288" s="3"/>
      <c r="C288" s="4"/>
      <c r="D288" s="4"/>
      <c r="E288" s="6"/>
      <c r="F288" s="1"/>
      <c r="G288" s="1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2"/>
    </row>
    <row r="289" spans="1:27" ht="16.5" customHeight="1">
      <c r="A289" s="1"/>
      <c r="B289" s="3"/>
      <c r="C289" s="4"/>
      <c r="D289" s="4"/>
      <c r="E289" s="6"/>
      <c r="F289" s="1"/>
      <c r="G289" s="1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2"/>
    </row>
    <row r="290" spans="1:27" ht="16.5" customHeight="1">
      <c r="A290" s="1"/>
      <c r="B290" s="3"/>
      <c r="C290" s="4"/>
      <c r="D290" s="4"/>
      <c r="E290" s="6"/>
      <c r="F290" s="1"/>
      <c r="G290" s="1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2"/>
    </row>
    <row r="291" spans="1:27" ht="16.5" customHeight="1">
      <c r="A291" s="1"/>
      <c r="B291" s="3"/>
      <c r="C291" s="4"/>
      <c r="D291" s="4"/>
      <c r="E291" s="6"/>
      <c r="F291" s="1"/>
      <c r="G291" s="1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2"/>
    </row>
    <row r="292" spans="1:27" ht="16.5" customHeight="1">
      <c r="A292" s="1"/>
      <c r="B292" s="3"/>
      <c r="C292" s="4"/>
      <c r="D292" s="4"/>
      <c r="E292" s="6"/>
      <c r="F292" s="1"/>
      <c r="G292" s="1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2"/>
    </row>
    <row r="293" spans="1:27" ht="16.5" customHeight="1">
      <c r="A293" s="1"/>
      <c r="B293" s="3"/>
      <c r="C293" s="4"/>
      <c r="D293" s="4"/>
      <c r="E293" s="6"/>
      <c r="F293" s="1"/>
      <c r="G293" s="1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2"/>
    </row>
    <row r="294" spans="1:27" ht="16.5" customHeight="1">
      <c r="A294" s="1"/>
      <c r="B294" s="3"/>
      <c r="C294" s="4"/>
      <c r="D294" s="4"/>
      <c r="E294" s="6"/>
      <c r="F294" s="1"/>
      <c r="G294" s="1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2"/>
    </row>
    <row r="295" spans="1:27" ht="16.5" customHeight="1">
      <c r="A295" s="1"/>
      <c r="B295" s="3"/>
      <c r="C295" s="4"/>
      <c r="D295" s="4"/>
      <c r="E295" s="6"/>
      <c r="F295" s="1"/>
      <c r="G295" s="1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2"/>
    </row>
    <row r="296" spans="1:27" ht="16.5" customHeight="1">
      <c r="A296" s="1"/>
      <c r="B296" s="3"/>
      <c r="C296" s="4"/>
      <c r="D296" s="4"/>
      <c r="E296" s="6"/>
      <c r="F296" s="1"/>
      <c r="G296" s="1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2"/>
    </row>
    <row r="297" spans="1:27" ht="16.5" customHeight="1">
      <c r="A297" s="1"/>
      <c r="B297" s="3"/>
      <c r="C297" s="4"/>
      <c r="D297" s="4"/>
      <c r="E297" s="6"/>
      <c r="F297" s="1"/>
      <c r="G297" s="1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2"/>
    </row>
    <row r="298" spans="1:27" ht="16.5" customHeight="1">
      <c r="A298" s="1"/>
      <c r="B298" s="3"/>
      <c r="C298" s="4"/>
      <c r="D298" s="4"/>
      <c r="E298" s="6"/>
      <c r="F298" s="1"/>
      <c r="G298" s="1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2"/>
    </row>
    <row r="299" spans="1:27" ht="16.5" customHeight="1">
      <c r="A299" s="1"/>
      <c r="B299" s="3"/>
      <c r="C299" s="4"/>
      <c r="D299" s="4"/>
      <c r="E299" s="6"/>
      <c r="F299" s="1"/>
      <c r="G299" s="1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2"/>
    </row>
    <row r="300" spans="1:27" ht="16.5" customHeight="1">
      <c r="A300" s="1"/>
      <c r="B300" s="3"/>
      <c r="C300" s="4"/>
      <c r="D300" s="4"/>
      <c r="E300" s="6"/>
      <c r="F300" s="1"/>
      <c r="G300" s="1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2"/>
    </row>
    <row r="301" spans="1:27" ht="16.5" customHeight="1">
      <c r="A301" s="1"/>
      <c r="B301" s="3"/>
      <c r="C301" s="4"/>
      <c r="D301" s="4"/>
      <c r="E301" s="6"/>
      <c r="F301" s="1"/>
      <c r="G301" s="1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2"/>
    </row>
    <row r="302" spans="1:27" ht="16.5" customHeight="1">
      <c r="A302" s="1"/>
      <c r="B302" s="3"/>
      <c r="C302" s="4"/>
      <c r="D302" s="4"/>
      <c r="E302" s="6"/>
      <c r="F302" s="1"/>
      <c r="G302" s="1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2"/>
    </row>
    <row r="303" spans="1:27" ht="16.5" customHeight="1">
      <c r="A303" s="1"/>
      <c r="B303" s="3"/>
      <c r="C303" s="4"/>
      <c r="D303" s="4"/>
      <c r="E303" s="6"/>
      <c r="F303" s="1"/>
      <c r="G303" s="1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2"/>
    </row>
    <row r="304" spans="1:27" ht="16.5" customHeight="1">
      <c r="A304" s="1"/>
      <c r="B304" s="3"/>
      <c r="C304" s="4"/>
      <c r="D304" s="4"/>
      <c r="E304" s="6"/>
      <c r="F304" s="1"/>
      <c r="G304" s="1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2"/>
    </row>
    <row r="305" spans="1:27" ht="16.5" customHeight="1">
      <c r="A305" s="1"/>
      <c r="B305" s="3"/>
      <c r="C305" s="4"/>
      <c r="D305" s="4"/>
      <c r="E305" s="6"/>
      <c r="F305" s="1"/>
      <c r="G305" s="1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2"/>
    </row>
    <row r="306" spans="1:27" ht="16.5" customHeight="1">
      <c r="A306" s="1"/>
      <c r="B306" s="3"/>
      <c r="C306" s="4"/>
      <c r="D306" s="4"/>
      <c r="E306" s="6"/>
      <c r="F306" s="1"/>
      <c r="G306" s="1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2"/>
    </row>
    <row r="307" spans="1:27" ht="16.5" customHeight="1">
      <c r="A307" s="1"/>
      <c r="B307" s="3"/>
      <c r="C307" s="4"/>
      <c r="D307" s="4"/>
      <c r="E307" s="6"/>
      <c r="F307" s="1"/>
      <c r="G307" s="1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2"/>
    </row>
    <row r="308" spans="1:27" ht="16.5" customHeight="1">
      <c r="A308" s="1"/>
      <c r="B308" s="3"/>
      <c r="C308" s="4"/>
      <c r="D308" s="4"/>
      <c r="E308" s="6"/>
      <c r="F308" s="1"/>
      <c r="G308" s="1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2"/>
    </row>
    <row r="309" spans="1:27" ht="16.5" customHeight="1">
      <c r="A309" s="1"/>
      <c r="B309" s="3"/>
      <c r="C309" s="4"/>
      <c r="D309" s="4"/>
      <c r="E309" s="6"/>
      <c r="F309" s="1"/>
      <c r="G309" s="1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2"/>
    </row>
    <row r="310" spans="1:27" ht="16.5" customHeight="1">
      <c r="A310" s="1"/>
      <c r="B310" s="3"/>
      <c r="C310" s="4"/>
      <c r="D310" s="4"/>
      <c r="E310" s="6"/>
      <c r="F310" s="1"/>
      <c r="G310" s="1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2"/>
    </row>
    <row r="311" spans="1:27" ht="16.5" customHeight="1">
      <c r="A311" s="1"/>
      <c r="B311" s="3"/>
      <c r="C311" s="4"/>
      <c r="D311" s="4"/>
      <c r="E311" s="6"/>
      <c r="F311" s="1"/>
      <c r="G311" s="1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2"/>
    </row>
    <row r="312" spans="1:27" ht="16.5" customHeight="1">
      <c r="A312" s="1"/>
      <c r="B312" s="3"/>
      <c r="C312" s="4"/>
      <c r="D312" s="4"/>
      <c r="E312" s="6"/>
      <c r="F312" s="1"/>
      <c r="G312" s="1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2"/>
    </row>
    <row r="313" spans="1:27" ht="16.5" customHeight="1">
      <c r="A313" s="1"/>
      <c r="B313" s="3"/>
      <c r="C313" s="4"/>
      <c r="D313" s="4"/>
      <c r="E313" s="6"/>
      <c r="F313" s="1"/>
      <c r="G313" s="1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2"/>
    </row>
    <row r="314" spans="1:27" ht="16.5" customHeight="1">
      <c r="A314" s="1"/>
      <c r="B314" s="3"/>
      <c r="C314" s="4"/>
      <c r="D314" s="4"/>
      <c r="E314" s="6"/>
      <c r="F314" s="1"/>
      <c r="G314" s="1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2"/>
    </row>
    <row r="315" spans="1:27" ht="16.5" customHeight="1">
      <c r="A315" s="1"/>
      <c r="B315" s="3"/>
      <c r="C315" s="4"/>
      <c r="D315" s="4"/>
      <c r="E315" s="6"/>
      <c r="F315" s="1"/>
      <c r="G315" s="1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2"/>
    </row>
    <row r="316" spans="1:27" ht="16.5" customHeight="1">
      <c r="A316" s="1"/>
      <c r="B316" s="3"/>
      <c r="C316" s="4"/>
      <c r="D316" s="4"/>
      <c r="E316" s="6"/>
      <c r="F316" s="1"/>
      <c r="G316" s="1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2"/>
    </row>
    <row r="317" spans="1:27" ht="16.5" customHeight="1">
      <c r="A317" s="1"/>
      <c r="B317" s="3"/>
      <c r="C317" s="4"/>
      <c r="D317" s="4"/>
      <c r="E317" s="6"/>
      <c r="F317" s="1"/>
      <c r="G317" s="1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2"/>
    </row>
    <row r="318" spans="1:27" ht="16.5" customHeight="1">
      <c r="A318" s="1"/>
      <c r="B318" s="3"/>
      <c r="C318" s="4"/>
      <c r="D318" s="4"/>
      <c r="E318" s="6"/>
      <c r="F318" s="1"/>
      <c r="G318" s="1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2"/>
    </row>
    <row r="319" spans="1:27" ht="16.5" customHeight="1">
      <c r="A319" s="1"/>
      <c r="B319" s="3"/>
      <c r="C319" s="4"/>
      <c r="D319" s="4"/>
      <c r="E319" s="6"/>
      <c r="F319" s="1"/>
      <c r="G319" s="1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2"/>
    </row>
    <row r="320" spans="1:27" ht="16.5" customHeight="1">
      <c r="A320" s="1"/>
      <c r="B320" s="3"/>
      <c r="C320" s="4"/>
      <c r="D320" s="4"/>
      <c r="E320" s="6"/>
      <c r="F320" s="1"/>
      <c r="G320" s="1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2"/>
    </row>
    <row r="321" spans="1:27" ht="16.5" customHeight="1">
      <c r="A321" s="1"/>
      <c r="B321" s="3"/>
      <c r="C321" s="4"/>
      <c r="D321" s="4"/>
      <c r="E321" s="6"/>
      <c r="F321" s="1"/>
      <c r="G321" s="1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2"/>
    </row>
    <row r="322" spans="1:27" ht="16.5" customHeight="1">
      <c r="A322" s="1"/>
      <c r="B322" s="3"/>
      <c r="C322" s="4"/>
      <c r="D322" s="4"/>
      <c r="E322" s="6"/>
      <c r="F322" s="1"/>
      <c r="G322" s="1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2"/>
    </row>
    <row r="323" spans="1:27" ht="16.5" customHeight="1">
      <c r="A323" s="1"/>
      <c r="B323" s="3"/>
      <c r="C323" s="4"/>
      <c r="D323" s="4"/>
      <c r="E323" s="6"/>
      <c r="F323" s="1"/>
      <c r="G323" s="1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2"/>
    </row>
    <row r="324" spans="1:27" ht="16.5" customHeight="1">
      <c r="A324" s="1"/>
      <c r="B324" s="3"/>
      <c r="C324" s="4"/>
      <c r="D324" s="4"/>
      <c r="E324" s="6"/>
      <c r="F324" s="1"/>
      <c r="G324" s="1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2"/>
    </row>
    <row r="325" spans="1:27" ht="16.5" customHeight="1">
      <c r="A325" s="1"/>
      <c r="B325" s="3"/>
      <c r="C325" s="4"/>
      <c r="D325" s="4"/>
      <c r="E325" s="6"/>
      <c r="F325" s="1"/>
      <c r="G325" s="1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2"/>
    </row>
    <row r="326" spans="1:27" ht="16.5" customHeight="1">
      <c r="A326" s="1"/>
      <c r="B326" s="3"/>
      <c r="C326" s="4"/>
      <c r="D326" s="4"/>
      <c r="E326" s="6"/>
      <c r="F326" s="1"/>
      <c r="G326" s="1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2"/>
    </row>
    <row r="327" spans="1:27" ht="16.5" customHeight="1">
      <c r="A327" s="1"/>
      <c r="B327" s="3"/>
      <c r="C327" s="4"/>
      <c r="D327" s="4"/>
      <c r="E327" s="6"/>
      <c r="F327" s="1"/>
      <c r="G327" s="1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2"/>
    </row>
    <row r="328" spans="1:27" ht="16.5" customHeight="1">
      <c r="A328" s="1"/>
      <c r="B328" s="3"/>
      <c r="C328" s="4"/>
      <c r="D328" s="4"/>
      <c r="E328" s="6"/>
      <c r="F328" s="1"/>
      <c r="G328" s="1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2"/>
    </row>
    <row r="329" spans="1:27" ht="16.5" customHeight="1">
      <c r="A329" s="1"/>
      <c r="B329" s="3"/>
      <c r="C329" s="4"/>
      <c r="D329" s="4"/>
      <c r="E329" s="6"/>
      <c r="F329" s="1"/>
      <c r="G329" s="1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2"/>
    </row>
    <row r="330" spans="1:27" ht="16.5" customHeight="1">
      <c r="A330" s="1"/>
      <c r="B330" s="3"/>
      <c r="C330" s="4"/>
      <c r="D330" s="4"/>
      <c r="E330" s="6"/>
      <c r="F330" s="1"/>
      <c r="G330" s="1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2"/>
    </row>
    <row r="331" spans="1:27" ht="16.5" customHeight="1">
      <c r="A331" s="1"/>
      <c r="B331" s="3"/>
      <c r="C331" s="4"/>
      <c r="D331" s="4"/>
      <c r="E331" s="6"/>
      <c r="F331" s="1"/>
      <c r="G331" s="1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2"/>
    </row>
    <row r="332" spans="1:27" ht="16.5" customHeight="1">
      <c r="A332" s="1"/>
      <c r="B332" s="3"/>
      <c r="C332" s="4"/>
      <c r="D332" s="4"/>
      <c r="E332" s="6"/>
      <c r="F332" s="1"/>
      <c r="G332" s="1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2"/>
    </row>
    <row r="333" spans="1:27" ht="16.5" customHeight="1">
      <c r="A333" s="1"/>
      <c r="B333" s="3"/>
      <c r="C333" s="4"/>
      <c r="D333" s="4"/>
      <c r="E333" s="6"/>
      <c r="F333" s="1"/>
      <c r="G333" s="1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2"/>
    </row>
    <row r="334" spans="1:27" ht="16.5" customHeight="1">
      <c r="A334" s="1"/>
      <c r="B334" s="3"/>
      <c r="C334" s="4"/>
      <c r="D334" s="4"/>
      <c r="E334" s="6"/>
      <c r="F334" s="1"/>
      <c r="G334" s="1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2"/>
    </row>
    <row r="335" spans="1:27" ht="16.5" customHeight="1">
      <c r="A335" s="1"/>
      <c r="B335" s="3"/>
      <c r="C335" s="4"/>
      <c r="D335" s="4"/>
      <c r="E335" s="6"/>
      <c r="F335" s="1"/>
      <c r="G335" s="1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2"/>
    </row>
    <row r="336" spans="1:27" ht="16.5" customHeight="1">
      <c r="A336" s="1"/>
      <c r="B336" s="3"/>
      <c r="C336" s="4"/>
      <c r="D336" s="4"/>
      <c r="E336" s="6"/>
      <c r="F336" s="1"/>
      <c r="G336" s="1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2"/>
    </row>
    <row r="337" spans="1:27" ht="16.5" customHeight="1">
      <c r="A337" s="1"/>
      <c r="B337" s="3"/>
      <c r="C337" s="4"/>
      <c r="D337" s="4"/>
      <c r="E337" s="6"/>
      <c r="F337" s="1"/>
      <c r="G337" s="1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2"/>
    </row>
    <row r="338" spans="1:27" ht="16.5" customHeight="1">
      <c r="A338" s="1"/>
      <c r="B338" s="3"/>
      <c r="C338" s="4"/>
      <c r="D338" s="4"/>
      <c r="E338" s="6"/>
      <c r="F338" s="1"/>
      <c r="G338" s="1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2"/>
    </row>
    <row r="339" spans="1:27" ht="16.5" customHeight="1">
      <c r="A339" s="1"/>
      <c r="B339" s="3"/>
      <c r="C339" s="4"/>
      <c r="D339" s="4"/>
      <c r="E339" s="6"/>
      <c r="F339" s="1"/>
      <c r="G339" s="1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2"/>
    </row>
    <row r="340" spans="1:27" ht="16.5" customHeight="1">
      <c r="A340" s="1"/>
      <c r="B340" s="3"/>
      <c r="C340" s="4"/>
      <c r="D340" s="4"/>
      <c r="E340" s="6"/>
      <c r="F340" s="1"/>
      <c r="G340" s="1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2"/>
    </row>
    <row r="341" spans="1:27" ht="16.5" customHeight="1">
      <c r="A341" s="1"/>
      <c r="B341" s="3"/>
      <c r="C341" s="4"/>
      <c r="D341" s="4"/>
      <c r="E341" s="6"/>
      <c r="F341" s="1"/>
      <c r="G341" s="1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2"/>
    </row>
    <row r="342" spans="1:27" ht="16.5" customHeight="1">
      <c r="A342" s="1"/>
      <c r="B342" s="3"/>
      <c r="C342" s="4"/>
      <c r="D342" s="4"/>
      <c r="E342" s="6"/>
      <c r="F342" s="1"/>
      <c r="G342" s="1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2"/>
    </row>
    <row r="343" spans="1:27" ht="16.5" customHeight="1">
      <c r="A343" s="1"/>
      <c r="B343" s="3"/>
      <c r="C343" s="4"/>
      <c r="D343" s="4"/>
      <c r="E343" s="6"/>
      <c r="F343" s="1"/>
      <c r="G343" s="1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2"/>
    </row>
    <row r="344" spans="1:27" ht="16.5" customHeight="1">
      <c r="A344" s="1"/>
      <c r="B344" s="3"/>
      <c r="C344" s="4"/>
      <c r="D344" s="4"/>
      <c r="E344" s="6"/>
      <c r="F344" s="1"/>
      <c r="G344" s="1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2"/>
    </row>
    <row r="345" spans="1:27" ht="16.5" customHeight="1">
      <c r="A345" s="1"/>
      <c r="B345" s="3"/>
      <c r="C345" s="4"/>
      <c r="D345" s="4"/>
      <c r="E345" s="6"/>
      <c r="F345" s="1"/>
      <c r="G345" s="1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2"/>
    </row>
    <row r="346" spans="1:27" ht="16.5" customHeight="1">
      <c r="A346" s="1"/>
      <c r="B346" s="3"/>
      <c r="C346" s="4"/>
      <c r="D346" s="4"/>
      <c r="E346" s="6"/>
      <c r="F346" s="1"/>
      <c r="G346" s="1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2"/>
    </row>
    <row r="347" spans="1:27" ht="16.5" customHeight="1">
      <c r="A347" s="1"/>
      <c r="B347" s="3"/>
      <c r="C347" s="4"/>
      <c r="D347" s="4"/>
      <c r="E347" s="6"/>
      <c r="F347" s="1"/>
      <c r="G347" s="1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2"/>
    </row>
    <row r="348" spans="1:27" ht="16.5" customHeight="1">
      <c r="A348" s="1"/>
      <c r="B348" s="3"/>
      <c r="C348" s="4"/>
      <c r="D348" s="4"/>
      <c r="E348" s="6"/>
      <c r="F348" s="1"/>
      <c r="G348" s="1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2"/>
    </row>
    <row r="349" spans="1:27" ht="16.5" customHeight="1">
      <c r="A349" s="1"/>
      <c r="B349" s="3"/>
      <c r="C349" s="4"/>
      <c r="D349" s="4"/>
      <c r="E349" s="6"/>
      <c r="F349" s="1"/>
      <c r="G349" s="1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2"/>
    </row>
    <row r="350" spans="1:27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1:2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spans="1:27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spans="1:27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spans="1:27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spans="1:27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spans="1:27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spans="1:27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spans="1:27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spans="1:27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</sheetData>
  <mergeCells count="14">
    <mergeCell ref="A149:E149"/>
    <mergeCell ref="B131:B134"/>
    <mergeCell ref="B8:B34"/>
    <mergeCell ref="B38:B64"/>
    <mergeCell ref="B68:B82"/>
    <mergeCell ref="B83:B97"/>
    <mergeCell ref="B98:B114"/>
    <mergeCell ref="B140:B148"/>
    <mergeCell ref="A1:K1"/>
    <mergeCell ref="B115:B130"/>
    <mergeCell ref="B135:B139"/>
    <mergeCell ref="B35:B37"/>
    <mergeCell ref="B65:B67"/>
    <mergeCell ref="A2:I5"/>
  </mergeCells>
  <phoneticPr fontId="13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MAVZUNA[ 학부졸업 / 노어노문학과 ]</cp:lastModifiedBy>
  <dcterms:created xsi:type="dcterms:W3CDTF">2025-05-21T07:06:08Z</dcterms:created>
  <dcterms:modified xsi:type="dcterms:W3CDTF">2026-05-18T05:32:54Z</dcterms:modified>
</cp:coreProperties>
</file>
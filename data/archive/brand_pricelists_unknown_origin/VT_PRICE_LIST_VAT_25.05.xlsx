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\price list\VT\"/>
    </mc:Choice>
  </mc:AlternateContent>
  <xr:revisionPtr revIDLastSave="0" documentId="13_ncr:1_{9F29EC98-79FD-4C48-971D-E00F8C82B9B6}" xr6:coauthVersionLast="45" xr6:coauthVersionMax="45" xr10:uidLastSave="{00000000-0000-0000-0000-000000000000}"/>
  <bookViews>
    <workbookView xWindow="28680" yWindow="-120" windowWidth="29040" windowHeight="15720" xr2:uid="{6410F923-3F3A-4B3F-ACED-63DAABBA1396}"/>
  </bookViews>
  <sheets>
    <sheet name="VT_COSMETICS" sheetId="2" r:id="rId1"/>
  </sheets>
  <definedNames>
    <definedName name="_xlnm._FilterDatabase" localSheetId="0" hidden="1">VT_COSMETICS!$D$2:$V$194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6" i="2" l="1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5" i="2"/>
  <c r="R2" i="2" l="1"/>
  <c r="T70" i="2"/>
  <c r="T62" i="2"/>
  <c r="T52" i="2"/>
  <c r="T31" i="2"/>
  <c r="T26" i="2"/>
  <c r="T9" i="2"/>
  <c r="T10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7" i="2"/>
  <c r="T28" i="2"/>
  <c r="T29" i="2"/>
  <c r="T30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3" i="2"/>
  <c r="T54" i="2"/>
  <c r="T55" i="2"/>
  <c r="T59" i="2"/>
  <c r="T60" i="2"/>
  <c r="T61" i="2"/>
  <c r="T63" i="2"/>
  <c r="T64" i="2"/>
  <c r="T65" i="2"/>
  <c r="T66" i="2"/>
  <c r="T67" i="2"/>
  <c r="T68" i="2"/>
  <c r="T69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3" i="2"/>
  <c r="T136" i="2"/>
  <c r="T137" i="2"/>
  <c r="T138" i="2"/>
  <c r="T139" i="2"/>
  <c r="T141" i="2"/>
  <c r="T142" i="2"/>
  <c r="T143" i="2"/>
  <c r="T144" i="2"/>
  <c r="T146" i="2"/>
  <c r="T147" i="2"/>
  <c r="T148" i="2"/>
  <c r="T149" i="2"/>
  <c r="T150" i="2"/>
  <c r="T151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5" i="2"/>
  <c r="S2" i="2"/>
  <c r="T58" i="2" l="1"/>
  <c r="T57" i="2"/>
  <c r="T132" i="2"/>
  <c r="T7" i="2"/>
  <c r="T153" i="2"/>
  <c r="T152" i="2"/>
  <c r="T140" i="2"/>
  <c r="T56" i="2"/>
  <c r="T113" i="2"/>
  <c r="T12" i="2"/>
  <c r="T11" i="2"/>
  <c r="T135" i="2"/>
  <c r="T6" i="2"/>
  <c r="T134" i="2"/>
  <c r="T145" i="2"/>
  <c r="T8" i="2"/>
  <c r="T2" i="2" l="1"/>
</calcChain>
</file>

<file path=xl/sharedStrings.xml><?xml version="1.0" encoding="utf-8"?>
<sst xmlns="http://schemas.openxmlformats.org/spreadsheetml/2006/main" count="1171" uniqueCount="682">
  <si>
    <t>No.</t>
    <phoneticPr fontId="3" type="noConversion"/>
  </si>
  <si>
    <t>Product
Line</t>
    <phoneticPr fontId="3" type="noConversion"/>
  </si>
  <si>
    <t>Item 
Category</t>
    <phoneticPr fontId="3" type="noConversion"/>
  </si>
  <si>
    <t>Barcode</t>
  </si>
  <si>
    <t>Product Name</t>
    <phoneticPr fontId="3" type="noConversion"/>
  </si>
  <si>
    <t>Product Image</t>
    <phoneticPr fontId="3" type="noConversion"/>
  </si>
  <si>
    <t>Korea
Retail Price
(VAT incl.)</t>
    <phoneticPr fontId="6" type="noConversion"/>
  </si>
  <si>
    <t>Volume</t>
    <phoneticPr fontId="3" type="noConversion"/>
  </si>
  <si>
    <t>items/box</t>
    <phoneticPr fontId="3" type="noConversion"/>
  </si>
  <si>
    <t>BOX
SIZE(CM)</t>
    <phoneticPr fontId="3" type="noConversion"/>
  </si>
  <si>
    <t>BOX
WEIGHT(KG)</t>
    <phoneticPr fontId="3" type="noConversion"/>
  </si>
  <si>
    <t>상품바코드</t>
  </si>
  <si>
    <t>KOR</t>
    <phoneticPr fontId="3" type="noConversion"/>
  </si>
  <si>
    <t>ENG</t>
    <phoneticPr fontId="3" type="noConversion"/>
  </si>
  <si>
    <t>Outter
Box</t>
    <phoneticPr fontId="3" type="noConversion"/>
  </si>
  <si>
    <t>Inner
Box</t>
    <phoneticPr fontId="3" type="noConversion"/>
  </si>
  <si>
    <t>L( 가로)</t>
  </si>
  <si>
    <t>W(폭)</t>
  </si>
  <si>
    <t>H(높이)</t>
  </si>
  <si>
    <t>KG</t>
  </si>
  <si>
    <t>50ml</t>
    <phoneticPr fontId="3" type="noConversion"/>
  </si>
  <si>
    <t>SKIN CARE</t>
  </si>
  <si>
    <t>CICA</t>
    <phoneticPr fontId="3" type="noConversion"/>
  </si>
  <si>
    <t>3sets, 48ea</t>
  </si>
  <si>
    <t>200ml</t>
  </si>
  <si>
    <t>VTPD31052</t>
  </si>
  <si>
    <t>VT 시카 크림</t>
  </si>
  <si>
    <t>50ml</t>
  </si>
  <si>
    <t>VTPD39976</t>
  </si>
  <si>
    <t>VT 시카 데일리 수딩 마스크</t>
  </si>
  <si>
    <t>350g / 30ea</t>
  </si>
  <si>
    <t>VTPD39025</t>
  </si>
  <si>
    <t>VT 시카 마일드 토너 패드</t>
  </si>
  <si>
    <t>130ml / 60ea</t>
  </si>
  <si>
    <t>300ml</t>
  </si>
  <si>
    <t>VTPD39085</t>
  </si>
  <si>
    <t>브이티 시카 마일드 폼 클렌저</t>
  </si>
  <si>
    <t>VT 시카 마일드 클렌징 티슈</t>
  </si>
  <si>
    <t>240g / 50ea</t>
  </si>
  <si>
    <t>100ml</t>
  </si>
  <si>
    <t>BASE MAKEUP</t>
  </si>
  <si>
    <t>5g</t>
  </si>
  <si>
    <t>VT 시카 에멀전 대용량</t>
  </si>
  <si>
    <t>500ml</t>
  </si>
  <si>
    <t>VT 시카 스킨 대용량</t>
  </si>
  <si>
    <t>510ml</t>
  </si>
  <si>
    <t>VTPD39754</t>
  </si>
  <si>
    <t>VT 시카 에센스 선 100ml</t>
  </si>
  <si>
    <t>REEDLE SHOT</t>
    <phoneticPr fontId="3" type="noConversion"/>
  </si>
  <si>
    <t>VT 리들샷 50</t>
  </si>
  <si>
    <t>VTPD40018</t>
  </si>
  <si>
    <t>VT 리들샷 100</t>
  </si>
  <si>
    <t>VTPD40019</t>
  </si>
  <si>
    <t>VT 리들샷 300</t>
  </si>
  <si>
    <t>VTPD40020</t>
  </si>
  <si>
    <t>VT 리들샷 700</t>
  </si>
  <si>
    <t>30ml</t>
  </si>
  <si>
    <t>VTPD40136</t>
  </si>
  <si>
    <t>VT 리들샷 1000</t>
  </si>
  <si>
    <t>15ml</t>
    <phoneticPr fontId="3" type="noConversion"/>
  </si>
  <si>
    <t>30ml</t>
    <phoneticPr fontId="3" type="noConversion"/>
  </si>
  <si>
    <t>VTPD40124</t>
  </si>
  <si>
    <t>VTPD40289</t>
  </si>
  <si>
    <t>VTPD40290</t>
  </si>
  <si>
    <t>VTPD40291</t>
  </si>
  <si>
    <t>VTPD40292</t>
  </si>
  <si>
    <t>VTPD40293</t>
  </si>
  <si>
    <t>VT 비타-라이트 리들샷 100</t>
  </si>
  <si>
    <t>VTPD40305</t>
  </si>
  <si>
    <t>VT 레티-에이 리들샷 100</t>
  </si>
  <si>
    <t>VTPD40180</t>
  </si>
  <si>
    <t>VTPD40266</t>
  </si>
  <si>
    <t>VT 프로시카 리들샷 300</t>
  </si>
  <si>
    <t>VTPD40267</t>
  </si>
  <si>
    <t>VT 프로시카 리들샷 700</t>
  </si>
  <si>
    <t>VTPD40181</t>
  </si>
  <si>
    <t>VTPD40268</t>
  </si>
  <si>
    <t>VT 콜라겐 리들샷 300</t>
  </si>
  <si>
    <t>VTPD40269</t>
  </si>
  <si>
    <t>VT 콜라겐 리들샷 700</t>
  </si>
  <si>
    <t>150ml</t>
    <phoneticPr fontId="3" type="noConversion"/>
  </si>
  <si>
    <t>VTPD40149</t>
  </si>
  <si>
    <t>VT 시카 엑소좀 모이스처 마스크(20매)(N)</t>
  </si>
  <si>
    <t>VT 리들샷 EX 시카 모델링 팩</t>
  </si>
  <si>
    <t>VTPD40314</t>
  </si>
  <si>
    <t>VT 리들샷 EX 콜라겐 모델링 팩</t>
  </si>
  <si>
    <t>VTPD40315</t>
  </si>
  <si>
    <t>VT 리들샷 EX 비타민 모델링 팩</t>
  </si>
  <si>
    <t>VTPD40316</t>
  </si>
  <si>
    <t>VT 리들샷 EX 히알루로닉 모델링 팩</t>
  </si>
  <si>
    <t>CICA-RETI A</t>
    <phoneticPr fontId="3" type="noConversion"/>
  </si>
  <si>
    <t>VT 시카 레티-에이 마스크(30매)</t>
  </si>
  <si>
    <t>VT 시카 레티-에이 크림 0.05</t>
  </si>
  <si>
    <t>VTPD39934</t>
  </si>
  <si>
    <t>VT 시카 레티-에이 에센스 0.1</t>
  </si>
  <si>
    <t>VTPD40001</t>
  </si>
  <si>
    <t>CICA-COLLAGEN</t>
    <phoneticPr fontId="3" type="noConversion"/>
  </si>
  <si>
    <t>VTPD40003</t>
  </si>
  <si>
    <t>320g / 30ea</t>
  </si>
  <si>
    <t>VTPD39910</t>
  </si>
  <si>
    <t>VT 시카 콜라겐 에센스</t>
  </si>
  <si>
    <t>VTPD39911</t>
  </si>
  <si>
    <t>VT 시카 콜라겐 크림</t>
  </si>
  <si>
    <t>20ml</t>
  </si>
  <si>
    <t>VTPD40133</t>
  </si>
  <si>
    <t>VT 시카 콜라겐 아이크림</t>
  </si>
  <si>
    <t>VTPD40127</t>
  </si>
  <si>
    <t>VT 시카 콜라겐 올인원 3스텝 마스크(1EA)</t>
  </si>
  <si>
    <t>VICA-LIGHT</t>
    <phoneticPr fontId="3" type="noConversion"/>
  </si>
  <si>
    <t>VTPD40209</t>
  </si>
  <si>
    <t>VTPD40210</t>
  </si>
  <si>
    <t>VT 리들샷 비타-라이트 아이크림</t>
  </si>
  <si>
    <t>VT 리들샷 비타-라이트 브라이트닝 마스크(30매)(N)</t>
  </si>
  <si>
    <t>320g / 30ea</t>
    <phoneticPr fontId="3" type="noConversion"/>
  </si>
  <si>
    <t>VTPD40125</t>
  </si>
  <si>
    <t>VT 비타-라이트 올인원 3스텝 마스크(1EA)</t>
  </si>
  <si>
    <t>PDRN</t>
    <phoneticPr fontId="3" type="noConversion"/>
  </si>
  <si>
    <t>ECT</t>
    <phoneticPr fontId="3" type="noConversion"/>
  </si>
  <si>
    <t>VTPD40336</t>
  </si>
  <si>
    <t>VTPD40337</t>
  </si>
  <si>
    <t>VT 피디알엔 모이스트 톤업 선 에센스</t>
  </si>
  <si>
    <t>VT 리들샷 립 플럼퍼 비기너</t>
  </si>
  <si>
    <t>VT 리들샷 립 플럼퍼 엑스퍼트</t>
  </si>
  <si>
    <t>VTPD40307</t>
  </si>
  <si>
    <t>VTPD40308</t>
  </si>
  <si>
    <t>4.3g</t>
  </si>
  <si>
    <t>VTPD40347</t>
  </si>
  <si>
    <t>VTPD40348</t>
  </si>
  <si>
    <t>VTPD40349</t>
  </si>
  <si>
    <t>VTPD40350</t>
  </si>
  <si>
    <t>VTPD40351</t>
  </si>
  <si>
    <t>VTPD40352</t>
  </si>
  <si>
    <t>VT 티엑스토닝 토너</t>
  </si>
  <si>
    <t>VT 티엑스토닝 에센스 1000샷</t>
  </si>
  <si>
    <t>VT 티엑스토닝 에센스 2000샷</t>
  </si>
  <si>
    <t>VT 티엑스토닝 크림</t>
  </si>
  <si>
    <t>TX-TONING</t>
  </si>
  <si>
    <t>VTPD40369</t>
  </si>
  <si>
    <t>VTPD40370</t>
  </si>
  <si>
    <t>VTPD40371</t>
  </si>
  <si>
    <t>VTPD40372</t>
  </si>
  <si>
    <t>VTPD40373</t>
  </si>
  <si>
    <t>VTPD40374</t>
  </si>
  <si>
    <t>VT 리들샷 리프팅 마스크</t>
  </si>
  <si>
    <t>VTPD40359</t>
  </si>
  <si>
    <t>VTPD40360</t>
  </si>
  <si>
    <t>50ML</t>
  </si>
  <si>
    <t>VTPD40361</t>
  </si>
  <si>
    <t>VTPD40362</t>
  </si>
  <si>
    <t>VTPD40363</t>
  </si>
  <si>
    <t>VT 하이드롭 리들샷 100HL 2스텝 마스크</t>
  </si>
  <si>
    <t>VT 하이드롭 리들샷 300HL 2스텝 마스크</t>
  </si>
  <si>
    <t>VT 하이드롭 리들샷 700HL 2스텝 마스크</t>
  </si>
  <si>
    <t>1.5g + 27g</t>
  </si>
  <si>
    <t>VT 프로시카 리들샷 100 2스텝 하이드로겔 마스크</t>
  </si>
  <si>
    <t>VT 콜라겐 리들샷 100 2스텝 하이드로겔 마스크</t>
  </si>
  <si>
    <t>VT 비타라이트 리들샷 100 2스텝 하이드로겔 마스크</t>
  </si>
  <si>
    <t>VT 레티에이 리들샷 100 2스텝 하이드로겔 마스크</t>
  </si>
  <si>
    <t>VT 하이드롭 리들샷 100 2스텝 하이드로겔 마스크</t>
  </si>
  <si>
    <t>VTPD40392</t>
  </si>
  <si>
    <t>VTPD40393</t>
  </si>
  <si>
    <t>VTPD40353</t>
  </si>
  <si>
    <t>VTPD40389</t>
  </si>
  <si>
    <t>VTPD40390</t>
  </si>
  <si>
    <t>VTPD40391</t>
  </si>
  <si>
    <t>VTPD40427</t>
  </si>
  <si>
    <t>VTPD40428</t>
  </si>
  <si>
    <t>VT 리들샷 100 2스텝 마스크(5매입)</t>
  </si>
  <si>
    <t>VT 리들샷 300 2스텝 마스크(5매입)</t>
  </si>
  <si>
    <t>VTPD40507</t>
  </si>
  <si>
    <t>VTPD40528</t>
  </si>
  <si>
    <t>VT 레드 부스터 리들샷 100</t>
  </si>
  <si>
    <t>VT 레드 부스터 리들샷 300</t>
  </si>
  <si>
    <t>VTPD40434</t>
  </si>
  <si>
    <t>VTPD40435</t>
  </si>
  <si>
    <t>VT 글루카뮨 에센스</t>
  </si>
  <si>
    <t>VT 글루카뮨 크림</t>
  </si>
  <si>
    <t>VT 글루카뮨 마스크(1ea)</t>
  </si>
  <si>
    <t>GLUCAMUNE</t>
    <phoneticPr fontId="3" type="noConversion"/>
  </si>
  <si>
    <t>100ml</t>
    <phoneticPr fontId="3" type="noConversion"/>
  </si>
  <si>
    <t>VTPD40366</t>
  </si>
  <si>
    <t>VTPD40367</t>
  </si>
  <si>
    <t>VT 비타-라이트 리들샷 300</t>
  </si>
  <si>
    <t>VT 비타-라이트 리들샷 700</t>
  </si>
  <si>
    <t>VTPD40364</t>
  </si>
  <si>
    <t>VTPD40365</t>
  </si>
  <si>
    <t>VT 피디알엔 글로우 앰플</t>
  </si>
  <si>
    <t>VTPD40533</t>
  </si>
  <si>
    <t>VTPD40566</t>
    <phoneticPr fontId="3" type="noConversion"/>
  </si>
  <si>
    <t>VT 피디알엔 리들샷 헤어 앰플 100dL</t>
    <phoneticPr fontId="3" type="noConversion"/>
  </si>
  <si>
    <t>200ml</t>
    <phoneticPr fontId="3" type="noConversion"/>
  </si>
  <si>
    <t>VT 스네일 리들샷 100B</t>
  </si>
  <si>
    <t>VTPD40506</t>
  </si>
  <si>
    <t>ETC</t>
    <phoneticPr fontId="3" type="noConversion"/>
  </si>
  <si>
    <t>VTPD40605</t>
  </si>
  <si>
    <t>VT 스무스 31도 스킨팩</t>
  </si>
  <si>
    <t>VT 루미너스 31도 스킨팩</t>
  </si>
  <si>
    <t>VTPD40575</t>
  </si>
  <si>
    <t>VTPD40591</t>
  </si>
  <si>
    <t>VT H3 하이드로 앰플</t>
  </si>
  <si>
    <t>VTPD40592</t>
  </si>
  <si>
    <t>VTPD40593</t>
    <phoneticPr fontId="3" type="noConversion"/>
  </si>
  <si>
    <t>VT CICA ESSENCE SUN</t>
    <phoneticPr fontId="3" type="noConversion"/>
  </si>
  <si>
    <t>VT 프로 시카 리들샷 100 2스텝 하이드로겔 마스크_4매입</t>
  </si>
  <si>
    <t>VT PRO CICA REEDLE SHOT® 100 2STEP HYDROGEL MASK</t>
  </si>
  <si>
    <t>VT 콜라겐 리들샷 100 2스텝 하이드로겔 마스크_4매입</t>
  </si>
  <si>
    <t>VT 비타-라이트 리들샷 100 2스텝 하이드로겔 마스크_4매입</t>
  </si>
  <si>
    <t>VT VITA-LIGHT REEDLE SHOT® 100 2STEP HYDROGEL MASK</t>
  </si>
  <si>
    <t>VT 레티-에이 리들샷 100 2스텝 하이드로겔 마스크_4매입</t>
  </si>
  <si>
    <t>VT RETI-A REEDLE SHOT® 100 2STEP HYDROGEL MASK</t>
  </si>
  <si>
    <t>VT 하이드롭 리들샷 100HL 2스텝 하이드로겔 마스크_4매입</t>
  </si>
  <si>
    <t>VT HYDROP REEDLE SHOT® 100hL 2STEP HYDROGEL MASK</t>
  </si>
  <si>
    <t>VTPD40524</t>
  </si>
  <si>
    <t>VTPD40525</t>
  </si>
  <si>
    <t>VTPD40526</t>
  </si>
  <si>
    <t>VTPD40527</t>
  </si>
  <si>
    <t>VT 피디알엔 하이드로겔 마스크_4매입</t>
  </si>
  <si>
    <t>VTPD40332</t>
  </si>
  <si>
    <t>VLPD250055</t>
    <phoneticPr fontId="3" type="noConversion"/>
  </si>
  <si>
    <t>VTPD40573</t>
    <phoneticPr fontId="3" type="noConversion"/>
  </si>
  <si>
    <t>VTPD40571</t>
  </si>
  <si>
    <t>VTPD40572</t>
  </si>
  <si>
    <t>VTPD40357</t>
  </si>
  <si>
    <t>VTPD40686</t>
    <phoneticPr fontId="3" type="noConversion"/>
  </si>
  <si>
    <t>VTPD40687</t>
  </si>
  <si>
    <t>VTPD250011</t>
  </si>
  <si>
    <t>VTPD250043</t>
  </si>
  <si>
    <t>VTPD250044</t>
  </si>
  <si>
    <t>GARLIC AC</t>
    <phoneticPr fontId="3" type="noConversion"/>
  </si>
  <si>
    <t>VT 블랙 트러플 리들샷 100</t>
  </si>
  <si>
    <t>VT BLACK TRUFFLE REEDLE SHOT® 100</t>
  </si>
  <si>
    <t>50mL</t>
  </si>
  <si>
    <t>VT PDRN REEDLE SHOT SCALP SHAMPOO</t>
  </si>
  <si>
    <t>VT 피디알엔 리들샷 100</t>
  </si>
  <si>
    <t>VT PDRN REEDLE SHOT 100</t>
  </si>
  <si>
    <t>VT 피디알엔 리들샷 300</t>
  </si>
  <si>
    <t>VT PDRN REEDLE SHOT 300</t>
  </si>
  <si>
    <t>VT PDRN REEDLE SHOT CREAM</t>
  </si>
  <si>
    <t>(해외채널)VT 피디알엔 리들샷 헤어 앰플 100dL</t>
  </si>
  <si>
    <t>15ml</t>
  </si>
  <si>
    <t>VT 피디알엔 데일리 마스크 (30매)</t>
  </si>
  <si>
    <t>VT PDRN DAILY MASK</t>
  </si>
  <si>
    <t>30ea</t>
  </si>
  <si>
    <t>국문_PD_피디알엔 토너_250mL_1ea</t>
  </si>
  <si>
    <t>KR_PD_PDRN TONER_250ml_1ea</t>
  </si>
  <si>
    <t>VT 피디알엔 캡슐 크림 100_50ml</t>
  </si>
  <si>
    <t>VT PDRN CAPSULE CREAM 100</t>
  </si>
  <si>
    <t>PDRN GRINDING CLEANSING BALM</t>
  </si>
  <si>
    <t>VT PDRN MOIST TONE UP SUN ESSENCE RX</t>
  </si>
  <si>
    <t>VT PDRN TENSION TONER PAD</t>
  </si>
  <si>
    <t>VT REEDLE SHOT LIP PLUMPER CRYSTAL</t>
  </si>
  <si>
    <t>VT REEDLE SHOT LIP PLUMPER TWINKLE</t>
  </si>
  <si>
    <t>VT REEDLE SHOT LIP PLUMPER USAGI PINK</t>
  </si>
  <si>
    <t>VT REEDLE SHOT LIP PLUMPER ROSE BERRY</t>
  </si>
  <si>
    <t>VT GLYCOLIC REEDLE SHOT HEAD TO TOE MIST</t>
  </si>
  <si>
    <t>120mL</t>
  </si>
  <si>
    <t>VT 콜라겐 리들샷 100 2스텝 마스크</t>
  </si>
  <si>
    <t>VT COLLAGEN REEDLE SHOT 100 2STEP MASK</t>
  </si>
  <si>
    <t>1.5g+25g</t>
  </si>
  <si>
    <t>VT 콜라겐 리들샷 300 2스텝 마스크</t>
  </si>
  <si>
    <t>VT COLLAGEN REEDLE SHOT 300 2STEP MASK</t>
  </si>
  <si>
    <t>VT 콜라겐 리들샷 700 2스텝 마스크</t>
  </si>
  <si>
    <t>VT COLLAGEN REEDLE SHOT 700 2STEP MASK</t>
  </si>
  <si>
    <t>1.5g+27g</t>
  </si>
  <si>
    <t>VT 시카 크림 플러스 100ml</t>
  </si>
  <si>
    <t>VT CICA CREAM PLUS (100ml)</t>
  </si>
  <si>
    <t>VT 시카 크림 플러스 30ml</t>
  </si>
  <si>
    <t>VT CICA CREAM PLUS (30ml)</t>
  </si>
  <si>
    <t>VT A1 카밍 앰플(N)</t>
  </si>
  <si>
    <t>VT A1 CALMING AMPOULE</t>
  </si>
  <si>
    <t>VT 에이제트 케어 토너 패드</t>
  </si>
  <si>
    <t>VT AZ CARE TONER PAD</t>
  </si>
  <si>
    <t>60ea(180mL)</t>
  </si>
  <si>
    <t>VT 에이제트 케어 클렌징 오일</t>
  </si>
  <si>
    <t>VT AZ CARE CLEANSING OIL</t>
  </si>
  <si>
    <t>200mL</t>
  </si>
  <si>
    <t>VT AZ CARE LOCK MASK</t>
  </si>
  <si>
    <t>VT 리들샷 풋 필링마스크</t>
  </si>
  <si>
    <t>VT REEDLE SHOT FOOT PEELING MASK</t>
  </si>
  <si>
    <t>16ml</t>
  </si>
  <si>
    <t>VT 리들샷 너리싱 핸드 마스크</t>
  </si>
  <si>
    <t>VT REEDLE SHOT NOURISHING HAND MASK</t>
  </si>
  <si>
    <t>국문_MS_에어리 선크림_50mL_1ea</t>
  </si>
  <si>
    <t>VT AIRY SUN CREAM</t>
  </si>
  <si>
    <t>VT 갈릭 에이씨 리들샷 스팟 크림</t>
  </si>
  <si>
    <t>VT GARLIC AC REEDLE SHOT SPOT CREAM</t>
  </si>
  <si>
    <t>VT 갈릭 에이씨 리들샷 젤 크림</t>
  </si>
  <si>
    <t>VT GARLIC AC REEDLE SHOT GEL CREAM</t>
  </si>
  <si>
    <t>VT 갈릭 AC 리들샷 포인트 패치</t>
  </si>
  <si>
    <t>VT GARLIC AC REEDLE SHOT POINT PATCH</t>
  </si>
  <si>
    <t>9ea (17mm*6ea
 + 14mm*3ea)</t>
  </si>
  <si>
    <t>VT 갈릭 AC 리들샷 스팟패치_48ea</t>
  </si>
  <si>
    <t>VT GARLIC AC REEDLE SHOT SPOT PATCH</t>
  </si>
  <si>
    <t>KR_OL_CRYO ICE MASK_320g_30ea</t>
  </si>
  <si>
    <t>VT 리들샷 하이드롭 크림 기획세트</t>
  </si>
  <si>
    <t>VT REEDLE SHOT HYDROP CREAM SET</t>
  </si>
  <si>
    <t>VT 리들샷 콜라겐 크림 기획세트</t>
  </si>
  <si>
    <t>VT REEDLE SHOT COLLAGEN SET</t>
  </si>
  <si>
    <t>VT 시카 마스크 클렌저_120mL</t>
  </si>
  <si>
    <t>VT CICA MASK CLEANSER</t>
  </si>
  <si>
    <t>120ml</t>
  </si>
  <si>
    <t>VT RETINOL COLLAGEN PINK MICRO BUBBLE SERUM</t>
  </si>
  <si>
    <t>VT NIACINAMIDE GLUTATHIONE YELLOW MICRO BUBBLE SERUM</t>
  </si>
  <si>
    <t>VT PDRN HYALURONIC ACID MINT MICRO BUBBLE SERUM</t>
  </si>
  <si>
    <t>VT AZ AHA RED MICRO BUBBLE SERUM</t>
  </si>
  <si>
    <t>-</t>
  </si>
  <si>
    <t>x</t>
  </si>
  <si>
    <t>8803463007201</t>
  </si>
  <si>
    <t>Style No.</t>
  </si>
  <si>
    <t>VTPD40135</t>
    <phoneticPr fontId="3" type="noConversion"/>
  </si>
  <si>
    <t>VT REEDLE SHOT 50</t>
  </si>
  <si>
    <t>VT REEDLE SHOT 100</t>
  </si>
  <si>
    <t>VT REEDLE SHOT 300</t>
  </si>
  <si>
    <t>VT REEDLE SHOT 700</t>
  </si>
  <si>
    <t>VT REEDLE SHOT 1000</t>
  </si>
  <si>
    <t>VT 마일드 리들샷 50 2스텝 마스크</t>
  </si>
  <si>
    <t>VT MILD REEDLE SHOT 50 2-STEP MASK</t>
  </si>
  <si>
    <t>1.5g + 25g</t>
  </si>
  <si>
    <t>VT 리들샷 100 2스텝 마스크</t>
  </si>
  <si>
    <t>VT REEDLE SHOT 100 2-STEP MASK</t>
  </si>
  <si>
    <t>VT 리들샷 300 2스텝 마스크</t>
  </si>
  <si>
    <t>VT REEDLE SHOT 300 2-STEP MASK</t>
  </si>
  <si>
    <t>VT 리들샷 700 2스텝 마스크</t>
  </si>
  <si>
    <t>VT REEDLE SHOT 700 2-STEP MASK</t>
  </si>
  <si>
    <t>VT 리들샷 1000 2스텝 마스크</t>
  </si>
  <si>
    <t>VT REEDLE SHOT 1000 2-STEP MASK</t>
  </si>
  <si>
    <t>VT REEDLE SHOT 100 2-STEP MASK(5EA)</t>
  </si>
  <si>
    <t>1.5g + 25g / 5ea</t>
  </si>
  <si>
    <t>VT REEDLE SHOT 300 2-STEP MASK(5EA)</t>
  </si>
  <si>
    <t>1.1.5g + 25g 
/ 5ea</t>
  </si>
  <si>
    <t>VTPD40570</t>
  </si>
  <si>
    <t>VT HYDROP REEDLE SHOT 100hL 2 STEP MASK</t>
  </si>
  <si>
    <t>VT HYDROP REEDLE SHOT 300hL 2 STEP MASK</t>
  </si>
  <si>
    <t>VT HYDROP REEDLE SHOT 700hL 2 STEP MASK</t>
  </si>
  <si>
    <t xml:space="preserve">VT 하이드롭 리들샷 100HL 2스텝 마스크 (5매입) </t>
  </si>
  <si>
    <t>VT HYDROP REEDLE SHOT 100hL 2 STEP MASK (5EA)</t>
  </si>
  <si>
    <t>(1.5g + 27g)
*5EA</t>
  </si>
  <si>
    <t xml:space="preserve">1.5g + 33g	</t>
  </si>
  <si>
    <t>VTPD40523</t>
  </si>
  <si>
    <t xml:space="preserve">1.5g+33g*4 </t>
  </si>
  <si>
    <t>VT 리들샷 100 스틱파우치(10EA)</t>
  </si>
  <si>
    <t>VT 100 REEDLE SHOT</t>
  </si>
  <si>
    <t>2ml*10ea</t>
  </si>
  <si>
    <t>VT 리들샷 300 스틱파우치(10EA)</t>
  </si>
  <si>
    <t>VT 300 REEDLE SHOT</t>
  </si>
  <si>
    <t>VT 레티-에이 리들샷 100 스틱파우치(10EA)</t>
  </si>
  <si>
    <t>VT 100 RETI-A REEDLE SHOT</t>
  </si>
  <si>
    <t>VT 비타라이트 리들샷 100 스틱파우치(10EA)</t>
  </si>
  <si>
    <t>VT 100 VITA-LIGHT REEDLE SHOT</t>
  </si>
  <si>
    <t>VT 콜라겐 리들샷 100 스틱파우치(10EA)</t>
  </si>
  <si>
    <t>VT 100 COLLAGEN REEDLE SHOT</t>
  </si>
  <si>
    <t>VT 프로시카 리들샷 100 스틱파우치(10EA)</t>
  </si>
  <si>
    <t>VT 100 PRO CICA REEDLE SHOT</t>
  </si>
  <si>
    <t>VT REEDLE SHOT EX COLLAGEN MODELING PACK</t>
  </si>
  <si>
    <t>25g</t>
  </si>
  <si>
    <t>VTPD40313</t>
  </si>
  <si>
    <t>VT REEDLE SHOT EX CICA MODELING PACK</t>
  </si>
  <si>
    <t>VT REEDLE SHOT EX VITAMIN MODELING PACK</t>
  </si>
  <si>
    <t>VT REEDLE SHOT EX HYALURONIC MODELING PACK</t>
  </si>
  <si>
    <t>VTPD40358</t>
  </si>
  <si>
    <t>VT 하이드롭 리들샷 100hL</t>
  </si>
  <si>
    <t>VT HYDROP REEDLE SHOT 100hL</t>
  </si>
  <si>
    <t>VT 하이드롭 리들샷 300hL</t>
  </si>
  <si>
    <t>VT HYDROP REEDLE SHOT 300hL</t>
  </si>
  <si>
    <t>VT 하이드롭 리들샷 700hL</t>
  </si>
  <si>
    <t>VT HYDROP REEDLE SHOT 700hL</t>
  </si>
  <si>
    <t>VT RETI-A REEDLE SHOT 100</t>
  </si>
  <si>
    <t>VT 레티-에이 리들샷 300</t>
  </si>
  <si>
    <t>VT RETI-A REEDLE SHOT 300</t>
  </si>
  <si>
    <t>VT 레티-에이 리들샷 700</t>
  </si>
  <si>
    <t>VT RETI-A REEDLE SHOT 700</t>
  </si>
  <si>
    <t>VTPD40304</t>
  </si>
  <si>
    <t>VT VITA-LIGHT REEDLE SHOT 100</t>
  </si>
  <si>
    <t>VT VITA-LIGHT REEDLE SHOT 300</t>
  </si>
  <si>
    <t>VT VITA-LIGHT REEDLE SHOT 700</t>
  </si>
  <si>
    <t>VT 콜라겐 리들샷 100</t>
  </si>
  <si>
    <t>VT COLLAGEN REEDLE SHOT 100</t>
  </si>
  <si>
    <t>VT COLLAGEN REEDLE SHOT 300</t>
  </si>
  <si>
    <t>VT COLLAGEN REEDLE SHOT 700</t>
  </si>
  <si>
    <t>VT 프로시카 리들샷 100</t>
  </si>
  <si>
    <t>VT PRO CICA REEDLE SHOT 100</t>
  </si>
  <si>
    <t>VT PRO CICA REEDLE SHOT 300</t>
  </si>
  <si>
    <t>VT PRO CICA REEDLE SHOT 700</t>
  </si>
  <si>
    <t>VT RED BOOSTER REEDLE SHOT 100</t>
  </si>
  <si>
    <t>VT RED BOOSTER REEDLE SHOT 300</t>
  </si>
  <si>
    <t>VTPD40529</t>
  </si>
  <si>
    <t>VT 레드 부스터 리들샷 700</t>
    <phoneticPr fontId="3" type="noConversion"/>
  </si>
  <si>
    <t>VT RED BOOSTER REEDLE SHOT 700</t>
  </si>
  <si>
    <t>VT SNAIL REEDLE SHOT 100B</t>
  </si>
  <si>
    <t>VTPD40619</t>
  </si>
  <si>
    <t>VT REEDLE S LIP PLUMPER BEGINNER</t>
  </si>
  <si>
    <t>VT REEDLE S LIP PLUMPER EXPERT</t>
  </si>
  <si>
    <t>VTPD40690</t>
  </si>
  <si>
    <t>VTPD40691</t>
  </si>
  <si>
    <t>VTPD40689</t>
  </si>
  <si>
    <t>VTPD40688</t>
  </si>
  <si>
    <t>VT 리들 올인원 3스텝 마스크(1EA)</t>
  </si>
  <si>
    <t>VT REEDLE SHOT ALL IN ONE 3STEP MASK</t>
  </si>
  <si>
    <t>STEP1,3 - 1.5g / 
STEP2 - 25g</t>
  </si>
  <si>
    <t>VT 피디알엔 하이드로겔 마스크</t>
  </si>
  <si>
    <t>VT PDRN HYDROGEL MASK</t>
  </si>
  <si>
    <t>33g</t>
  </si>
  <si>
    <t>VTPD40522</t>
  </si>
  <si>
    <t>33g*4</t>
  </si>
  <si>
    <t>VTPD250001</t>
    <phoneticPr fontId="3" type="noConversion"/>
  </si>
  <si>
    <t>VT 피디알엔 에센스 100</t>
    <phoneticPr fontId="3" type="noConversion"/>
  </si>
  <si>
    <t>VT PDRN ESSENCE 100</t>
  </si>
  <si>
    <t>30ml*3</t>
  </si>
  <si>
    <t>VTPD250002-1</t>
  </si>
  <si>
    <t>VT 피디알엔 크림 100</t>
  </si>
  <si>
    <t>VT PDRN CREAM 100</t>
  </si>
  <si>
    <t>VTPD40331</t>
  </si>
  <si>
    <t>VT 피디알엔 에센스 스틱밤</t>
  </si>
  <si>
    <t>VT PDRN ESSENCE STICK BALM</t>
  </si>
  <si>
    <t>9.5g</t>
  </si>
  <si>
    <t>VTPD250009</t>
  </si>
  <si>
    <t>VTPD40677</t>
  </si>
  <si>
    <t>VT REEDLE SHOT HAIR AMPOULE 100dL</t>
  </si>
  <si>
    <t>VT PDRN GLOW AMPOULE</t>
  </si>
  <si>
    <t>VLPD250052-2</t>
  </si>
  <si>
    <t>VTPD40609</t>
  </si>
  <si>
    <t>VTPD40413</t>
  </si>
  <si>
    <t>VT 피디알엔 모이스트 톤업 선 에센스 RX(약국용)</t>
    <phoneticPr fontId="3" type="noConversion"/>
  </si>
  <si>
    <t>50g</t>
  </si>
  <si>
    <t>VTPD40679</t>
  </si>
  <si>
    <t>VT PDRN REEDLE SHOT EYE LIFTER</t>
  </si>
  <si>
    <t>VT PDRN ESSENCE MOIST TONE UP SUN ESSENCE</t>
  </si>
  <si>
    <t>VTPD40579</t>
  </si>
  <si>
    <t>VLPD250051</t>
    <phoneticPr fontId="3" type="noConversion"/>
  </si>
  <si>
    <t>VTPD40604</t>
  </si>
  <si>
    <t>VT SKIN PACK (MILD)</t>
  </si>
  <si>
    <t>VT SKIN PACK (SMOOTH)</t>
  </si>
  <si>
    <t>VTPD40606</t>
  </si>
  <si>
    <t>VT SKIN PACK (LUMINOUS)</t>
  </si>
  <si>
    <t>VTPD250004</t>
  </si>
  <si>
    <t>1.01 fl. oz. / 
30 M</t>
    <phoneticPr fontId="3" type="noConversion"/>
  </si>
  <si>
    <t>VT G2 브라이트닝 앰플</t>
  </si>
  <si>
    <t>VT G2 BRIGHTNING AMPOULE</t>
  </si>
  <si>
    <t>VT H3 HYDRO AMPOULE</t>
  </si>
  <si>
    <t>VT S4 모이스처 앰플</t>
    <phoneticPr fontId="3" type="noConversion"/>
  </si>
  <si>
    <t>VT S4 MOISTURE AMPOULE</t>
  </si>
  <si>
    <t>1.01 fl. oz. / 
30 Ml</t>
  </si>
  <si>
    <t>VTPD40594</t>
  </si>
  <si>
    <t>VT R5 퍼밍 앰플</t>
  </si>
  <si>
    <t>VT R5 FIRMING AMPOULE</t>
  </si>
  <si>
    <t>VTPD250042</t>
  </si>
  <si>
    <t>VT 레티놀 콜라겐 핑크 마이크로 버블 세럼</t>
  </si>
  <si>
    <t>VT 나이아신아마이드 글루타치온 옐로우 마이크로 버블 세럼</t>
  </si>
  <si>
    <t>VT 피디알엔 히알루론산 민트 마이크로 버블 세럼</t>
  </si>
  <si>
    <t>VTPD250045</t>
  </si>
  <si>
    <t>VT 에이제트 아하 레드 마이크로 버블 세럼</t>
  </si>
  <si>
    <t>VTPD40681</t>
    <phoneticPr fontId="3" type="noConversion"/>
  </si>
  <si>
    <t>국문_OL_크라이오 아이스 마스크_전성분 변경_320g_30ea</t>
  </si>
  <si>
    <t>VTPD250062</t>
    <phoneticPr fontId="3" type="noConversion"/>
  </si>
  <si>
    <t>VT REEDLE SHOT LIFTING MASK</t>
  </si>
  <si>
    <t>23g * 1ea</t>
  </si>
  <si>
    <t>VTPD40658</t>
  </si>
  <si>
    <t>VT 리들샷 리프팅 세럼</t>
  </si>
  <si>
    <t>VT REEDLE SHOT LIFTING SERUM</t>
  </si>
  <si>
    <t>VTPD40657</t>
  </si>
  <si>
    <t>VT 리들샷 리프팅 크림</t>
  </si>
  <si>
    <t>VT REEDLE SHOT LIFTING CREAM</t>
  </si>
  <si>
    <t>VTPD40682</t>
  </si>
  <si>
    <t>VT 리들샷 리프팅 아이크림</t>
  </si>
  <si>
    <t>VT REEDLE SHOT LIFTING EYE CREAM</t>
  </si>
  <si>
    <t>VT GLUCAMUNE ESSENCE</t>
  </si>
  <si>
    <t>VT GLUCAMUNE CREAM</t>
  </si>
  <si>
    <t>VTPD40577</t>
  </si>
  <si>
    <t>VT 글루카뮨 토너</t>
  </si>
  <si>
    <t>VT GLUCAMUNE TONER</t>
  </si>
  <si>
    <t>VTPD40436</t>
  </si>
  <si>
    <t>VT GLUCAMUNE MASK (1EA)</t>
  </si>
  <si>
    <t>23g</t>
  </si>
  <si>
    <t>VTPD40126</t>
    <phoneticPr fontId="3" type="noConversion"/>
  </si>
  <si>
    <t>VT 시카 레티-에이 올인원 3스텝 마스크(1EA)</t>
  </si>
  <si>
    <t>VT CICA RETI-A ALL IN ONE 3STEP MASK</t>
  </si>
  <si>
    <t>VTPD39933</t>
  </si>
  <si>
    <t>VT CICA RETI-A CREAM 0.05</t>
  </si>
  <si>
    <t>VT CICA RETI-A ESSENCE 0.1</t>
  </si>
  <si>
    <t>VTPD40073</t>
  </si>
  <si>
    <t>VT 시카 레티-에이 에센스 0.3</t>
  </si>
  <si>
    <t>VT CICA RETI-A ESSENCE 0.3</t>
  </si>
  <si>
    <t>VTPD40074</t>
  </si>
  <si>
    <t>VT 시카 레티-에이 에센스 0.5</t>
  </si>
  <si>
    <t>VT CICA RETI-A ESSENCE 0.5</t>
  </si>
  <si>
    <t>VTPD40075</t>
  </si>
  <si>
    <t>VT 시카 레티-에이 에센스 0.7</t>
  </si>
  <si>
    <t>VT CICA RETI-A ESSENCE 0.7</t>
  </si>
  <si>
    <t>VT 시카 레티-에이 세븐 데이즈 마스크</t>
  </si>
  <si>
    <t>VT CICA RETI-A 7 DAYS MASK</t>
  </si>
  <si>
    <t>110g / 7ea</t>
  </si>
  <si>
    <t>VTPD40004</t>
  </si>
  <si>
    <t>VT CICA RETI-A MASK</t>
  </si>
  <si>
    <t>VTPD40675</t>
  </si>
  <si>
    <t>VTPD250101</t>
  </si>
  <si>
    <t>VTPD40692</t>
  </si>
  <si>
    <t>VTPD40663</t>
  </si>
  <si>
    <t>50ml + 스틱
파우치 3개 6ml</t>
    <phoneticPr fontId="3" type="noConversion"/>
  </si>
  <si>
    <t>VTPD40664</t>
  </si>
  <si>
    <t>50ml + 스틱파우치 3개 6ml</t>
    <phoneticPr fontId="3" type="noConversion"/>
  </si>
  <si>
    <t>VT TX-TONING TONER</t>
  </si>
  <si>
    <t>VT TX-TONING ESSENCE 1000 SHOT</t>
  </si>
  <si>
    <t>VT TX-TONING ESSENCE 2000 SHOT</t>
  </si>
  <si>
    <t>VT TX-TONING CREAM</t>
  </si>
  <si>
    <t>VT 티엑스토닝 스페셜 마스크</t>
  </si>
  <si>
    <t>VT TX-TONING SPECIAL MASK</t>
  </si>
  <si>
    <t>VT 티엑스토닝 데일리 마스크</t>
  </si>
  <si>
    <t>VT TX-TONING DAILY MASK</t>
  </si>
  <si>
    <t>25 g</t>
  </si>
  <si>
    <t>VTPD39649</t>
  </si>
  <si>
    <t>VT 프로 시카 센텔라아시아티카 타이거 클리어 스팟패치 4매/15ea*2+18ea*2(66EA)</t>
  </si>
  <si>
    <t>VT PRO CICA CENTELLA ASIATICA TIGER CLEAR SPOT PATCH 4pcs/15ea*2+18ea*2(66EA)</t>
    <phoneticPr fontId="3" type="noConversion"/>
  </si>
  <si>
    <t>4pcs/15ea*2+18ea*2(66EA)</t>
  </si>
  <si>
    <t>VTPD36174</t>
  </si>
  <si>
    <t>VT 시카 스팟 패치 (3입,48매)</t>
  </si>
  <si>
    <t>VT SPOT PATCH(3sets, 48ea)</t>
  </si>
  <si>
    <t>VT CICA CREAM</t>
  </si>
  <si>
    <t>VT CICA MILD TONER PAD (60ea, 130ml)</t>
  </si>
  <si>
    <t>VT CICA MILD FOAM CLEANSER</t>
  </si>
  <si>
    <t>VTPD36390</t>
  </si>
  <si>
    <t>VT CICA MILD CLEANSING TISSUE</t>
  </si>
  <si>
    <t>VTPD40064</t>
  </si>
  <si>
    <t>VT 시카 노세범 마일드 파우더</t>
  </si>
  <si>
    <t>VT CICA NO-SEBUM MILD POWDER</t>
  </si>
  <si>
    <t>VTPD40356</t>
  </si>
  <si>
    <t>VT CICA-EXOSOME MOISTURE MASK</t>
  </si>
  <si>
    <t>350g(20ea)</t>
  </si>
  <si>
    <t>VT CICA DAILY SOOTHING MASK</t>
  </si>
  <si>
    <t>VT CICA COLLAGEN ALL IN ONE 3STEP MASK</t>
  </si>
  <si>
    <t>STEP1,3 - 1.5g / 
STEP2 - 24g</t>
  </si>
  <si>
    <t>VT 시카 콜라겐 마스크</t>
  </si>
  <si>
    <t>VT CICA COLLAGEN MASK</t>
  </si>
  <si>
    <t>VT CICA COLLAGEN ESSENCE</t>
  </si>
  <si>
    <t>VT CICA COLLAGEN CREAM</t>
  </si>
  <si>
    <t>VT CICA COLLAGEN EYE CREAM</t>
  </si>
  <si>
    <t>VT VITA-LIGHT ALL IN ONE 3STEP MASK</t>
  </si>
  <si>
    <t>VT 리들샷 비타-라이트 크림</t>
  </si>
  <si>
    <t>VT REEDLE SHOT VITA-LIGHT CREAM</t>
  </si>
  <si>
    <t>VTPD40295</t>
  </si>
  <si>
    <t>VT REEDLE SHOT VITA-LIGHT BRIGHTENING MASK</t>
  </si>
  <si>
    <t>VT REEDLE SHOT VITA-LIGHT EYE CREAM</t>
  </si>
  <si>
    <t>VT PDRN 에센스 글로우 선 팩트</t>
  </si>
  <si>
    <t>VT PDRN ESSENCE GLOW SUN PACT</t>
  </si>
  <si>
    <t>10g</t>
  </si>
  <si>
    <t>VTPD39734</t>
  </si>
  <si>
    <t>VT CICA EMULSION 500ml</t>
  </si>
  <si>
    <t>VTPD39750</t>
  </si>
  <si>
    <t>VT CICA SKIN 510ml</t>
  </si>
  <si>
    <t>국영문_RE_VT 리들샷 립 플럼퍼 크리스탈_4.3g_1ea</t>
  </si>
  <si>
    <t>VLPD250056</t>
  </si>
  <si>
    <t>국영문_RE_VT 리들샷 립 플럼퍼 트윙클_4.3g_1ea</t>
  </si>
  <si>
    <t>VLPD250057</t>
  </si>
  <si>
    <t>국영문_RE_VT 리들샷 립 플럼퍼 우사기 핑크_4.3g_1ea</t>
  </si>
  <si>
    <t>VLPD250058</t>
  </si>
  <si>
    <t>국영문_RE_VT 리들샷 립 플럼퍼 로즈베리_4.3g_1ea</t>
  </si>
  <si>
    <t>VTPD250007</t>
  </si>
  <si>
    <t>글로우 락 마스크</t>
  </si>
  <si>
    <t>VT GLOW LOCK MASK</t>
  </si>
  <si>
    <t>VTPD250008</t>
  </si>
  <si>
    <t>에이제트 케어 락 마스크</t>
    <phoneticPr fontId="3" type="noConversion"/>
  </si>
  <si>
    <t>VLPD250042</t>
  </si>
  <si>
    <t>국영문_PD_피디알엔 텐션 토너 패드_170mL/60ea_1ea</t>
  </si>
  <si>
    <t>170mL/60ea</t>
  </si>
  <si>
    <t xml:space="preserve">PDRN </t>
    <phoneticPr fontId="3" type="noConversion"/>
  </si>
  <si>
    <t>VTPD40333</t>
  </si>
  <si>
    <t>VT 피디알엔 리들샷 크림(홈쇼핑)</t>
  </si>
  <si>
    <t>VEPD250061</t>
  </si>
  <si>
    <t>영문_RE_글라이콜릭 리들샷 헤드 투 토 미스트_120mL_1ea</t>
  </si>
  <si>
    <t>VTPD250099</t>
  </si>
  <si>
    <t>국문_OL_글루타치온 글로우 클렌징 오일</t>
  </si>
  <si>
    <t>VT GLUTATHIONE GLOW CLEANSING OIL</t>
  </si>
  <si>
    <t>VTPD250100</t>
  </si>
  <si>
    <t>국문_OL_세라마이드 아쿠아 클렌징 오일</t>
  </si>
  <si>
    <t>VT CERAMIDE AQUA CLEANSING OIL</t>
  </si>
  <si>
    <t>VTPD250061</t>
  </si>
  <si>
    <t>국문_AC_에이제트 케어 클렌징 오일</t>
  </si>
  <si>
    <t>VLPD250118</t>
  </si>
  <si>
    <t>VT 갈릭 에이씨 리들샷 스팟 크림 (1ml / 6입)</t>
    <phoneticPr fontId="3" type="noConversion"/>
  </si>
  <si>
    <t>VT GARLIC AC REEDLE SHOT SPOT CREAM (1ml / 6입)</t>
    <phoneticPr fontId="3" type="noConversion"/>
  </si>
  <si>
    <t>1mL*6</t>
  </si>
  <si>
    <t>VTPD40296</t>
  </si>
  <si>
    <t>VT 리들샷 1300</t>
    <phoneticPr fontId="3" type="noConversion"/>
  </si>
  <si>
    <t>VT REEDLE SHOT 1300</t>
  </si>
  <si>
    <t>8mL</t>
  </si>
  <si>
    <t>VT PDRN REEDLE SHOT HAIR AMPOULE 100dL</t>
  </si>
  <si>
    <t>VTPD40567</t>
    <phoneticPr fontId="3" type="noConversion"/>
  </si>
  <si>
    <t>VT 피디알엔 리들샷 헤어 앰플 300dL</t>
    <phoneticPr fontId="3" type="noConversion"/>
  </si>
  <si>
    <t>VT PDRN REEDLE SHOT HAIR AMPOULE 300dL</t>
    <phoneticPr fontId="3" type="noConversion"/>
  </si>
  <si>
    <t>VTPD40568</t>
    <phoneticPr fontId="3" type="noConversion"/>
  </si>
  <si>
    <t>VT 피디알엔 리들샷 헤어 앰플 700dL</t>
    <phoneticPr fontId="3" type="noConversion"/>
  </si>
  <si>
    <t>VT PDRN REEDLE SHOT HAIR AMPOULE 700dL</t>
    <phoneticPr fontId="3" type="noConversion"/>
  </si>
  <si>
    <t>SKIN CARE</t>
    <phoneticPr fontId="3" type="noConversion"/>
  </si>
  <si>
    <t>VTPD40662</t>
    <phoneticPr fontId="3" type="noConversion"/>
  </si>
  <si>
    <t>VT 피디알엔 리들샷 샴푸,트리트먼트 듀오세트</t>
  </si>
  <si>
    <t>VT PDRN REEDLE SHOT SHAMPOO, TREATMENT DUO SET</t>
  </si>
  <si>
    <t>200ml*2ea</t>
  </si>
  <si>
    <t>VTPD250023</t>
    <phoneticPr fontId="3" type="noConversion"/>
  </si>
  <si>
    <t>피디알엔 리들샷 골드 에센스 (30ml)</t>
  </si>
  <si>
    <t>PDRN REEDLE SHOT GOLD ESSENCE</t>
  </si>
  <si>
    <t>30mL</t>
  </si>
  <si>
    <t>VTPD250024</t>
    <phoneticPr fontId="3" type="noConversion"/>
  </si>
  <si>
    <t>피디알엔 리들샷 골드 크림 (50ml)</t>
  </si>
  <si>
    <t>PDRN REEDLE SHOT GOLD CREAM</t>
  </si>
  <si>
    <t>VLPD250115</t>
    <phoneticPr fontId="3" type="noConversion"/>
  </si>
  <si>
    <t>콜라겐 리들샷 100_30mL</t>
  </si>
  <si>
    <t>VT COLLAGEN REEDLE SHOT 100(30ml)</t>
  </si>
  <si>
    <t>VLPD250116</t>
    <phoneticPr fontId="3" type="noConversion"/>
  </si>
  <si>
    <t>비타-라이트 리들샷 100_30mL</t>
  </si>
  <si>
    <t>VT VITA-LIGHT REEDLE SHOT 100(30ml)</t>
  </si>
  <si>
    <t>VLPD250117</t>
    <phoneticPr fontId="3" type="noConversion"/>
  </si>
  <si>
    <t>레드 부스터 리들샷 100_30mL</t>
  </si>
  <si>
    <t>VT RED BOOSTER REEDLE SHOT 100(30ml)</t>
  </si>
  <si>
    <t>VLPD250143</t>
    <phoneticPr fontId="3" type="noConversion"/>
  </si>
  <si>
    <t>피디알엔 리들샷 브러쉬 헤어세럼 (100ml)</t>
  </si>
  <si>
    <t>VT PDRN REEDLE SHOT BRUSH HAIR SERUM</t>
  </si>
  <si>
    <t>VLPD250133</t>
    <phoneticPr fontId="3" type="noConversion"/>
  </si>
  <si>
    <t>카페인 아이패치</t>
  </si>
  <si>
    <t xml:space="preserve">VT CAFFENE EYE PATCH </t>
  </si>
  <si>
    <t>110ml/60ea</t>
    <phoneticPr fontId="3" type="noConversion"/>
  </si>
  <si>
    <t>VTPD250126</t>
    <phoneticPr fontId="3" type="noConversion"/>
  </si>
  <si>
    <t xml:space="preserve">에이제트 케어 토너 </t>
  </si>
  <si>
    <t>VT AZELAIC ACID TONER</t>
  </si>
  <si>
    <t>250ml</t>
    <phoneticPr fontId="3" type="noConversion"/>
  </si>
  <si>
    <t>VTPD250017</t>
    <phoneticPr fontId="3" type="noConversion"/>
  </si>
  <si>
    <t>리들샷 포 맨 올인원 100 엠플러스</t>
  </si>
  <si>
    <t>VT REEDLE SHOT FOR MEN ALL IN ONE</t>
  </si>
  <si>
    <t>VTPD250063</t>
    <phoneticPr fontId="3" type="noConversion"/>
  </si>
  <si>
    <t xml:space="preserve">바쿠치올 리들샷 크림 </t>
  </si>
  <si>
    <t>VT BAKUCHIOL REEDLE SHOT CREAM</t>
  </si>
  <si>
    <t>VLPD250139</t>
    <phoneticPr fontId="3" type="noConversion"/>
  </si>
  <si>
    <t>비타민c아스타잔틴 세럼_30ml</t>
  </si>
  <si>
    <t>VT VITAMIN C ASTAXANTHIN SERUM</t>
  </si>
  <si>
    <t>VLPD250153</t>
    <phoneticPr fontId="3" type="noConversion"/>
  </si>
  <si>
    <t xml:space="preserve">말차시카레이어 세럼_30ml </t>
  </si>
  <si>
    <t>VT MATCHA CICA LAYER SERUM</t>
  </si>
  <si>
    <t>VLPD250141</t>
    <phoneticPr fontId="3" type="noConversion"/>
  </si>
  <si>
    <t>글루타치온 톤온 세럼_30ml</t>
  </si>
  <si>
    <t>VT GLUTATHIONE TONE ON SERUM</t>
  </si>
  <si>
    <t>VLPD250161</t>
  </si>
  <si>
    <t>VT 라이스 세라마이드 세럼</t>
  </si>
  <si>
    <t>VT RICE CERAMIDE SERUM</t>
  </si>
  <si>
    <t>VLPD250126</t>
    <phoneticPr fontId="3" type="noConversion"/>
  </si>
  <si>
    <t>베리어 크림 버블 클렌저</t>
  </si>
  <si>
    <t>VT BARRIER CREAM BUBBLE CLEANSER</t>
  </si>
  <si>
    <t>140mL</t>
    <phoneticPr fontId="3" type="noConversion"/>
  </si>
  <si>
    <t>VLPD250160</t>
    <phoneticPr fontId="3" type="noConversion"/>
  </si>
  <si>
    <t>국영문_OL_레티날펩타이드캡슐크림</t>
  </si>
  <si>
    <t>VT RETINAL PEPTIDE CAPSULE CREAM</t>
  </si>
  <si>
    <t>50mL</t>
    <phoneticPr fontId="3" type="noConversion"/>
  </si>
  <si>
    <t>VLPD250158</t>
    <phoneticPr fontId="3" type="noConversion"/>
  </si>
  <si>
    <t>국영문_PD_피디알엔베리어클렌저</t>
  </si>
  <si>
    <t>VT PDRN BARRIER CLEANSER</t>
  </si>
  <si>
    <t>VLPD250162</t>
    <phoneticPr fontId="3" type="noConversion"/>
  </si>
  <si>
    <t>피디알엔 하이드로겔 아이패치</t>
  </si>
  <si>
    <t>VT PDRN HYDROGEL EYE PATCH</t>
  </si>
  <si>
    <t xml:space="preserve">60 patches (30 pairs) </t>
  </si>
  <si>
    <t>VLPD250171</t>
    <phoneticPr fontId="3" type="noConversion"/>
  </si>
  <si>
    <t>국영문_OL_라이스세라마이드캡슐크림_50ml</t>
    <phoneticPr fontId="3" type="noConversion"/>
  </si>
  <si>
    <t>VT RICE CAPSULE CREAM</t>
  </si>
  <si>
    <t>VLPD250163-1</t>
    <phoneticPr fontId="3" type="noConversion"/>
  </si>
  <si>
    <t>브이티 아젤라익애씨드 케어 캡슐 크림</t>
  </si>
  <si>
    <t>VT AZELAIC ACID CARE CAPSULE CREAM</t>
  </si>
  <si>
    <t>VLPD250159-1</t>
    <phoneticPr fontId="3" type="noConversion"/>
  </si>
  <si>
    <t>브이티 비타민 씨 아스타잔틴 캡슐 크림</t>
  </si>
  <si>
    <t>VT VITAMIN C ASTAXANTHIN CAPSULE CREAM</t>
  </si>
  <si>
    <t>VLPD250140</t>
    <phoneticPr fontId="3" type="noConversion"/>
  </si>
  <si>
    <t>VT 비타민C 아스타잔틴 마스크_320g_30ea</t>
  </si>
  <si>
    <t>VT VITAMIN C ASTAXANTHIN MASK</t>
  </si>
  <si>
    <t>320g_30ea</t>
    <phoneticPr fontId="3" type="noConversion"/>
  </si>
  <si>
    <t>라이스</t>
    <phoneticPr fontId="3" type="noConversion"/>
  </si>
  <si>
    <t>아젤라익애씨드</t>
    <phoneticPr fontId="3" type="noConversion"/>
  </si>
  <si>
    <t>비타민C</t>
    <phoneticPr fontId="3" type="noConversion"/>
  </si>
  <si>
    <t>VT 피디알엔 리들샷 스칼프 샴푸</t>
    <phoneticPr fontId="3" type="noConversion"/>
  </si>
  <si>
    <t>VT 피디알엔 리들샷 아이 리프터</t>
    <phoneticPr fontId="3" type="noConversion"/>
  </si>
  <si>
    <t>VT 피디알엔 그라인딩 클렌징 밤</t>
    <phoneticPr fontId="3" type="noConversion"/>
  </si>
  <si>
    <t>VT 마일드 31도 스킨팩</t>
    <phoneticPr fontId="3" type="noConversion"/>
  </si>
  <si>
    <t>100ea</t>
    <phoneticPr fontId="3" type="noConversion"/>
  </si>
  <si>
    <t>Order
(BOX)</t>
    <phoneticPr fontId="6" type="noConversion"/>
  </si>
  <si>
    <t>Order
(EA)</t>
    <phoneticPr fontId="6" type="noConversion"/>
  </si>
  <si>
    <t>Order
(Amount)</t>
    <phoneticPr fontId="6" type="noConversion"/>
  </si>
  <si>
    <t>Total</t>
    <phoneticPr fontId="3" type="noConversion"/>
  </si>
  <si>
    <t>Supply Price
(KRW)
(-VAT)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</si>
</sst>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0_);[Red]\(0\)"/>
    <numFmt numFmtId="177" formatCode="_-[$$-409]* #,##0.00_ ;_-[$$-409]* \-#,##0.00\ ;_-[$$-409]* &quot;-&quot;??_ ;_-@_ "/>
    <numFmt numFmtId="178" formatCode="_-* #,##0_-;\-* #,##0_-;_-* &quot;-&quot;??_-;_-@_-"/>
    <numFmt numFmtId="179" formatCode="_-[$¥-411]* #,##0_-;\-[$¥-411]* #,##0_-;_-[$¥-411]* &quot;-&quot;_-;_-@_-"/>
    <numFmt numFmtId="180" formatCode="_-* #,##0.00_-;\-* #,##0.00_-;_-* &quot;-&quot;_-;_-@_-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b/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name val="맑은 고딕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8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8" fillId="0" borderId="0"/>
    <xf numFmtId="0" fontId="1" fillId="0" borderId="0">
      <alignment vertical="center"/>
    </xf>
    <xf numFmtId="0" fontId="1" fillId="0" borderId="0">
      <alignment vertical="center"/>
    </xf>
  </cellStyleXfs>
  <cellXfs count="9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6" fontId="2" fillId="0" borderId="5" xfId="0" applyNumberFormat="1" applyFont="1" applyBorder="1" applyAlignment="1">
      <alignment horizontal="center" vertical="center"/>
    </xf>
    <xf numFmtId="41" fontId="2" fillId="0" borderId="5" xfId="0" applyNumberFormat="1" applyFont="1" applyBorder="1" applyAlignment="1">
      <alignment horizontal="center" vertical="center"/>
    </xf>
    <xf numFmtId="42" fontId="2" fillId="9" borderId="5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5" xfId="0" applyFont="1" applyBorder="1">
      <alignment vertical="center"/>
    </xf>
    <xf numFmtId="43" fontId="2" fillId="0" borderId="5" xfId="0" applyNumberFormat="1" applyFont="1" applyBorder="1" applyAlignment="1">
      <alignment horizontal="center" vertical="center"/>
    </xf>
    <xf numFmtId="41" fontId="2" fillId="0" borderId="5" xfId="1" applyFont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176" fontId="2" fillId="2" borderId="5" xfId="0" applyNumberFormat="1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2" fillId="2" borderId="5" xfId="0" applyFont="1" applyFill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2" borderId="5" xfId="0" applyFill="1" applyBorder="1">
      <alignment vertical="center"/>
    </xf>
    <xf numFmtId="41" fontId="10" fillId="0" borderId="5" xfId="1" applyFont="1" applyFill="1" applyBorder="1" applyAlignment="1">
      <alignment horizontal="center" vertical="center"/>
    </xf>
    <xf numFmtId="0" fontId="7" fillId="0" borderId="5" xfId="4" applyFont="1" applyBorder="1" applyAlignment="1">
      <alignment horizontal="center" vertical="center"/>
    </xf>
    <xf numFmtId="177" fontId="7" fillId="0" borderId="5" xfId="1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176" fontId="2" fillId="2" borderId="5" xfId="7" applyNumberFormat="1" applyFont="1" applyFill="1" applyBorder="1" applyAlignment="1">
      <alignment horizontal="center" vertical="center"/>
    </xf>
    <xf numFmtId="41" fontId="2" fillId="2" borderId="5" xfId="1" applyFont="1" applyFill="1" applyBorder="1" applyAlignment="1">
      <alignment horizontal="center" vertical="center"/>
    </xf>
    <xf numFmtId="41" fontId="2" fillId="0" borderId="5" xfId="1" applyFont="1" applyFill="1" applyBorder="1" applyAlignment="1">
      <alignment horizontal="center" vertical="center"/>
    </xf>
    <xf numFmtId="41" fontId="11" fillId="0" borderId="5" xfId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41" fontId="2" fillId="2" borderId="5" xfId="0" applyNumberFormat="1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0" borderId="5" xfId="4" applyFont="1" applyBorder="1" applyAlignment="1">
      <alignment horizontal="center" vertical="center"/>
    </xf>
    <xf numFmtId="0" fontId="2" fillId="2" borderId="5" xfId="4" applyFont="1" applyFill="1" applyBorder="1" applyAlignment="1">
      <alignment horizontal="center" vertical="center"/>
    </xf>
    <xf numFmtId="0" fontId="2" fillId="0" borderId="5" xfId="4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77" fontId="7" fillId="2" borderId="5" xfId="1" applyNumberFormat="1" applyFont="1" applyFill="1" applyBorder="1" applyAlignment="1">
      <alignment horizontal="center" vertical="center" wrapText="1"/>
    </xf>
    <xf numFmtId="178" fontId="2" fillId="2" borderId="5" xfId="1" applyNumberFormat="1" applyFont="1" applyFill="1" applyBorder="1" applyAlignment="1">
      <alignment horizontal="center" vertical="center"/>
    </xf>
    <xf numFmtId="43" fontId="2" fillId="2" borderId="5" xfId="1" applyNumberFormat="1" applyFont="1" applyFill="1" applyBorder="1" applyAlignment="1">
      <alignment horizontal="center" vertical="center"/>
    </xf>
    <xf numFmtId="0" fontId="7" fillId="2" borderId="5" xfId="4" applyFont="1" applyFill="1" applyBorder="1" applyAlignment="1">
      <alignment horizontal="center" vertical="center"/>
    </xf>
    <xf numFmtId="179" fontId="2" fillId="2" borderId="5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>
      <alignment vertical="center"/>
    </xf>
    <xf numFmtId="178" fontId="2" fillId="2" borderId="5" xfId="0" applyNumberFormat="1" applyFont="1" applyFill="1" applyBorder="1" applyAlignment="1">
      <alignment horizontal="center" vertical="center"/>
    </xf>
    <xf numFmtId="43" fontId="2" fillId="2" borderId="5" xfId="0" applyNumberFormat="1" applyFont="1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10" fontId="2" fillId="0" borderId="5" xfId="2" applyNumberFormat="1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180" fontId="2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6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41" fontId="2" fillId="0" borderId="7" xfId="0" applyNumberFormat="1" applyFont="1" applyBorder="1" applyAlignment="1">
      <alignment horizontal="center" vertical="center"/>
    </xf>
    <xf numFmtId="43" fontId="5" fillId="9" borderId="3" xfId="3" applyNumberFormat="1" applyFont="1" applyFill="1" applyBorder="1" applyAlignment="1">
      <alignment horizontal="center" vertical="center" wrapText="1"/>
    </xf>
    <xf numFmtId="49" fontId="5" fillId="9" borderId="5" xfId="3" applyNumberFormat="1" applyFont="1" applyFill="1" applyBorder="1" applyAlignment="1">
      <alignment horizontal="center" vertical="center"/>
    </xf>
    <xf numFmtId="41" fontId="5" fillId="9" borderId="5" xfId="1" applyFont="1" applyFill="1" applyBorder="1" applyAlignment="1">
      <alignment horizontal="center" vertical="center" wrapText="1"/>
    </xf>
    <xf numFmtId="43" fontId="5" fillId="14" borderId="5" xfId="0" applyNumberFormat="1" applyFont="1" applyFill="1" applyBorder="1" applyAlignment="1">
      <alignment horizontal="center" vertical="center"/>
    </xf>
    <xf numFmtId="41" fontId="2" fillId="3" borderId="1" xfId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1" fontId="9" fillId="0" borderId="0" xfId="1" applyFont="1" applyAlignment="1">
      <alignment vertical="center" wrapText="1"/>
    </xf>
    <xf numFmtId="41" fontId="0" fillId="0" borderId="0" xfId="1" applyFont="1">
      <alignment vertical="center"/>
    </xf>
    <xf numFmtId="41" fontId="2" fillId="0" borderId="8" xfId="1" applyFont="1" applyFill="1" applyBorder="1" applyAlignment="1">
      <alignment horizontal="center" vertical="center"/>
    </xf>
    <xf numFmtId="41" fontId="5" fillId="13" borderId="3" xfId="1" applyFont="1" applyFill="1" applyBorder="1" applyAlignment="1">
      <alignment horizontal="center" vertical="center" wrapText="1"/>
    </xf>
    <xf numFmtId="41" fontId="5" fillId="13" borderId="5" xfId="1" applyFont="1" applyFill="1" applyBorder="1" applyAlignment="1">
      <alignment horizontal="center" vertical="center"/>
    </xf>
    <xf numFmtId="41" fontId="5" fillId="13" borderId="5" xfId="1" applyFont="1" applyFill="1" applyBorder="1" applyAlignment="1">
      <alignment horizontal="center" vertical="center" wrapText="1"/>
    </xf>
    <xf numFmtId="49" fontId="5" fillId="9" borderId="2" xfId="3" applyNumberFormat="1" applyFont="1" applyFill="1" applyBorder="1" applyAlignment="1">
      <alignment horizontal="center" vertical="center"/>
    </xf>
    <xf numFmtId="49" fontId="5" fillId="9" borderId="4" xfId="3" applyNumberFormat="1" applyFont="1" applyFill="1" applyBorder="1" applyAlignment="1">
      <alignment horizontal="center" vertical="center"/>
    </xf>
    <xf numFmtId="49" fontId="5" fillId="9" borderId="3" xfId="3" applyNumberFormat="1" applyFont="1" applyFill="1" applyBorder="1" applyAlignment="1">
      <alignment horizontal="center" vertical="center" wrapText="1"/>
    </xf>
    <xf numFmtId="49" fontId="5" fillId="9" borderId="5" xfId="3" applyNumberFormat="1" applyFont="1" applyFill="1" applyBorder="1" applyAlignment="1">
      <alignment horizontal="center" vertical="center"/>
    </xf>
    <xf numFmtId="49" fontId="5" fillId="9" borderId="3" xfId="3" applyNumberFormat="1" applyFont="1" applyFill="1" applyBorder="1" applyAlignment="1">
      <alignment horizontal="center" vertical="center"/>
    </xf>
    <xf numFmtId="176" fontId="5" fillId="9" borderId="3" xfId="3" applyNumberFormat="1" applyFont="1" applyFill="1" applyBorder="1" applyAlignment="1">
      <alignment horizontal="center" vertical="center"/>
    </xf>
    <xf numFmtId="176" fontId="5" fillId="9" borderId="5" xfId="3" applyNumberFormat="1" applyFont="1" applyFill="1" applyBorder="1" applyAlignment="1">
      <alignment horizontal="center" vertical="center"/>
    </xf>
    <xf numFmtId="41" fontId="5" fillId="9" borderId="3" xfId="0" applyNumberFormat="1" applyFont="1" applyFill="1" applyBorder="1" applyAlignment="1">
      <alignment horizontal="center" vertical="center" wrapText="1"/>
    </xf>
    <xf numFmtId="41" fontId="5" fillId="9" borderId="5" xfId="0" applyNumberFormat="1" applyFont="1" applyFill="1" applyBorder="1" applyAlignment="1">
      <alignment horizontal="center" vertical="center" wrapText="1"/>
    </xf>
    <xf numFmtId="3" fontId="5" fillId="9" borderId="3" xfId="0" applyNumberFormat="1" applyFont="1" applyFill="1" applyBorder="1" applyAlignment="1">
      <alignment horizontal="center" vertical="center" wrapText="1"/>
    </xf>
    <xf numFmtId="3" fontId="5" fillId="9" borderId="5" xfId="0" applyNumberFormat="1" applyFont="1" applyFill="1" applyBorder="1" applyAlignment="1">
      <alignment horizontal="center" vertical="center" wrapText="1"/>
    </xf>
    <xf numFmtId="41" fontId="5" fillId="9" borderId="3" xfId="1" applyFont="1" applyFill="1" applyBorder="1" applyAlignment="1">
      <alignment horizontal="center" vertical="center"/>
    </xf>
    <xf numFmtId="43" fontId="5" fillId="14" borderId="3" xfId="0" applyNumberFormat="1" applyFont="1" applyFill="1" applyBorder="1" applyAlignment="1">
      <alignment horizontal="center" vertical="center" wrapText="1"/>
    </xf>
    <xf numFmtId="43" fontId="5" fillId="9" borderId="3" xfId="0" applyNumberFormat="1" applyFont="1" applyFill="1" applyBorder="1" applyAlignment="1">
      <alignment horizontal="center" vertical="center"/>
    </xf>
    <xf numFmtId="42" fontId="5" fillId="9" borderId="9" xfId="1" applyNumberFormat="1" applyFont="1" applyFill="1" applyBorder="1" applyAlignment="1">
      <alignment horizontal="center" vertical="center" wrapText="1"/>
    </xf>
    <xf numFmtId="42" fontId="5" fillId="9" borderId="5" xfId="1" applyNumberFormat="1" applyFont="1" applyFill="1" applyBorder="1" applyAlignment="1">
      <alignment horizontal="center" vertical="center" wrapText="1"/>
    </xf>
  </cellXfs>
  <cellStyles count="8">
    <cellStyle name="백분율" xfId="2" builtinId="5"/>
    <cellStyle name="쉼표 [0]" xfId="1" builtinId="6"/>
    <cellStyle name="표준" xfId="0" builtinId="0"/>
    <cellStyle name="표준 12" xfId="3" xr:uid="{4B4E1D2A-4351-48CF-901F-21138CF78B65}"/>
    <cellStyle name="표준 2" xfId="4" xr:uid="{B2C3B300-B7D5-4697-8199-C9DC2E1D3601}"/>
    <cellStyle name="표준 2 3" xfId="5" xr:uid="{7093A8BA-67CA-4995-875B-63100B4AB5BD}"/>
    <cellStyle name="표준 201" xfId="7" xr:uid="{FA28F9FA-A6FE-417F-A664-15AB05213892}"/>
    <cellStyle name="표준 22 2" xfId="6" xr:uid="{166974D1-EF12-4BA1-947E-A438EF115902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FA410-0CA4-421A-B5C8-53E0ECC68529}">
  <dimension ref="A1:V194"/>
  <sheetViews>
    <sheetView showGridLines="0" tabSelected="1" zoomScale="70" zoomScaleNormal="70" workbookViewId="0">
      <pane ySplit="5" topLeftCell="A76" activePane="bottomLeft" state="frozen"/>
      <selection pane="bottomLeft" activeCell="J81" sqref="J81"/>
    </sheetView>
  </sheetViews>
  <sheetFormatPr defaultRowHeight="17.399999999999999" outlineLevelCol="1" x14ac:dyDescent="0.4"/>
  <cols>
    <col min="1" max="1" width="4.09765625" bestFit="1" customWidth="1"/>
    <col min="2" max="2" width="15" bestFit="1" customWidth="1"/>
    <col min="3" max="3" width="12.69921875" customWidth="1"/>
    <col min="4" max="4" width="16" style="3" customWidth="1"/>
    <col min="5" max="5" width="12.8984375" style="3" customWidth="1"/>
    <col min="6" max="6" width="13.09765625" customWidth="1"/>
    <col min="7" max="7" width="43.3984375" customWidth="1"/>
    <col min="8" max="8" width="53.19921875" customWidth="1"/>
    <col min="9" max="9" width="11.19921875" customWidth="1"/>
    <col min="10" max="10" width="9.59765625" style="3" customWidth="1"/>
    <col min="11" max="11" width="7.09765625" customWidth="1" outlineLevel="1"/>
    <col min="12" max="12" width="6.09765625" customWidth="1" outlineLevel="1"/>
    <col min="13" max="13" width="8.69921875" customWidth="1" outlineLevel="1"/>
    <col min="14" max="14" width="7.19921875" customWidth="1" outlineLevel="1"/>
    <col min="15" max="16" width="8.5" customWidth="1" outlineLevel="1"/>
    <col min="17" max="17" width="14.3984375" customWidth="1"/>
    <col min="18" max="18" width="14.3984375" style="74" customWidth="1"/>
    <col min="19" max="20" width="15" style="74" customWidth="1"/>
  </cols>
  <sheetData>
    <row r="1" spans="1:22" ht="26.4" customHeight="1" x14ac:dyDescent="0.4">
      <c r="F1" s="4"/>
      <c r="I1" s="4"/>
      <c r="J1" s="4"/>
      <c r="K1" s="4"/>
      <c r="L1" s="4"/>
      <c r="M1" s="4"/>
      <c r="N1" s="4"/>
      <c r="O1" s="4"/>
      <c r="P1" s="4"/>
      <c r="Q1" s="4"/>
      <c r="R1" s="73"/>
    </row>
    <row r="2" spans="1:22" ht="19.8" thickBot="1" x14ac:dyDescent="0.45">
      <c r="F2" s="2"/>
      <c r="Q2" s="72" t="s">
        <v>680</v>
      </c>
      <c r="R2" s="71">
        <f>SUM(R5:R1048576)</f>
        <v>0</v>
      </c>
      <c r="S2" s="71">
        <f>SUM(S5:S1048576)</f>
        <v>0</v>
      </c>
      <c r="T2" s="71">
        <f>SUM(T5:T1048576)</f>
        <v>0</v>
      </c>
    </row>
    <row r="3" spans="1:22" s="1" customFormat="1" ht="46.8" x14ac:dyDescent="0.4">
      <c r="A3" s="79" t="s">
        <v>0</v>
      </c>
      <c r="B3" s="81" t="s">
        <v>1</v>
      </c>
      <c r="C3" s="81" t="s">
        <v>2</v>
      </c>
      <c r="D3" s="84" t="s">
        <v>3</v>
      </c>
      <c r="E3" s="83" t="s">
        <v>308</v>
      </c>
      <c r="F3" s="83" t="s">
        <v>5</v>
      </c>
      <c r="G3" s="83" t="s">
        <v>4</v>
      </c>
      <c r="H3" s="83"/>
      <c r="I3" s="86" t="s">
        <v>6</v>
      </c>
      <c r="J3" s="88" t="s">
        <v>7</v>
      </c>
      <c r="K3" s="90" t="s">
        <v>8</v>
      </c>
      <c r="L3" s="90"/>
      <c r="M3" s="91" t="s">
        <v>9</v>
      </c>
      <c r="N3" s="92"/>
      <c r="O3" s="92"/>
      <c r="P3" s="67" t="s">
        <v>10</v>
      </c>
      <c r="Q3" s="93" t="s">
        <v>681</v>
      </c>
      <c r="R3" s="76" t="s">
        <v>677</v>
      </c>
      <c r="S3" s="76" t="s">
        <v>678</v>
      </c>
      <c r="T3" s="76" t="s">
        <v>679</v>
      </c>
    </row>
    <row r="4" spans="1:22" s="1" customFormat="1" ht="31.2" x14ac:dyDescent="0.4">
      <c r="A4" s="80"/>
      <c r="B4" s="82"/>
      <c r="C4" s="82"/>
      <c r="D4" s="85" t="s">
        <v>11</v>
      </c>
      <c r="E4" s="82"/>
      <c r="F4" s="82"/>
      <c r="G4" s="68" t="s">
        <v>12</v>
      </c>
      <c r="H4" s="68" t="s">
        <v>13</v>
      </c>
      <c r="I4" s="87"/>
      <c r="J4" s="89"/>
      <c r="K4" s="69" t="s">
        <v>14</v>
      </c>
      <c r="L4" s="69" t="s">
        <v>15</v>
      </c>
      <c r="M4" s="70" t="s">
        <v>16</v>
      </c>
      <c r="N4" s="70" t="s">
        <v>17</v>
      </c>
      <c r="O4" s="70" t="s">
        <v>18</v>
      </c>
      <c r="P4" s="70" t="s">
        <v>19</v>
      </c>
      <c r="Q4" s="94"/>
      <c r="R4" s="77"/>
      <c r="S4" s="77"/>
      <c r="T4" s="78"/>
    </row>
    <row r="5" spans="1:22" s="1" customFormat="1" ht="79.5" customHeight="1" x14ac:dyDescent="0.4">
      <c r="A5" s="5">
        <v>1</v>
      </c>
      <c r="B5" s="6" t="s">
        <v>48</v>
      </c>
      <c r="C5" s="7" t="s">
        <v>21</v>
      </c>
      <c r="D5" s="8">
        <v>8809559626196</v>
      </c>
      <c r="E5" s="7" t="s">
        <v>309</v>
      </c>
      <c r="F5" s="7"/>
      <c r="G5" s="9" t="s">
        <v>49</v>
      </c>
      <c r="H5" s="9" t="s">
        <v>310</v>
      </c>
      <c r="I5" s="10">
        <v>27000</v>
      </c>
      <c r="J5" s="7" t="s">
        <v>27</v>
      </c>
      <c r="K5" s="11">
        <v>48</v>
      </c>
      <c r="L5" s="11">
        <v>12</v>
      </c>
      <c r="M5" s="11">
        <v>31.2</v>
      </c>
      <c r="N5" s="11">
        <v>24.4</v>
      </c>
      <c r="O5" s="11">
        <v>18</v>
      </c>
      <c r="P5" s="11"/>
      <c r="Q5" s="12">
        <v>13220</v>
      </c>
      <c r="R5" s="29"/>
      <c r="S5" s="29">
        <f t="shared" ref="S5:S36" si="0">R5*K5</f>
        <v>0</v>
      </c>
      <c r="T5" s="29">
        <f>S5*Q5</f>
        <v>0</v>
      </c>
    </row>
    <row r="6" spans="1:22" s="1" customFormat="1" ht="79.5" customHeight="1" x14ac:dyDescent="0.4">
      <c r="A6" s="5">
        <v>2</v>
      </c>
      <c r="B6" s="6" t="s">
        <v>48</v>
      </c>
      <c r="C6" s="7" t="s">
        <v>21</v>
      </c>
      <c r="D6" s="8">
        <v>8809695678363</v>
      </c>
      <c r="E6" s="7" t="s">
        <v>50</v>
      </c>
      <c r="F6" s="14"/>
      <c r="G6" s="9" t="s">
        <v>51</v>
      </c>
      <c r="H6" s="9" t="s">
        <v>311</v>
      </c>
      <c r="I6" s="10">
        <v>32000</v>
      </c>
      <c r="J6" s="7" t="s">
        <v>27</v>
      </c>
      <c r="K6" s="11">
        <v>48</v>
      </c>
      <c r="L6" s="11">
        <v>12</v>
      </c>
      <c r="M6" s="11">
        <v>31.2</v>
      </c>
      <c r="N6" s="11">
        <v>24.4</v>
      </c>
      <c r="O6" s="11">
        <v>18</v>
      </c>
      <c r="P6" s="15"/>
      <c r="Q6" s="12">
        <v>15670</v>
      </c>
      <c r="R6" s="29"/>
      <c r="S6" s="29">
        <f t="shared" si="0"/>
        <v>0</v>
      </c>
      <c r="T6" s="29">
        <f t="shared" ref="T6:T69" si="1">S6*Q6</f>
        <v>0</v>
      </c>
    </row>
    <row r="7" spans="1:22" s="1" customFormat="1" ht="79.5" customHeight="1" x14ac:dyDescent="0.4">
      <c r="A7" s="5">
        <v>3</v>
      </c>
      <c r="B7" s="6" t="s">
        <v>48</v>
      </c>
      <c r="C7" s="7" t="s">
        <v>21</v>
      </c>
      <c r="D7" s="8">
        <v>8809695678431</v>
      </c>
      <c r="E7" s="7" t="s">
        <v>52</v>
      </c>
      <c r="F7" s="14"/>
      <c r="G7" s="9" t="s">
        <v>53</v>
      </c>
      <c r="H7" s="9" t="s">
        <v>312</v>
      </c>
      <c r="I7" s="10">
        <v>43000</v>
      </c>
      <c r="J7" s="7" t="s">
        <v>27</v>
      </c>
      <c r="K7" s="11">
        <v>48</v>
      </c>
      <c r="L7" s="11">
        <v>12</v>
      </c>
      <c r="M7" s="11">
        <v>31.2</v>
      </c>
      <c r="N7" s="11">
        <v>24.4</v>
      </c>
      <c r="O7" s="11">
        <v>18</v>
      </c>
      <c r="P7" s="15"/>
      <c r="Q7" s="12">
        <v>21050</v>
      </c>
      <c r="R7" s="29"/>
      <c r="S7" s="29">
        <f t="shared" si="0"/>
        <v>0</v>
      </c>
      <c r="T7" s="29">
        <f t="shared" si="1"/>
        <v>0</v>
      </c>
    </row>
    <row r="8" spans="1:22" s="1" customFormat="1" ht="79.5" customHeight="1" x14ac:dyDescent="0.4">
      <c r="A8" s="5">
        <v>4</v>
      </c>
      <c r="B8" s="6" t="s">
        <v>48</v>
      </c>
      <c r="C8" s="7" t="s">
        <v>21</v>
      </c>
      <c r="D8" s="8">
        <v>8809695678448</v>
      </c>
      <c r="E8" s="7" t="s">
        <v>54</v>
      </c>
      <c r="F8" s="14"/>
      <c r="G8" s="9" t="s">
        <v>55</v>
      </c>
      <c r="H8" s="9" t="s">
        <v>313</v>
      </c>
      <c r="I8" s="10">
        <v>58000</v>
      </c>
      <c r="J8" s="7" t="s">
        <v>56</v>
      </c>
      <c r="K8" s="16">
        <v>48</v>
      </c>
      <c r="L8" s="16">
        <v>12</v>
      </c>
      <c r="M8" s="17">
        <v>30</v>
      </c>
      <c r="N8" s="17">
        <v>23.2</v>
      </c>
      <c r="O8" s="17">
        <v>15</v>
      </c>
      <c r="P8" s="15"/>
      <c r="Q8" s="12">
        <v>25630</v>
      </c>
      <c r="R8" s="29"/>
      <c r="S8" s="29">
        <f t="shared" si="0"/>
        <v>0</v>
      </c>
      <c r="T8" s="29">
        <f t="shared" si="1"/>
        <v>0</v>
      </c>
    </row>
    <row r="9" spans="1:22" s="1" customFormat="1" ht="79.5" customHeight="1" x14ac:dyDescent="0.4">
      <c r="A9" s="5">
        <v>5</v>
      </c>
      <c r="B9" s="6" t="s">
        <v>48</v>
      </c>
      <c r="C9" s="7" t="s">
        <v>21</v>
      </c>
      <c r="D9" s="8">
        <v>8803463003500</v>
      </c>
      <c r="E9" s="7" t="s">
        <v>57</v>
      </c>
      <c r="F9" s="7"/>
      <c r="G9" s="9" t="s">
        <v>58</v>
      </c>
      <c r="H9" s="9" t="s">
        <v>314</v>
      </c>
      <c r="I9" s="10">
        <v>63000</v>
      </c>
      <c r="J9" s="7" t="s">
        <v>239</v>
      </c>
      <c r="K9" s="11">
        <v>60</v>
      </c>
      <c r="L9" s="11">
        <v>20</v>
      </c>
      <c r="M9" s="11">
        <v>37.700000000000003</v>
      </c>
      <c r="N9" s="11">
        <v>16</v>
      </c>
      <c r="O9" s="11">
        <v>14</v>
      </c>
      <c r="P9" s="11"/>
      <c r="Q9" s="12">
        <v>30840</v>
      </c>
      <c r="R9" s="29"/>
      <c r="S9" s="29">
        <f t="shared" si="0"/>
        <v>0</v>
      </c>
      <c r="T9" s="29">
        <f t="shared" si="1"/>
        <v>0</v>
      </c>
    </row>
    <row r="10" spans="1:22" s="1" customFormat="1" ht="79.5" customHeight="1" x14ac:dyDescent="0.4">
      <c r="A10" s="5">
        <v>6</v>
      </c>
      <c r="B10" s="6" t="s">
        <v>48</v>
      </c>
      <c r="C10" s="7" t="s">
        <v>21</v>
      </c>
      <c r="D10" s="8">
        <v>8803463006020</v>
      </c>
      <c r="E10" s="7" t="s">
        <v>62</v>
      </c>
      <c r="F10" s="7"/>
      <c r="G10" s="9" t="s">
        <v>315</v>
      </c>
      <c r="H10" s="9" t="s">
        <v>316</v>
      </c>
      <c r="I10" s="10">
        <v>2500</v>
      </c>
      <c r="J10" s="7" t="s">
        <v>317</v>
      </c>
      <c r="K10" s="11">
        <v>300</v>
      </c>
      <c r="L10" s="11">
        <v>20</v>
      </c>
      <c r="M10" s="11">
        <v>44.5</v>
      </c>
      <c r="N10" s="11">
        <v>34.200000000000003</v>
      </c>
      <c r="O10" s="11">
        <v>22.5</v>
      </c>
      <c r="P10" s="11"/>
      <c r="Q10" s="12">
        <v>1100</v>
      </c>
      <c r="R10" s="29"/>
      <c r="S10" s="29">
        <f t="shared" si="0"/>
        <v>0</v>
      </c>
      <c r="T10" s="29">
        <f t="shared" si="1"/>
        <v>0</v>
      </c>
    </row>
    <row r="11" spans="1:22" s="1" customFormat="1" ht="79.5" customHeight="1" x14ac:dyDescent="0.4">
      <c r="A11" s="5">
        <v>7</v>
      </c>
      <c r="B11" s="6" t="s">
        <v>48</v>
      </c>
      <c r="C11" s="7" t="s">
        <v>21</v>
      </c>
      <c r="D11" s="8">
        <v>8803463006037</v>
      </c>
      <c r="E11" s="7" t="s">
        <v>63</v>
      </c>
      <c r="F11" s="7"/>
      <c r="G11" s="9" t="s">
        <v>318</v>
      </c>
      <c r="H11" s="9" t="s">
        <v>319</v>
      </c>
      <c r="I11" s="10">
        <v>3000</v>
      </c>
      <c r="J11" s="7" t="s">
        <v>317</v>
      </c>
      <c r="K11" s="11">
        <v>200</v>
      </c>
      <c r="L11" s="11">
        <v>20</v>
      </c>
      <c r="M11" s="11">
        <v>44.5</v>
      </c>
      <c r="N11" s="11">
        <v>34.200000000000003</v>
      </c>
      <c r="O11" s="11">
        <v>22.5</v>
      </c>
      <c r="P11" s="11"/>
      <c r="Q11" s="12">
        <v>1330</v>
      </c>
      <c r="R11" s="29"/>
      <c r="S11" s="29">
        <f t="shared" si="0"/>
        <v>0</v>
      </c>
      <c r="T11" s="29">
        <f t="shared" si="1"/>
        <v>0</v>
      </c>
    </row>
    <row r="12" spans="1:22" ht="75.599999999999994" customHeight="1" x14ac:dyDescent="0.4">
      <c r="A12" s="5">
        <v>8</v>
      </c>
      <c r="B12" s="6" t="s">
        <v>48</v>
      </c>
      <c r="C12" s="7" t="s">
        <v>21</v>
      </c>
      <c r="D12" s="18">
        <v>8803463006044</v>
      </c>
      <c r="E12" s="13" t="s">
        <v>64</v>
      </c>
      <c r="F12" s="19"/>
      <c r="G12" s="20" t="s">
        <v>320</v>
      </c>
      <c r="H12" s="20" t="s">
        <v>321</v>
      </c>
      <c r="I12" s="10">
        <v>3500</v>
      </c>
      <c r="J12" s="21" t="s">
        <v>317</v>
      </c>
      <c r="K12" s="11">
        <v>200</v>
      </c>
      <c r="L12" s="11">
        <v>20</v>
      </c>
      <c r="M12" s="11">
        <v>44.5</v>
      </c>
      <c r="N12" s="11">
        <v>34.200000000000003</v>
      </c>
      <c r="O12" s="11">
        <v>22.5</v>
      </c>
      <c r="P12" s="19"/>
      <c r="Q12" s="12">
        <v>1550</v>
      </c>
      <c r="R12" s="29"/>
      <c r="S12" s="29">
        <f t="shared" si="0"/>
        <v>0</v>
      </c>
      <c r="T12" s="29">
        <f t="shared" si="1"/>
        <v>0</v>
      </c>
      <c r="U12" s="1"/>
      <c r="V12" s="1"/>
    </row>
    <row r="13" spans="1:22" ht="75.599999999999994" customHeight="1" x14ac:dyDescent="0.4">
      <c r="A13" s="5">
        <v>9</v>
      </c>
      <c r="B13" s="6" t="s">
        <v>48</v>
      </c>
      <c r="C13" s="7" t="s">
        <v>21</v>
      </c>
      <c r="D13" s="18">
        <v>8803463006051</v>
      </c>
      <c r="E13" s="13" t="s">
        <v>65</v>
      </c>
      <c r="F13" s="19"/>
      <c r="G13" s="20" t="s">
        <v>322</v>
      </c>
      <c r="H13" s="20" t="s">
        <v>323</v>
      </c>
      <c r="I13" s="10">
        <v>4500</v>
      </c>
      <c r="J13" s="21" t="s">
        <v>317</v>
      </c>
      <c r="K13" s="7">
        <v>200</v>
      </c>
      <c r="L13" s="7">
        <v>20</v>
      </c>
      <c r="M13" s="23">
        <v>44.5</v>
      </c>
      <c r="N13" s="23">
        <v>34.200000000000003</v>
      </c>
      <c r="O13" s="23">
        <v>22.5</v>
      </c>
      <c r="P13" s="19"/>
      <c r="Q13" s="12">
        <v>1990</v>
      </c>
      <c r="R13" s="29"/>
      <c r="S13" s="29">
        <f t="shared" si="0"/>
        <v>0</v>
      </c>
      <c r="T13" s="29">
        <f t="shared" si="1"/>
        <v>0</v>
      </c>
      <c r="U13" s="1"/>
      <c r="V13" s="1"/>
    </row>
    <row r="14" spans="1:22" ht="75.599999999999994" customHeight="1" x14ac:dyDescent="0.4">
      <c r="A14" s="5">
        <v>10</v>
      </c>
      <c r="B14" s="6" t="s">
        <v>48</v>
      </c>
      <c r="C14" s="7" t="s">
        <v>21</v>
      </c>
      <c r="D14" s="18">
        <v>8803463006068</v>
      </c>
      <c r="E14" s="13" t="s">
        <v>66</v>
      </c>
      <c r="F14" s="19"/>
      <c r="G14" s="20" t="s">
        <v>324</v>
      </c>
      <c r="H14" s="20" t="s">
        <v>325</v>
      </c>
      <c r="I14" s="10">
        <v>5000</v>
      </c>
      <c r="J14" s="21" t="s">
        <v>317</v>
      </c>
      <c r="K14" s="11">
        <v>200</v>
      </c>
      <c r="L14" s="11">
        <v>20</v>
      </c>
      <c r="M14" s="11">
        <v>44.5</v>
      </c>
      <c r="N14" s="11">
        <v>34.200000000000003</v>
      </c>
      <c r="O14" s="11">
        <v>22.5</v>
      </c>
      <c r="P14" s="19"/>
      <c r="Q14" s="12">
        <v>2200</v>
      </c>
      <c r="R14" s="29"/>
      <c r="S14" s="29">
        <f t="shared" si="0"/>
        <v>0</v>
      </c>
      <c r="T14" s="29">
        <f t="shared" si="1"/>
        <v>0</v>
      </c>
      <c r="U14" s="1"/>
      <c r="V14" s="1"/>
    </row>
    <row r="15" spans="1:22" ht="75.599999999999994" customHeight="1" x14ac:dyDescent="0.4">
      <c r="A15" s="5">
        <v>11</v>
      </c>
      <c r="B15" s="6" t="s">
        <v>48</v>
      </c>
      <c r="C15" s="7" t="s">
        <v>21</v>
      </c>
      <c r="D15" s="18">
        <v>8803463008574</v>
      </c>
      <c r="E15" s="13" t="s">
        <v>165</v>
      </c>
      <c r="F15" s="19"/>
      <c r="G15" s="20" t="s">
        <v>167</v>
      </c>
      <c r="H15" s="20" t="s">
        <v>326</v>
      </c>
      <c r="I15" s="10">
        <v>15000</v>
      </c>
      <c r="J15" s="21" t="s">
        <v>327</v>
      </c>
      <c r="K15" s="7">
        <v>42</v>
      </c>
      <c r="L15" s="7">
        <v>0</v>
      </c>
      <c r="M15" s="23">
        <v>49</v>
      </c>
      <c r="N15" s="23">
        <v>18</v>
      </c>
      <c r="O15" s="23">
        <v>42</v>
      </c>
      <c r="P15" s="19"/>
      <c r="Q15" s="12">
        <v>6630</v>
      </c>
      <c r="R15" s="29"/>
      <c r="S15" s="29">
        <f t="shared" si="0"/>
        <v>0</v>
      </c>
      <c r="T15" s="29">
        <f t="shared" si="1"/>
        <v>0</v>
      </c>
      <c r="U15" s="1"/>
      <c r="V15" s="1"/>
    </row>
    <row r="16" spans="1:22" ht="75.599999999999994" customHeight="1" x14ac:dyDescent="0.4">
      <c r="A16" s="5">
        <v>12</v>
      </c>
      <c r="B16" s="6" t="s">
        <v>48</v>
      </c>
      <c r="C16" s="7" t="s">
        <v>21</v>
      </c>
      <c r="D16" s="18">
        <v>8803463008581</v>
      </c>
      <c r="E16" s="13" t="s">
        <v>166</v>
      </c>
      <c r="F16" s="19"/>
      <c r="G16" s="20" t="s">
        <v>168</v>
      </c>
      <c r="H16" s="20" t="s">
        <v>328</v>
      </c>
      <c r="I16" s="10">
        <v>17500</v>
      </c>
      <c r="J16" s="21" t="s">
        <v>329</v>
      </c>
      <c r="K16" s="7">
        <v>42</v>
      </c>
      <c r="L16" s="7">
        <v>0</v>
      </c>
      <c r="M16" s="23">
        <v>49</v>
      </c>
      <c r="N16" s="23">
        <v>18</v>
      </c>
      <c r="O16" s="23">
        <v>42</v>
      </c>
      <c r="P16" s="19"/>
      <c r="Q16" s="12">
        <v>7730</v>
      </c>
      <c r="R16" s="29"/>
      <c r="S16" s="29">
        <f t="shared" si="0"/>
        <v>0</v>
      </c>
      <c r="T16" s="29">
        <f t="shared" si="1"/>
        <v>0</v>
      </c>
      <c r="U16" s="1"/>
      <c r="V16" s="1"/>
    </row>
    <row r="17" spans="1:22" ht="75.599999999999994" customHeight="1" x14ac:dyDescent="0.4">
      <c r="A17" s="5">
        <v>13</v>
      </c>
      <c r="B17" s="6" t="s">
        <v>48</v>
      </c>
      <c r="C17" s="7" t="s">
        <v>21</v>
      </c>
      <c r="D17" s="18">
        <v>8803463010027</v>
      </c>
      <c r="E17" s="13" t="s">
        <v>330</v>
      </c>
      <c r="F17" s="19"/>
      <c r="G17" s="20" t="s">
        <v>256</v>
      </c>
      <c r="H17" s="20" t="s">
        <v>257</v>
      </c>
      <c r="I17" s="10">
        <v>3500</v>
      </c>
      <c r="J17" s="21" t="s">
        <v>258</v>
      </c>
      <c r="K17" s="7">
        <v>180</v>
      </c>
      <c r="L17" s="7">
        <v>18</v>
      </c>
      <c r="M17" s="23">
        <v>42</v>
      </c>
      <c r="N17" s="23">
        <v>31.8</v>
      </c>
      <c r="O17" s="23">
        <v>21.4</v>
      </c>
      <c r="P17" s="19"/>
      <c r="Q17" s="12">
        <v>1550</v>
      </c>
      <c r="R17" s="29"/>
      <c r="S17" s="29">
        <f t="shared" si="0"/>
        <v>0</v>
      </c>
      <c r="T17" s="29">
        <f t="shared" si="1"/>
        <v>0</v>
      </c>
      <c r="U17" s="1"/>
      <c r="V17" s="1"/>
    </row>
    <row r="18" spans="1:22" ht="75.599999999999994" customHeight="1" x14ac:dyDescent="0.4">
      <c r="A18" s="5">
        <v>14</v>
      </c>
      <c r="B18" s="6" t="s">
        <v>48</v>
      </c>
      <c r="C18" s="7" t="s">
        <v>21</v>
      </c>
      <c r="D18" s="18">
        <v>8803463010072</v>
      </c>
      <c r="E18" s="13" t="s">
        <v>220</v>
      </c>
      <c r="F18" s="24"/>
      <c r="G18" s="20" t="s">
        <v>259</v>
      </c>
      <c r="H18" s="20" t="s">
        <v>260</v>
      </c>
      <c r="I18" s="10">
        <v>4000</v>
      </c>
      <c r="J18" s="25" t="s">
        <v>258</v>
      </c>
      <c r="K18" s="16">
        <v>180</v>
      </c>
      <c r="L18" s="16">
        <v>18</v>
      </c>
      <c r="M18" s="17">
        <v>42</v>
      </c>
      <c r="N18" s="17">
        <v>31.8</v>
      </c>
      <c r="O18" s="17">
        <v>21.4</v>
      </c>
      <c r="P18" s="15"/>
      <c r="Q18" s="12">
        <v>1770</v>
      </c>
      <c r="R18" s="29"/>
      <c r="S18" s="29">
        <f t="shared" si="0"/>
        <v>0</v>
      </c>
      <c r="T18" s="29">
        <f t="shared" si="1"/>
        <v>0</v>
      </c>
      <c r="U18" s="1"/>
      <c r="V18" s="1"/>
    </row>
    <row r="19" spans="1:22" ht="75.599999999999994" customHeight="1" x14ac:dyDescent="0.4">
      <c r="A19" s="5">
        <v>15</v>
      </c>
      <c r="B19" s="6" t="s">
        <v>48</v>
      </c>
      <c r="C19" s="7" t="s">
        <v>21</v>
      </c>
      <c r="D19" s="18">
        <v>8803463010089</v>
      </c>
      <c r="E19" s="13" t="s">
        <v>221</v>
      </c>
      <c r="F19" s="7"/>
      <c r="G19" s="20" t="s">
        <v>261</v>
      </c>
      <c r="H19" s="20" t="s">
        <v>262</v>
      </c>
      <c r="I19" s="10">
        <v>5000</v>
      </c>
      <c r="J19" s="25" t="s">
        <v>263</v>
      </c>
      <c r="K19" s="16">
        <v>180</v>
      </c>
      <c r="L19" s="16">
        <v>18</v>
      </c>
      <c r="M19" s="17">
        <v>42</v>
      </c>
      <c r="N19" s="17">
        <v>31.8</v>
      </c>
      <c r="O19" s="17">
        <v>21.4</v>
      </c>
      <c r="P19" s="15"/>
      <c r="Q19" s="12">
        <v>2200</v>
      </c>
      <c r="R19" s="29"/>
      <c r="S19" s="29">
        <f t="shared" si="0"/>
        <v>0</v>
      </c>
      <c r="T19" s="29">
        <f t="shared" si="1"/>
        <v>0</v>
      </c>
      <c r="U19" s="1"/>
      <c r="V19" s="1"/>
    </row>
    <row r="20" spans="1:22" ht="75.599999999999994" customHeight="1" x14ac:dyDescent="0.4">
      <c r="A20" s="5">
        <v>16</v>
      </c>
      <c r="B20" s="6" t="s">
        <v>48</v>
      </c>
      <c r="C20" s="7" t="s">
        <v>21</v>
      </c>
      <c r="D20" s="18">
        <v>8803463007607</v>
      </c>
      <c r="E20" s="13" t="s">
        <v>147</v>
      </c>
      <c r="F20" s="7"/>
      <c r="G20" s="20" t="s">
        <v>150</v>
      </c>
      <c r="H20" s="20" t="s">
        <v>331</v>
      </c>
      <c r="I20" s="10">
        <v>3000</v>
      </c>
      <c r="J20" s="25" t="s">
        <v>153</v>
      </c>
      <c r="K20" s="16">
        <v>400</v>
      </c>
      <c r="L20" s="16">
        <v>100</v>
      </c>
      <c r="M20" s="17">
        <v>41</v>
      </c>
      <c r="N20" s="17">
        <v>33</v>
      </c>
      <c r="O20" s="17">
        <v>41</v>
      </c>
      <c r="P20" s="15"/>
      <c r="Q20" s="12">
        <v>1330</v>
      </c>
      <c r="R20" s="29"/>
      <c r="S20" s="29">
        <f t="shared" si="0"/>
        <v>0</v>
      </c>
      <c r="T20" s="29">
        <f t="shared" si="1"/>
        <v>0</v>
      </c>
      <c r="U20" s="1"/>
      <c r="V20" s="1"/>
    </row>
    <row r="21" spans="1:22" s="1" customFormat="1" ht="79.5" customHeight="1" x14ac:dyDescent="0.4">
      <c r="A21" s="5">
        <v>17</v>
      </c>
      <c r="B21" s="6" t="s">
        <v>48</v>
      </c>
      <c r="C21" s="7" t="s">
        <v>21</v>
      </c>
      <c r="D21" s="8">
        <v>8803463007614</v>
      </c>
      <c r="E21" s="7" t="s">
        <v>148</v>
      </c>
      <c r="F21" s="7"/>
      <c r="G21" s="9" t="s">
        <v>151</v>
      </c>
      <c r="H21" s="9" t="s">
        <v>332</v>
      </c>
      <c r="I21" s="10">
        <v>3500</v>
      </c>
      <c r="J21" s="26" t="s">
        <v>153</v>
      </c>
      <c r="K21" s="11">
        <v>400</v>
      </c>
      <c r="L21" s="11">
        <v>100</v>
      </c>
      <c r="M21" s="11">
        <v>41</v>
      </c>
      <c r="N21" s="11">
        <v>33</v>
      </c>
      <c r="O21" s="11">
        <v>41</v>
      </c>
      <c r="P21" s="11"/>
      <c r="Q21" s="12">
        <v>1550</v>
      </c>
      <c r="R21" s="29"/>
      <c r="S21" s="29">
        <f t="shared" si="0"/>
        <v>0</v>
      </c>
      <c r="T21" s="29">
        <f t="shared" si="1"/>
        <v>0</v>
      </c>
    </row>
    <row r="22" spans="1:22" s="1" customFormat="1" ht="79.5" customHeight="1" x14ac:dyDescent="0.4">
      <c r="A22" s="5">
        <v>18</v>
      </c>
      <c r="B22" s="6" t="s">
        <v>48</v>
      </c>
      <c r="C22" s="7" t="s">
        <v>21</v>
      </c>
      <c r="D22" s="8">
        <v>8803463007621</v>
      </c>
      <c r="E22" s="7" t="s">
        <v>149</v>
      </c>
      <c r="F22" s="7"/>
      <c r="G22" s="9" t="s">
        <v>152</v>
      </c>
      <c r="H22" s="9" t="s">
        <v>333</v>
      </c>
      <c r="I22" s="10">
        <v>4500</v>
      </c>
      <c r="J22" s="26" t="s">
        <v>153</v>
      </c>
      <c r="K22" s="11">
        <v>400</v>
      </c>
      <c r="L22" s="11">
        <v>100</v>
      </c>
      <c r="M22" s="11">
        <v>41</v>
      </c>
      <c r="N22" s="11">
        <v>33</v>
      </c>
      <c r="O22" s="11">
        <v>41</v>
      </c>
      <c r="P22" s="11"/>
      <c r="Q22" s="12">
        <v>1990</v>
      </c>
      <c r="R22" s="29"/>
      <c r="S22" s="29">
        <f t="shared" si="0"/>
        <v>0</v>
      </c>
      <c r="T22" s="29">
        <f t="shared" si="1"/>
        <v>0</v>
      </c>
    </row>
    <row r="23" spans="1:22" s="1" customFormat="1" ht="79.5" customHeight="1" x14ac:dyDescent="0.4">
      <c r="A23" s="5">
        <v>19</v>
      </c>
      <c r="B23" s="6" t="s">
        <v>48</v>
      </c>
      <c r="C23" s="7" t="s">
        <v>21</v>
      </c>
      <c r="D23" s="27">
        <v>8803463010188</v>
      </c>
      <c r="E23" s="13" t="s">
        <v>219</v>
      </c>
      <c r="F23" s="7"/>
      <c r="G23" s="9" t="s">
        <v>334</v>
      </c>
      <c r="H23" s="9" t="s">
        <v>335</v>
      </c>
      <c r="I23" s="10">
        <v>15000</v>
      </c>
      <c r="J23" s="26" t="s">
        <v>336</v>
      </c>
      <c r="K23" s="28">
        <v>42</v>
      </c>
      <c r="L23" s="28" t="s">
        <v>306</v>
      </c>
      <c r="M23" s="29">
        <v>40.5</v>
      </c>
      <c r="N23" s="29">
        <v>32.5</v>
      </c>
      <c r="O23" s="29">
        <v>41</v>
      </c>
      <c r="P23" s="11"/>
      <c r="Q23" s="12">
        <v>6630</v>
      </c>
      <c r="R23" s="29"/>
      <c r="S23" s="29">
        <f t="shared" si="0"/>
        <v>0</v>
      </c>
      <c r="T23" s="29">
        <f t="shared" si="1"/>
        <v>0</v>
      </c>
    </row>
    <row r="24" spans="1:22" ht="75.599999999999994" customHeight="1" x14ac:dyDescent="0.4">
      <c r="A24" s="5">
        <v>20</v>
      </c>
      <c r="B24" s="6" t="s">
        <v>48</v>
      </c>
      <c r="C24" s="7" t="s">
        <v>21</v>
      </c>
      <c r="D24" s="8">
        <v>8803463007362</v>
      </c>
      <c r="E24" s="7" t="s">
        <v>162</v>
      </c>
      <c r="F24" s="19"/>
      <c r="G24" s="9" t="s">
        <v>154</v>
      </c>
      <c r="H24" s="9" t="s">
        <v>204</v>
      </c>
      <c r="I24" s="10">
        <v>6000</v>
      </c>
      <c r="J24" s="7" t="s">
        <v>337</v>
      </c>
      <c r="K24" s="11">
        <v>200</v>
      </c>
      <c r="L24" s="11">
        <v>10</v>
      </c>
      <c r="M24" s="11">
        <v>52</v>
      </c>
      <c r="N24" s="11">
        <v>35</v>
      </c>
      <c r="O24" s="11">
        <v>23</v>
      </c>
      <c r="P24" s="11"/>
      <c r="Q24" s="12">
        <v>2540</v>
      </c>
      <c r="R24" s="29"/>
      <c r="S24" s="29">
        <f t="shared" si="0"/>
        <v>0</v>
      </c>
      <c r="T24" s="29">
        <f t="shared" si="1"/>
        <v>0</v>
      </c>
      <c r="U24" s="1"/>
      <c r="V24" s="1"/>
    </row>
    <row r="25" spans="1:22" ht="75.599999999999994" customHeight="1" x14ac:dyDescent="0.4">
      <c r="A25" s="5">
        <v>21</v>
      </c>
      <c r="B25" s="6" t="s">
        <v>48</v>
      </c>
      <c r="C25" s="7" t="s">
        <v>21</v>
      </c>
      <c r="D25" s="8">
        <v>8803463007416</v>
      </c>
      <c r="E25" s="7" t="s">
        <v>163</v>
      </c>
      <c r="F25" s="19"/>
      <c r="G25" s="9" t="s">
        <v>155</v>
      </c>
      <c r="H25" s="9" t="s">
        <v>257</v>
      </c>
      <c r="I25" s="10">
        <v>6000</v>
      </c>
      <c r="J25" s="7" t="s">
        <v>337</v>
      </c>
      <c r="K25" s="11">
        <v>200</v>
      </c>
      <c r="L25" s="11">
        <v>10</v>
      </c>
      <c r="M25" s="11">
        <v>52</v>
      </c>
      <c r="N25" s="11">
        <v>35</v>
      </c>
      <c r="O25" s="11">
        <v>23</v>
      </c>
      <c r="P25" s="11"/>
      <c r="Q25" s="12">
        <v>2540</v>
      </c>
      <c r="R25" s="29"/>
      <c r="S25" s="29">
        <f t="shared" si="0"/>
        <v>0</v>
      </c>
      <c r="T25" s="29">
        <f t="shared" si="1"/>
        <v>0</v>
      </c>
      <c r="U25" s="1"/>
      <c r="V25" s="1"/>
    </row>
    <row r="26" spans="1:22" ht="75.599999999999994" customHeight="1" x14ac:dyDescent="0.4">
      <c r="A26" s="5">
        <v>22</v>
      </c>
      <c r="B26" s="6" t="s">
        <v>48</v>
      </c>
      <c r="C26" s="7" t="s">
        <v>21</v>
      </c>
      <c r="D26" s="8">
        <v>8803463007409</v>
      </c>
      <c r="E26" s="7" t="s">
        <v>164</v>
      </c>
      <c r="F26" s="19"/>
      <c r="G26" s="9" t="s">
        <v>156</v>
      </c>
      <c r="H26" s="9" t="s">
        <v>207</v>
      </c>
      <c r="I26" s="10">
        <v>6000</v>
      </c>
      <c r="J26" s="7" t="s">
        <v>337</v>
      </c>
      <c r="K26" s="11">
        <v>200</v>
      </c>
      <c r="L26" s="11">
        <v>10</v>
      </c>
      <c r="M26" s="11">
        <v>52</v>
      </c>
      <c r="N26" s="11">
        <v>35</v>
      </c>
      <c r="O26" s="11">
        <v>23</v>
      </c>
      <c r="P26" s="11"/>
      <c r="Q26" s="12">
        <v>2540</v>
      </c>
      <c r="R26" s="29"/>
      <c r="S26" s="29">
        <f t="shared" si="0"/>
        <v>0</v>
      </c>
      <c r="T26" s="29">
        <f t="shared" si="1"/>
        <v>0</v>
      </c>
      <c r="U26" s="1"/>
      <c r="V26" s="1"/>
    </row>
    <row r="27" spans="1:22" ht="75.599999999999994" customHeight="1" x14ac:dyDescent="0.4">
      <c r="A27" s="5">
        <v>23</v>
      </c>
      <c r="B27" s="6" t="s">
        <v>48</v>
      </c>
      <c r="C27" s="7" t="s">
        <v>21</v>
      </c>
      <c r="D27" s="8">
        <v>8803463007386</v>
      </c>
      <c r="E27" s="7" t="s">
        <v>159</v>
      </c>
      <c r="F27" s="19"/>
      <c r="G27" s="9" t="s">
        <v>157</v>
      </c>
      <c r="H27" s="9" t="s">
        <v>209</v>
      </c>
      <c r="I27" s="10">
        <v>6000</v>
      </c>
      <c r="J27" s="7" t="s">
        <v>337</v>
      </c>
      <c r="K27" s="11">
        <v>200</v>
      </c>
      <c r="L27" s="11">
        <v>10</v>
      </c>
      <c r="M27" s="11">
        <v>52</v>
      </c>
      <c r="N27" s="11">
        <v>35</v>
      </c>
      <c r="O27" s="11">
        <v>23</v>
      </c>
      <c r="P27" s="11"/>
      <c r="Q27" s="12">
        <v>2540</v>
      </c>
      <c r="R27" s="29"/>
      <c r="S27" s="29">
        <f t="shared" si="0"/>
        <v>0</v>
      </c>
      <c r="T27" s="29">
        <f t="shared" si="1"/>
        <v>0</v>
      </c>
      <c r="U27" s="1"/>
      <c r="V27" s="1"/>
    </row>
    <row r="28" spans="1:22" ht="75.599999999999994" customHeight="1" x14ac:dyDescent="0.4">
      <c r="A28" s="5">
        <v>24</v>
      </c>
      <c r="B28" s="6" t="s">
        <v>48</v>
      </c>
      <c r="C28" s="7" t="s">
        <v>21</v>
      </c>
      <c r="D28" s="8">
        <v>8803463007379</v>
      </c>
      <c r="E28" s="7" t="s">
        <v>160</v>
      </c>
      <c r="F28" s="19"/>
      <c r="G28" s="9" t="s">
        <v>158</v>
      </c>
      <c r="H28" s="9" t="s">
        <v>211</v>
      </c>
      <c r="I28" s="10">
        <v>6000</v>
      </c>
      <c r="J28" s="7" t="s">
        <v>337</v>
      </c>
      <c r="K28" s="11">
        <v>200</v>
      </c>
      <c r="L28" s="11">
        <v>10</v>
      </c>
      <c r="M28" s="11">
        <v>52</v>
      </c>
      <c r="N28" s="11">
        <v>35</v>
      </c>
      <c r="O28" s="11">
        <v>23</v>
      </c>
      <c r="P28" s="11"/>
      <c r="Q28" s="12">
        <v>2540</v>
      </c>
      <c r="R28" s="29"/>
      <c r="S28" s="29">
        <f t="shared" si="0"/>
        <v>0</v>
      </c>
      <c r="T28" s="29">
        <f t="shared" si="1"/>
        <v>0</v>
      </c>
      <c r="U28" s="1"/>
      <c r="V28" s="1"/>
    </row>
    <row r="29" spans="1:22" ht="75.599999999999994" customHeight="1" x14ac:dyDescent="0.4">
      <c r="A29" s="5">
        <v>25</v>
      </c>
      <c r="B29" s="6" t="s">
        <v>48</v>
      </c>
      <c r="C29" s="7" t="s">
        <v>21</v>
      </c>
      <c r="D29" s="8">
        <v>8803463009847</v>
      </c>
      <c r="E29" s="7" t="s">
        <v>338</v>
      </c>
      <c r="F29" s="7"/>
      <c r="G29" s="9" t="s">
        <v>203</v>
      </c>
      <c r="H29" s="9" t="s">
        <v>204</v>
      </c>
      <c r="I29" s="10">
        <v>24000</v>
      </c>
      <c r="J29" s="26" t="s">
        <v>339</v>
      </c>
      <c r="K29" s="11">
        <v>39</v>
      </c>
      <c r="L29" s="11"/>
      <c r="M29" s="11">
        <v>49</v>
      </c>
      <c r="N29" s="11">
        <v>26.5</v>
      </c>
      <c r="O29" s="11">
        <v>26</v>
      </c>
      <c r="P29" s="11"/>
      <c r="Q29" s="12">
        <v>10140</v>
      </c>
      <c r="R29" s="29"/>
      <c r="S29" s="29">
        <f t="shared" si="0"/>
        <v>0</v>
      </c>
      <c r="T29" s="29">
        <f t="shared" si="1"/>
        <v>0</v>
      </c>
      <c r="U29" s="1"/>
      <c r="V29" s="1"/>
    </row>
    <row r="30" spans="1:22" ht="75.599999999999994" customHeight="1" x14ac:dyDescent="0.4">
      <c r="A30" s="5">
        <v>26</v>
      </c>
      <c r="B30" s="6" t="s">
        <v>48</v>
      </c>
      <c r="C30" s="7" t="s">
        <v>21</v>
      </c>
      <c r="D30" s="8">
        <v>8803463009885</v>
      </c>
      <c r="E30" s="7" t="s">
        <v>212</v>
      </c>
      <c r="F30" s="7"/>
      <c r="G30" s="9" t="s">
        <v>205</v>
      </c>
      <c r="H30" s="9" t="s">
        <v>257</v>
      </c>
      <c r="I30" s="10">
        <v>24000</v>
      </c>
      <c r="J30" s="26" t="s">
        <v>339</v>
      </c>
      <c r="K30" s="11">
        <v>39</v>
      </c>
      <c r="L30" s="11"/>
      <c r="M30" s="11">
        <v>49</v>
      </c>
      <c r="N30" s="11">
        <v>26.5</v>
      </c>
      <c r="O30" s="11">
        <v>26</v>
      </c>
      <c r="P30" s="11"/>
      <c r="Q30" s="12">
        <v>10140</v>
      </c>
      <c r="R30" s="29"/>
      <c r="S30" s="29">
        <f t="shared" si="0"/>
        <v>0</v>
      </c>
      <c r="T30" s="29">
        <f t="shared" si="1"/>
        <v>0</v>
      </c>
      <c r="U30" s="1"/>
      <c r="V30" s="1"/>
    </row>
    <row r="31" spans="1:22" ht="75.599999999999994" customHeight="1" x14ac:dyDescent="0.4">
      <c r="A31" s="5">
        <v>27</v>
      </c>
      <c r="B31" s="6" t="s">
        <v>48</v>
      </c>
      <c r="C31" s="7" t="s">
        <v>21</v>
      </c>
      <c r="D31" s="8">
        <v>8803463009861</v>
      </c>
      <c r="E31" s="7" t="s">
        <v>213</v>
      </c>
      <c r="F31" s="7"/>
      <c r="G31" s="9" t="s">
        <v>206</v>
      </c>
      <c r="H31" s="9" t="s">
        <v>207</v>
      </c>
      <c r="I31" s="10">
        <v>24000</v>
      </c>
      <c r="J31" s="26" t="s">
        <v>339</v>
      </c>
      <c r="K31" s="11">
        <v>39</v>
      </c>
      <c r="L31" s="11"/>
      <c r="M31" s="11">
        <v>49</v>
      </c>
      <c r="N31" s="11">
        <v>26.5</v>
      </c>
      <c r="O31" s="11">
        <v>26</v>
      </c>
      <c r="P31" s="11"/>
      <c r="Q31" s="12">
        <v>10140</v>
      </c>
      <c r="R31" s="29"/>
      <c r="S31" s="29">
        <f t="shared" si="0"/>
        <v>0</v>
      </c>
      <c r="T31" s="29">
        <f t="shared" si="1"/>
        <v>0</v>
      </c>
      <c r="U31" s="1"/>
      <c r="V31" s="1"/>
    </row>
    <row r="32" spans="1:22" ht="75.599999999999994" customHeight="1" x14ac:dyDescent="0.4">
      <c r="A32" s="5">
        <v>28</v>
      </c>
      <c r="B32" s="6" t="s">
        <v>48</v>
      </c>
      <c r="C32" s="7" t="s">
        <v>21</v>
      </c>
      <c r="D32" s="8">
        <v>8803463009878</v>
      </c>
      <c r="E32" s="7" t="s">
        <v>214</v>
      </c>
      <c r="F32" s="7"/>
      <c r="G32" s="9" t="s">
        <v>208</v>
      </c>
      <c r="H32" s="9" t="s">
        <v>209</v>
      </c>
      <c r="I32" s="10">
        <v>24000</v>
      </c>
      <c r="J32" s="26" t="s">
        <v>339</v>
      </c>
      <c r="K32" s="11">
        <v>39</v>
      </c>
      <c r="L32" s="11"/>
      <c r="M32" s="11">
        <v>49</v>
      </c>
      <c r="N32" s="11">
        <v>26.5</v>
      </c>
      <c r="O32" s="11">
        <v>26</v>
      </c>
      <c r="P32" s="11"/>
      <c r="Q32" s="12">
        <v>10140</v>
      </c>
      <c r="R32" s="29"/>
      <c r="S32" s="29">
        <f t="shared" si="0"/>
        <v>0</v>
      </c>
      <c r="T32" s="29">
        <f t="shared" si="1"/>
        <v>0</v>
      </c>
      <c r="U32" s="1"/>
      <c r="V32" s="1"/>
    </row>
    <row r="33" spans="1:22" ht="75.599999999999994" customHeight="1" x14ac:dyDescent="0.4">
      <c r="A33" s="5">
        <v>29</v>
      </c>
      <c r="B33" s="6" t="s">
        <v>48</v>
      </c>
      <c r="C33" s="7" t="s">
        <v>21</v>
      </c>
      <c r="D33" s="8">
        <v>8803463009854</v>
      </c>
      <c r="E33" s="7" t="s">
        <v>215</v>
      </c>
      <c r="F33" s="7"/>
      <c r="G33" s="9" t="s">
        <v>210</v>
      </c>
      <c r="H33" s="9" t="s">
        <v>211</v>
      </c>
      <c r="I33" s="10">
        <v>24000</v>
      </c>
      <c r="J33" s="26" t="s">
        <v>339</v>
      </c>
      <c r="K33" s="11">
        <v>39</v>
      </c>
      <c r="L33" s="11"/>
      <c r="M33" s="11">
        <v>49</v>
      </c>
      <c r="N33" s="11">
        <v>26.5</v>
      </c>
      <c r="O33" s="11">
        <v>26</v>
      </c>
      <c r="P33" s="11"/>
      <c r="Q33" s="12">
        <v>10140</v>
      </c>
      <c r="R33" s="29"/>
      <c r="S33" s="29">
        <f t="shared" si="0"/>
        <v>0</v>
      </c>
      <c r="T33" s="29">
        <f t="shared" si="1"/>
        <v>0</v>
      </c>
      <c r="U33" s="1"/>
      <c r="V33" s="1"/>
    </row>
    <row r="34" spans="1:22" ht="75.599999999999994" customHeight="1" x14ac:dyDescent="0.4">
      <c r="A34" s="5">
        <v>30</v>
      </c>
      <c r="B34" s="6" t="s">
        <v>48</v>
      </c>
      <c r="C34" s="7" t="s">
        <v>21</v>
      </c>
      <c r="D34" s="18">
        <v>8803463007294</v>
      </c>
      <c r="E34" s="13" t="s">
        <v>126</v>
      </c>
      <c r="F34" s="22"/>
      <c r="G34" s="20" t="s">
        <v>340</v>
      </c>
      <c r="H34" s="20" t="s">
        <v>341</v>
      </c>
      <c r="I34" s="10">
        <v>12000</v>
      </c>
      <c r="J34" s="21" t="s">
        <v>342</v>
      </c>
      <c r="K34" s="30">
        <v>84</v>
      </c>
      <c r="L34" s="30">
        <v>21</v>
      </c>
      <c r="M34" s="30">
        <v>42</v>
      </c>
      <c r="N34" s="30">
        <v>32</v>
      </c>
      <c r="O34" s="30">
        <v>16</v>
      </c>
      <c r="P34" s="19"/>
      <c r="Q34" s="12">
        <v>5070</v>
      </c>
      <c r="R34" s="29"/>
      <c r="S34" s="29">
        <f t="shared" si="0"/>
        <v>0</v>
      </c>
      <c r="T34" s="29">
        <f t="shared" si="1"/>
        <v>0</v>
      </c>
      <c r="U34" s="1"/>
      <c r="V34" s="1"/>
    </row>
    <row r="35" spans="1:22" ht="75.599999999999994" customHeight="1" x14ac:dyDescent="0.4">
      <c r="A35" s="5">
        <v>31</v>
      </c>
      <c r="B35" s="6" t="s">
        <v>48</v>
      </c>
      <c r="C35" s="7" t="s">
        <v>21</v>
      </c>
      <c r="D35" s="18">
        <v>8803463007300</v>
      </c>
      <c r="E35" s="13" t="s">
        <v>127</v>
      </c>
      <c r="F35" s="22"/>
      <c r="G35" s="20" t="s">
        <v>343</v>
      </c>
      <c r="H35" s="20" t="s">
        <v>344</v>
      </c>
      <c r="I35" s="10">
        <v>13000</v>
      </c>
      <c r="J35" s="21" t="s">
        <v>342</v>
      </c>
      <c r="K35" s="30">
        <v>84</v>
      </c>
      <c r="L35" s="30">
        <v>21</v>
      </c>
      <c r="M35" s="30">
        <v>42</v>
      </c>
      <c r="N35" s="30">
        <v>32</v>
      </c>
      <c r="O35" s="30">
        <v>16</v>
      </c>
      <c r="P35" s="19"/>
      <c r="Q35" s="12">
        <v>5500</v>
      </c>
      <c r="R35" s="29"/>
      <c r="S35" s="29">
        <f t="shared" si="0"/>
        <v>0</v>
      </c>
      <c r="T35" s="29">
        <f t="shared" si="1"/>
        <v>0</v>
      </c>
      <c r="U35" s="1"/>
      <c r="V35" s="1"/>
    </row>
    <row r="36" spans="1:22" ht="75.599999999999994" customHeight="1" x14ac:dyDescent="0.4">
      <c r="A36" s="5">
        <v>32</v>
      </c>
      <c r="B36" s="6" t="s">
        <v>48</v>
      </c>
      <c r="C36" s="7" t="s">
        <v>21</v>
      </c>
      <c r="D36" s="18">
        <v>8803463007249</v>
      </c>
      <c r="E36" s="13" t="s">
        <v>130</v>
      </c>
      <c r="F36" s="22"/>
      <c r="G36" s="20" t="s">
        <v>345</v>
      </c>
      <c r="H36" s="20" t="s">
        <v>346</v>
      </c>
      <c r="I36" s="10">
        <v>14000</v>
      </c>
      <c r="J36" s="21" t="s">
        <v>342</v>
      </c>
      <c r="K36" s="30">
        <v>84</v>
      </c>
      <c r="L36" s="30">
        <v>21</v>
      </c>
      <c r="M36" s="30">
        <v>42</v>
      </c>
      <c r="N36" s="30">
        <v>32</v>
      </c>
      <c r="O36" s="30">
        <v>16</v>
      </c>
      <c r="P36" s="19"/>
      <c r="Q36" s="12">
        <v>5920</v>
      </c>
      <c r="R36" s="29"/>
      <c r="S36" s="29">
        <f t="shared" si="0"/>
        <v>0</v>
      </c>
      <c r="T36" s="29">
        <f t="shared" si="1"/>
        <v>0</v>
      </c>
      <c r="U36" s="1"/>
      <c r="V36" s="1"/>
    </row>
    <row r="37" spans="1:22" ht="75.599999999999994" customHeight="1" x14ac:dyDescent="0.4">
      <c r="A37" s="5">
        <v>33</v>
      </c>
      <c r="B37" s="6" t="s">
        <v>48</v>
      </c>
      <c r="C37" s="7" t="s">
        <v>21</v>
      </c>
      <c r="D37" s="8">
        <v>8803463007256</v>
      </c>
      <c r="E37" s="13" t="s">
        <v>131</v>
      </c>
      <c r="F37" s="22"/>
      <c r="G37" s="20" t="s">
        <v>347</v>
      </c>
      <c r="H37" s="20" t="s">
        <v>348</v>
      </c>
      <c r="I37" s="10">
        <v>14000</v>
      </c>
      <c r="J37" s="21" t="s">
        <v>342</v>
      </c>
      <c r="K37" s="31">
        <v>84</v>
      </c>
      <c r="L37" s="31">
        <v>21</v>
      </c>
      <c r="M37" s="30">
        <v>42</v>
      </c>
      <c r="N37" s="30">
        <v>32</v>
      </c>
      <c r="O37" s="30">
        <v>16</v>
      </c>
      <c r="P37" s="19"/>
      <c r="Q37" s="12">
        <v>5920</v>
      </c>
      <c r="R37" s="29"/>
      <c r="S37" s="29">
        <f t="shared" ref="S37:S68" si="2">R37*K37</f>
        <v>0</v>
      </c>
      <c r="T37" s="29">
        <f t="shared" si="1"/>
        <v>0</v>
      </c>
      <c r="U37" s="1"/>
      <c r="V37" s="1"/>
    </row>
    <row r="38" spans="1:22" ht="75.599999999999994" customHeight="1" x14ac:dyDescent="0.4">
      <c r="A38" s="5">
        <v>34</v>
      </c>
      <c r="B38" s="6" t="s">
        <v>48</v>
      </c>
      <c r="C38" s="7" t="s">
        <v>21</v>
      </c>
      <c r="D38" s="18">
        <v>8803463007317</v>
      </c>
      <c r="E38" s="13" t="s">
        <v>128</v>
      </c>
      <c r="F38" s="22"/>
      <c r="G38" s="20" t="s">
        <v>349</v>
      </c>
      <c r="H38" s="20" t="s">
        <v>350</v>
      </c>
      <c r="I38" s="10">
        <v>14000</v>
      </c>
      <c r="J38" s="21" t="s">
        <v>342</v>
      </c>
      <c r="K38" s="31">
        <v>84</v>
      </c>
      <c r="L38" s="31">
        <v>21</v>
      </c>
      <c r="M38" s="30">
        <v>42</v>
      </c>
      <c r="N38" s="30">
        <v>32</v>
      </c>
      <c r="O38" s="30">
        <v>16</v>
      </c>
      <c r="P38" s="19"/>
      <c r="Q38" s="12">
        <v>5920</v>
      </c>
      <c r="R38" s="29"/>
      <c r="S38" s="29">
        <f t="shared" si="2"/>
        <v>0</v>
      </c>
      <c r="T38" s="29">
        <f t="shared" si="1"/>
        <v>0</v>
      </c>
      <c r="U38" s="1"/>
      <c r="V38" s="1"/>
    </row>
    <row r="39" spans="1:22" ht="75.599999999999994" customHeight="1" x14ac:dyDescent="0.4">
      <c r="A39" s="5">
        <v>35</v>
      </c>
      <c r="B39" s="6" t="s">
        <v>48</v>
      </c>
      <c r="C39" s="7" t="s">
        <v>21</v>
      </c>
      <c r="D39" s="18">
        <v>8803463007324</v>
      </c>
      <c r="E39" s="13" t="s">
        <v>129</v>
      </c>
      <c r="F39" s="22"/>
      <c r="G39" s="20" t="s">
        <v>351</v>
      </c>
      <c r="H39" s="20" t="s">
        <v>352</v>
      </c>
      <c r="I39" s="10">
        <v>14000</v>
      </c>
      <c r="J39" s="21" t="s">
        <v>342</v>
      </c>
      <c r="K39" s="31">
        <v>84</v>
      </c>
      <c r="L39" s="31">
        <v>21</v>
      </c>
      <c r="M39" s="30">
        <v>42</v>
      </c>
      <c r="N39" s="30">
        <v>32</v>
      </c>
      <c r="O39" s="30">
        <v>16</v>
      </c>
      <c r="P39" s="19"/>
      <c r="Q39" s="12">
        <v>5920</v>
      </c>
      <c r="R39" s="29"/>
      <c r="S39" s="29">
        <f t="shared" si="2"/>
        <v>0</v>
      </c>
      <c r="T39" s="29">
        <f t="shared" si="1"/>
        <v>0</v>
      </c>
      <c r="U39" s="1"/>
      <c r="V39" s="1"/>
    </row>
    <row r="40" spans="1:22" ht="75.599999999999994" customHeight="1" x14ac:dyDescent="0.4">
      <c r="A40" s="5">
        <v>36</v>
      </c>
      <c r="B40" s="6" t="s">
        <v>48</v>
      </c>
      <c r="C40" s="7" t="s">
        <v>21</v>
      </c>
      <c r="D40" s="18">
        <v>8803463006150</v>
      </c>
      <c r="E40" s="13" t="s">
        <v>84</v>
      </c>
      <c r="F40" s="22"/>
      <c r="G40" s="20" t="s">
        <v>85</v>
      </c>
      <c r="H40" s="20" t="s">
        <v>353</v>
      </c>
      <c r="I40" s="10">
        <v>4000</v>
      </c>
      <c r="J40" s="21" t="s">
        <v>354</v>
      </c>
      <c r="K40" s="31">
        <v>180</v>
      </c>
      <c r="L40" s="31">
        <v>0</v>
      </c>
      <c r="M40" s="30">
        <v>58.5</v>
      </c>
      <c r="N40" s="30">
        <v>49</v>
      </c>
      <c r="O40" s="30">
        <v>34</v>
      </c>
      <c r="P40" s="19"/>
      <c r="Q40" s="12">
        <v>1770</v>
      </c>
      <c r="R40" s="29"/>
      <c r="S40" s="29">
        <f t="shared" si="2"/>
        <v>0</v>
      </c>
      <c r="T40" s="29">
        <f t="shared" si="1"/>
        <v>0</v>
      </c>
      <c r="U40" s="1"/>
      <c r="V40" s="1"/>
    </row>
    <row r="41" spans="1:22" ht="75.599999999999994" customHeight="1" x14ac:dyDescent="0.4">
      <c r="A41" s="5">
        <v>37</v>
      </c>
      <c r="B41" s="6" t="s">
        <v>48</v>
      </c>
      <c r="C41" s="7" t="s">
        <v>21</v>
      </c>
      <c r="D41" s="18">
        <v>8803463006143</v>
      </c>
      <c r="E41" s="13" t="s">
        <v>355</v>
      </c>
      <c r="F41" s="22"/>
      <c r="G41" s="20" t="s">
        <v>83</v>
      </c>
      <c r="H41" s="20" t="s">
        <v>356</v>
      </c>
      <c r="I41" s="10">
        <v>4000</v>
      </c>
      <c r="J41" s="21" t="s">
        <v>354</v>
      </c>
      <c r="K41" s="31">
        <v>180</v>
      </c>
      <c r="L41" s="31">
        <v>0</v>
      </c>
      <c r="M41" s="30">
        <v>58.5</v>
      </c>
      <c r="N41" s="30">
        <v>49</v>
      </c>
      <c r="O41" s="30">
        <v>34</v>
      </c>
      <c r="P41" s="19"/>
      <c r="Q41" s="12">
        <v>1770</v>
      </c>
      <c r="R41" s="29"/>
      <c r="S41" s="29">
        <f t="shared" si="2"/>
        <v>0</v>
      </c>
      <c r="T41" s="29">
        <f t="shared" si="1"/>
        <v>0</v>
      </c>
      <c r="U41" s="1"/>
      <c r="V41" s="1"/>
    </row>
    <row r="42" spans="1:22" ht="75.599999999999994" customHeight="1" x14ac:dyDescent="0.4">
      <c r="A42" s="5">
        <v>38</v>
      </c>
      <c r="B42" s="6" t="s">
        <v>48</v>
      </c>
      <c r="C42" s="7" t="s">
        <v>21</v>
      </c>
      <c r="D42" s="18">
        <v>8803463006167</v>
      </c>
      <c r="E42" s="13" t="s">
        <v>86</v>
      </c>
      <c r="F42" s="22"/>
      <c r="G42" s="20" t="s">
        <v>87</v>
      </c>
      <c r="H42" s="20" t="s">
        <v>357</v>
      </c>
      <c r="I42" s="10">
        <v>4000</v>
      </c>
      <c r="J42" s="32" t="s">
        <v>354</v>
      </c>
      <c r="K42" s="31">
        <v>180</v>
      </c>
      <c r="L42" s="11">
        <v>0</v>
      </c>
      <c r="M42" s="31">
        <v>58.5</v>
      </c>
      <c r="N42" s="31">
        <v>49</v>
      </c>
      <c r="O42" s="31">
        <v>34</v>
      </c>
      <c r="P42" s="19"/>
      <c r="Q42" s="12">
        <v>1770</v>
      </c>
      <c r="R42" s="29"/>
      <c r="S42" s="29">
        <f t="shared" si="2"/>
        <v>0</v>
      </c>
      <c r="T42" s="29">
        <f t="shared" si="1"/>
        <v>0</v>
      </c>
      <c r="U42" s="1"/>
      <c r="V42" s="1"/>
    </row>
    <row r="43" spans="1:22" ht="75.599999999999994" customHeight="1" x14ac:dyDescent="0.4">
      <c r="A43" s="5">
        <v>39</v>
      </c>
      <c r="B43" s="6" t="s">
        <v>48</v>
      </c>
      <c r="C43" s="7" t="s">
        <v>21</v>
      </c>
      <c r="D43" s="18">
        <v>8803463006174</v>
      </c>
      <c r="E43" s="13" t="s">
        <v>88</v>
      </c>
      <c r="F43" s="22"/>
      <c r="G43" s="20" t="s">
        <v>89</v>
      </c>
      <c r="H43" s="20" t="s">
        <v>358</v>
      </c>
      <c r="I43" s="10">
        <v>4000</v>
      </c>
      <c r="J43" s="32" t="s">
        <v>354</v>
      </c>
      <c r="K43" s="31">
        <v>180</v>
      </c>
      <c r="L43" s="11">
        <v>0</v>
      </c>
      <c r="M43" s="31">
        <v>58.5</v>
      </c>
      <c r="N43" s="31">
        <v>49</v>
      </c>
      <c r="O43" s="31">
        <v>34</v>
      </c>
      <c r="P43" s="19"/>
      <c r="Q43" s="12">
        <v>1770</v>
      </c>
      <c r="R43" s="29"/>
      <c r="S43" s="29">
        <f t="shared" si="2"/>
        <v>0</v>
      </c>
      <c r="T43" s="29">
        <f t="shared" si="1"/>
        <v>0</v>
      </c>
      <c r="U43" s="1"/>
      <c r="V43" s="1"/>
    </row>
    <row r="44" spans="1:22" ht="75.599999999999994" customHeight="1" x14ac:dyDescent="0.4">
      <c r="A44" s="5">
        <v>40</v>
      </c>
      <c r="B44" s="6" t="s">
        <v>48</v>
      </c>
      <c r="C44" s="7" t="s">
        <v>21</v>
      </c>
      <c r="D44" s="8">
        <v>8803463007546</v>
      </c>
      <c r="E44" s="7" t="s">
        <v>359</v>
      </c>
      <c r="F44" s="7"/>
      <c r="G44" s="9" t="s">
        <v>360</v>
      </c>
      <c r="H44" s="9" t="s">
        <v>361</v>
      </c>
      <c r="I44" s="10">
        <v>32000</v>
      </c>
      <c r="J44" s="26" t="s">
        <v>27</v>
      </c>
      <c r="K44" s="11">
        <v>48</v>
      </c>
      <c r="L44" s="11">
        <v>12</v>
      </c>
      <c r="M44" s="11">
        <v>31.2</v>
      </c>
      <c r="N44" s="11">
        <v>24.4</v>
      </c>
      <c r="O44" s="11">
        <v>18</v>
      </c>
      <c r="P44" s="11"/>
      <c r="Q44" s="12">
        <v>14140</v>
      </c>
      <c r="R44" s="29"/>
      <c r="S44" s="29">
        <f t="shared" si="2"/>
        <v>0</v>
      </c>
      <c r="T44" s="29">
        <f t="shared" si="1"/>
        <v>0</v>
      </c>
      <c r="U44" s="1"/>
      <c r="V44" s="1"/>
    </row>
    <row r="45" spans="1:22" ht="75.599999999999994" customHeight="1" x14ac:dyDescent="0.4">
      <c r="A45" s="5">
        <v>41</v>
      </c>
      <c r="B45" s="6" t="s">
        <v>48</v>
      </c>
      <c r="C45" s="7" t="s">
        <v>21</v>
      </c>
      <c r="D45" s="8">
        <v>8803463007553</v>
      </c>
      <c r="E45" s="7" t="s">
        <v>144</v>
      </c>
      <c r="F45" s="7"/>
      <c r="G45" s="9" t="s">
        <v>362</v>
      </c>
      <c r="H45" s="9" t="s">
        <v>363</v>
      </c>
      <c r="I45" s="10">
        <v>43000</v>
      </c>
      <c r="J45" s="26" t="s">
        <v>27</v>
      </c>
      <c r="K45" s="11">
        <v>48</v>
      </c>
      <c r="L45" s="11">
        <v>12</v>
      </c>
      <c r="M45" s="11">
        <v>31</v>
      </c>
      <c r="N45" s="11">
        <v>24.4</v>
      </c>
      <c r="O45" s="11">
        <v>18</v>
      </c>
      <c r="P45" s="11"/>
      <c r="Q45" s="12">
        <v>18180</v>
      </c>
      <c r="R45" s="29"/>
      <c r="S45" s="29">
        <f t="shared" si="2"/>
        <v>0</v>
      </c>
      <c r="T45" s="29">
        <f t="shared" si="1"/>
        <v>0</v>
      </c>
      <c r="U45" s="1"/>
      <c r="V45" s="1"/>
    </row>
    <row r="46" spans="1:22" ht="75.599999999999994" customHeight="1" x14ac:dyDescent="0.4">
      <c r="A46" s="5">
        <v>42</v>
      </c>
      <c r="B46" s="6" t="s">
        <v>48</v>
      </c>
      <c r="C46" s="7" t="s">
        <v>21</v>
      </c>
      <c r="D46" s="8">
        <v>8803463007560</v>
      </c>
      <c r="E46" s="7" t="s">
        <v>145</v>
      </c>
      <c r="F46" s="7"/>
      <c r="G46" s="9" t="s">
        <v>364</v>
      </c>
      <c r="H46" s="9" t="s">
        <v>365</v>
      </c>
      <c r="I46" s="10">
        <v>53000</v>
      </c>
      <c r="J46" s="26" t="s">
        <v>56</v>
      </c>
      <c r="K46" s="11">
        <v>48</v>
      </c>
      <c r="L46" s="11">
        <v>12</v>
      </c>
      <c r="M46" s="11">
        <v>30</v>
      </c>
      <c r="N46" s="11">
        <v>23</v>
      </c>
      <c r="O46" s="11">
        <v>15</v>
      </c>
      <c r="P46" s="11"/>
      <c r="Q46" s="12">
        <v>21380</v>
      </c>
      <c r="R46" s="29"/>
      <c r="S46" s="29">
        <f t="shared" si="2"/>
        <v>0</v>
      </c>
      <c r="T46" s="29">
        <f t="shared" si="1"/>
        <v>0</v>
      </c>
      <c r="U46" s="1"/>
      <c r="V46" s="1"/>
    </row>
    <row r="47" spans="1:22" ht="75.599999999999994" customHeight="1" x14ac:dyDescent="0.4">
      <c r="A47" s="5">
        <v>43</v>
      </c>
      <c r="B47" s="6" t="s">
        <v>48</v>
      </c>
      <c r="C47" s="7" t="s">
        <v>21</v>
      </c>
      <c r="D47" s="8">
        <v>8803463006396</v>
      </c>
      <c r="E47" s="7" t="s">
        <v>68</v>
      </c>
      <c r="F47" s="7"/>
      <c r="G47" s="9" t="s">
        <v>69</v>
      </c>
      <c r="H47" s="9" t="s">
        <v>366</v>
      </c>
      <c r="I47" s="10">
        <v>48000</v>
      </c>
      <c r="J47" s="26" t="s">
        <v>27</v>
      </c>
      <c r="K47" s="11">
        <v>48</v>
      </c>
      <c r="L47" s="11">
        <v>12</v>
      </c>
      <c r="M47" s="11">
        <v>31</v>
      </c>
      <c r="N47" s="11">
        <v>23</v>
      </c>
      <c r="O47" s="11">
        <v>18</v>
      </c>
      <c r="P47" s="11"/>
      <c r="Q47" s="12">
        <v>21210</v>
      </c>
      <c r="R47" s="29"/>
      <c r="S47" s="29">
        <f t="shared" si="2"/>
        <v>0</v>
      </c>
      <c r="T47" s="29">
        <f t="shared" si="1"/>
        <v>0</v>
      </c>
      <c r="U47" s="1"/>
      <c r="V47" s="1"/>
    </row>
    <row r="48" spans="1:22" s="1" customFormat="1" ht="79.5" customHeight="1" x14ac:dyDescent="0.4">
      <c r="A48" s="5">
        <v>44</v>
      </c>
      <c r="B48" s="6" t="s">
        <v>48</v>
      </c>
      <c r="C48" s="7" t="s">
        <v>21</v>
      </c>
      <c r="D48" s="8">
        <v>8803463007096</v>
      </c>
      <c r="E48" s="7" t="s">
        <v>180</v>
      </c>
      <c r="F48" s="14"/>
      <c r="G48" s="9" t="s">
        <v>367</v>
      </c>
      <c r="H48" s="9" t="s">
        <v>368</v>
      </c>
      <c r="I48" s="10">
        <v>58000</v>
      </c>
      <c r="J48" s="7" t="s">
        <v>27</v>
      </c>
      <c r="K48" s="29">
        <v>48</v>
      </c>
      <c r="L48" s="29">
        <v>12</v>
      </c>
      <c r="M48" s="17">
        <v>31.2</v>
      </c>
      <c r="N48" s="17">
        <v>24.4</v>
      </c>
      <c r="O48" s="17">
        <v>18</v>
      </c>
      <c r="P48" s="15"/>
      <c r="Q48" s="12">
        <v>24520</v>
      </c>
      <c r="R48" s="29"/>
      <c r="S48" s="29">
        <f t="shared" si="2"/>
        <v>0</v>
      </c>
      <c r="T48" s="29">
        <f t="shared" si="1"/>
        <v>0</v>
      </c>
    </row>
    <row r="49" spans="1:20" s="1" customFormat="1" ht="79.5" customHeight="1" x14ac:dyDescent="0.4">
      <c r="A49" s="5">
        <v>45</v>
      </c>
      <c r="B49" s="6" t="s">
        <v>48</v>
      </c>
      <c r="C49" s="7" t="s">
        <v>21</v>
      </c>
      <c r="D49" s="8">
        <v>8803463007102</v>
      </c>
      <c r="E49" s="7" t="s">
        <v>181</v>
      </c>
      <c r="F49" s="14"/>
      <c r="G49" s="9" t="s">
        <v>369</v>
      </c>
      <c r="H49" s="9" t="s">
        <v>370</v>
      </c>
      <c r="I49" s="10">
        <v>68000</v>
      </c>
      <c r="J49" s="7" t="s">
        <v>56</v>
      </c>
      <c r="K49" s="29">
        <v>48</v>
      </c>
      <c r="L49" s="29">
        <v>12</v>
      </c>
      <c r="M49" s="17">
        <v>29.6</v>
      </c>
      <c r="N49" s="17">
        <v>23.2</v>
      </c>
      <c r="O49" s="17">
        <v>14.7</v>
      </c>
      <c r="P49" s="15"/>
      <c r="Q49" s="12">
        <v>27450</v>
      </c>
      <c r="R49" s="29"/>
      <c r="S49" s="29">
        <f t="shared" si="2"/>
        <v>0</v>
      </c>
      <c r="T49" s="29">
        <f t="shared" si="1"/>
        <v>0</v>
      </c>
    </row>
    <row r="50" spans="1:20" s="1" customFormat="1" ht="79.5" customHeight="1" x14ac:dyDescent="0.4">
      <c r="A50" s="5">
        <v>46</v>
      </c>
      <c r="B50" s="6" t="s">
        <v>48</v>
      </c>
      <c r="C50" s="7" t="s">
        <v>21</v>
      </c>
      <c r="D50" s="8">
        <v>8803463006402</v>
      </c>
      <c r="E50" s="7" t="s">
        <v>371</v>
      </c>
      <c r="F50" s="14"/>
      <c r="G50" s="9" t="s">
        <v>67</v>
      </c>
      <c r="H50" s="9" t="s">
        <v>372</v>
      </c>
      <c r="I50" s="10">
        <v>48000</v>
      </c>
      <c r="J50" s="7" t="s">
        <v>27</v>
      </c>
      <c r="K50" s="29">
        <v>48</v>
      </c>
      <c r="L50" s="29">
        <v>12</v>
      </c>
      <c r="M50" s="17">
        <v>31</v>
      </c>
      <c r="N50" s="17">
        <v>23</v>
      </c>
      <c r="O50" s="17">
        <v>18</v>
      </c>
      <c r="P50" s="15"/>
      <c r="Q50" s="12">
        <v>21210</v>
      </c>
      <c r="R50" s="29"/>
      <c r="S50" s="29">
        <f t="shared" si="2"/>
        <v>0</v>
      </c>
      <c r="T50" s="29">
        <f t="shared" si="1"/>
        <v>0</v>
      </c>
    </row>
    <row r="51" spans="1:20" s="1" customFormat="1" ht="79.5" customHeight="1" x14ac:dyDescent="0.4">
      <c r="A51" s="5">
        <v>47</v>
      </c>
      <c r="B51" s="6" t="s">
        <v>48</v>
      </c>
      <c r="C51" s="7" t="s">
        <v>21</v>
      </c>
      <c r="D51" s="8">
        <v>8803463007119</v>
      </c>
      <c r="E51" s="7" t="s">
        <v>184</v>
      </c>
      <c r="F51" s="14"/>
      <c r="G51" s="9" t="s">
        <v>182</v>
      </c>
      <c r="H51" s="9" t="s">
        <v>373</v>
      </c>
      <c r="I51" s="10">
        <v>58000</v>
      </c>
      <c r="J51" s="7" t="s">
        <v>231</v>
      </c>
      <c r="K51" s="29">
        <v>48</v>
      </c>
      <c r="L51" s="29">
        <v>12</v>
      </c>
      <c r="M51" s="17">
        <v>31.2</v>
      </c>
      <c r="N51" s="17">
        <v>24</v>
      </c>
      <c r="O51" s="17">
        <v>18</v>
      </c>
      <c r="P51" s="15"/>
      <c r="Q51" s="12">
        <v>24520</v>
      </c>
      <c r="R51" s="29"/>
      <c r="S51" s="29">
        <f t="shared" si="2"/>
        <v>0</v>
      </c>
      <c r="T51" s="29">
        <f t="shared" si="1"/>
        <v>0</v>
      </c>
    </row>
    <row r="52" spans="1:20" s="1" customFormat="1" ht="79.5" customHeight="1" x14ac:dyDescent="0.4">
      <c r="A52" s="5">
        <v>48</v>
      </c>
      <c r="B52" s="6" t="s">
        <v>48</v>
      </c>
      <c r="C52" s="7" t="s">
        <v>21</v>
      </c>
      <c r="D52" s="8">
        <v>8803463007126</v>
      </c>
      <c r="E52" s="7" t="s">
        <v>185</v>
      </c>
      <c r="F52" s="14"/>
      <c r="G52" s="9" t="s">
        <v>183</v>
      </c>
      <c r="H52" s="9" t="s">
        <v>374</v>
      </c>
      <c r="I52" s="10">
        <v>68000</v>
      </c>
      <c r="J52" s="7" t="s">
        <v>56</v>
      </c>
      <c r="K52" s="29">
        <v>48</v>
      </c>
      <c r="L52" s="29">
        <v>12</v>
      </c>
      <c r="M52" s="17">
        <v>29.6</v>
      </c>
      <c r="N52" s="17">
        <v>23</v>
      </c>
      <c r="O52" s="17">
        <v>15</v>
      </c>
      <c r="P52" s="15"/>
      <c r="Q52" s="12">
        <v>27450</v>
      </c>
      <c r="R52" s="29"/>
      <c r="S52" s="29">
        <f t="shared" si="2"/>
        <v>0</v>
      </c>
      <c r="T52" s="29">
        <f t="shared" si="1"/>
        <v>0</v>
      </c>
    </row>
    <row r="53" spans="1:20" s="1" customFormat="1" ht="79.5" customHeight="1" x14ac:dyDescent="0.4">
      <c r="A53" s="5">
        <v>49</v>
      </c>
      <c r="B53" s="6" t="s">
        <v>48</v>
      </c>
      <c r="C53" s="7" t="s">
        <v>21</v>
      </c>
      <c r="D53" s="8">
        <v>8803463003692</v>
      </c>
      <c r="E53" s="7" t="s">
        <v>75</v>
      </c>
      <c r="F53" s="7"/>
      <c r="G53" s="20" t="s">
        <v>375</v>
      </c>
      <c r="H53" s="20" t="s">
        <v>376</v>
      </c>
      <c r="I53" s="10">
        <v>48000</v>
      </c>
      <c r="J53" s="26" t="s">
        <v>27</v>
      </c>
      <c r="K53" s="11">
        <v>48</v>
      </c>
      <c r="L53" s="11">
        <v>12</v>
      </c>
      <c r="M53" s="11">
        <v>31</v>
      </c>
      <c r="N53" s="11">
        <v>23</v>
      </c>
      <c r="O53" s="11">
        <v>18</v>
      </c>
      <c r="P53" s="11"/>
      <c r="Q53" s="12">
        <v>21210</v>
      </c>
      <c r="R53" s="29"/>
      <c r="S53" s="29">
        <f t="shared" si="2"/>
        <v>0</v>
      </c>
      <c r="T53" s="29">
        <f t="shared" si="1"/>
        <v>0</v>
      </c>
    </row>
    <row r="54" spans="1:20" s="1" customFormat="1" ht="79.5" customHeight="1" x14ac:dyDescent="0.4">
      <c r="A54" s="5">
        <v>50</v>
      </c>
      <c r="B54" s="6" t="s">
        <v>48</v>
      </c>
      <c r="C54" s="7" t="s">
        <v>21</v>
      </c>
      <c r="D54" s="8">
        <v>8803463005733</v>
      </c>
      <c r="E54" s="7" t="s">
        <v>76</v>
      </c>
      <c r="F54" s="7"/>
      <c r="G54" s="9" t="s">
        <v>77</v>
      </c>
      <c r="H54" s="9" t="s">
        <v>377</v>
      </c>
      <c r="I54" s="10">
        <v>58000</v>
      </c>
      <c r="J54" s="26" t="s">
        <v>231</v>
      </c>
      <c r="K54" s="11">
        <v>48</v>
      </c>
      <c r="L54" s="11">
        <v>12</v>
      </c>
      <c r="M54" s="11">
        <v>31.200000000000003</v>
      </c>
      <c r="N54" s="11">
        <v>24.400000000000002</v>
      </c>
      <c r="O54" s="11">
        <v>18</v>
      </c>
      <c r="P54" s="11"/>
      <c r="Q54" s="12">
        <v>24520</v>
      </c>
      <c r="R54" s="29"/>
      <c r="S54" s="29">
        <f t="shared" si="2"/>
        <v>0</v>
      </c>
      <c r="T54" s="29">
        <f t="shared" si="1"/>
        <v>0</v>
      </c>
    </row>
    <row r="55" spans="1:20" s="1" customFormat="1" ht="79.5" customHeight="1" x14ac:dyDescent="0.4">
      <c r="A55" s="5">
        <v>51</v>
      </c>
      <c r="B55" s="6" t="s">
        <v>48</v>
      </c>
      <c r="C55" s="7" t="s">
        <v>21</v>
      </c>
      <c r="D55" s="8">
        <v>8803463005740</v>
      </c>
      <c r="E55" s="7" t="s">
        <v>78</v>
      </c>
      <c r="F55" s="7"/>
      <c r="G55" s="9" t="s">
        <v>79</v>
      </c>
      <c r="H55" s="9" t="s">
        <v>378</v>
      </c>
      <c r="I55" s="10">
        <v>68000</v>
      </c>
      <c r="J55" s="26" t="s">
        <v>56</v>
      </c>
      <c r="K55" s="11">
        <v>48</v>
      </c>
      <c r="L55" s="11">
        <v>12</v>
      </c>
      <c r="M55" s="11">
        <v>30</v>
      </c>
      <c r="N55" s="11">
        <v>23</v>
      </c>
      <c r="O55" s="11">
        <v>15</v>
      </c>
      <c r="P55" s="11"/>
      <c r="Q55" s="12">
        <v>27450</v>
      </c>
      <c r="R55" s="29"/>
      <c r="S55" s="29">
        <f t="shared" si="2"/>
        <v>0</v>
      </c>
      <c r="T55" s="29">
        <f t="shared" si="1"/>
        <v>0</v>
      </c>
    </row>
    <row r="56" spans="1:20" s="1" customFormat="1" ht="79.5" customHeight="1" x14ac:dyDescent="0.4">
      <c r="A56" s="5">
        <v>52</v>
      </c>
      <c r="B56" s="6" t="s">
        <v>48</v>
      </c>
      <c r="C56" s="7" t="s">
        <v>21</v>
      </c>
      <c r="D56" s="8">
        <v>8803463003685</v>
      </c>
      <c r="E56" s="7" t="s">
        <v>70</v>
      </c>
      <c r="F56" s="7"/>
      <c r="G56" s="9" t="s">
        <v>379</v>
      </c>
      <c r="H56" s="9" t="s">
        <v>380</v>
      </c>
      <c r="I56" s="10">
        <v>48000</v>
      </c>
      <c r="J56" s="26" t="s">
        <v>27</v>
      </c>
      <c r="K56" s="11">
        <v>48</v>
      </c>
      <c r="L56" s="11">
        <v>12</v>
      </c>
      <c r="M56" s="11">
        <v>31</v>
      </c>
      <c r="N56" s="11">
        <v>23</v>
      </c>
      <c r="O56" s="11">
        <v>18</v>
      </c>
      <c r="P56" s="11"/>
      <c r="Q56" s="12">
        <v>21210</v>
      </c>
      <c r="R56" s="29"/>
      <c r="S56" s="29">
        <f t="shared" si="2"/>
        <v>0</v>
      </c>
      <c r="T56" s="29">
        <f t="shared" si="1"/>
        <v>0</v>
      </c>
    </row>
    <row r="57" spans="1:20" s="1" customFormat="1" ht="79.5" customHeight="1" x14ac:dyDescent="0.4">
      <c r="A57" s="5">
        <v>53</v>
      </c>
      <c r="B57" s="6" t="s">
        <v>48</v>
      </c>
      <c r="C57" s="7" t="s">
        <v>21</v>
      </c>
      <c r="D57" s="8">
        <v>8803463005719</v>
      </c>
      <c r="E57" s="7" t="s">
        <v>71</v>
      </c>
      <c r="F57" s="7"/>
      <c r="G57" s="9" t="s">
        <v>72</v>
      </c>
      <c r="H57" s="9" t="s">
        <v>381</v>
      </c>
      <c r="I57" s="10">
        <v>58000</v>
      </c>
      <c r="J57" s="7" t="s">
        <v>231</v>
      </c>
      <c r="K57" s="11">
        <v>48</v>
      </c>
      <c r="L57" s="11">
        <v>12</v>
      </c>
      <c r="M57" s="11">
        <v>31.200000000000003</v>
      </c>
      <c r="N57" s="11">
        <v>24.400000000000002</v>
      </c>
      <c r="O57" s="11">
        <v>18</v>
      </c>
      <c r="P57" s="11"/>
      <c r="Q57" s="12">
        <v>24520</v>
      </c>
      <c r="R57" s="29"/>
      <c r="S57" s="29">
        <f t="shared" si="2"/>
        <v>0</v>
      </c>
      <c r="T57" s="29">
        <f t="shared" si="1"/>
        <v>0</v>
      </c>
    </row>
    <row r="58" spans="1:20" s="1" customFormat="1" ht="79.5" customHeight="1" x14ac:dyDescent="0.4">
      <c r="A58" s="5">
        <v>54</v>
      </c>
      <c r="B58" s="6" t="s">
        <v>48</v>
      </c>
      <c r="C58" s="7" t="s">
        <v>21</v>
      </c>
      <c r="D58" s="8">
        <v>8803463005726</v>
      </c>
      <c r="E58" s="7" t="s">
        <v>73</v>
      </c>
      <c r="F58" s="7"/>
      <c r="G58" s="9" t="s">
        <v>74</v>
      </c>
      <c r="H58" s="9" t="s">
        <v>382</v>
      </c>
      <c r="I58" s="10">
        <v>68000</v>
      </c>
      <c r="J58" s="7" t="s">
        <v>56</v>
      </c>
      <c r="K58" s="11">
        <v>48</v>
      </c>
      <c r="L58" s="11">
        <v>12</v>
      </c>
      <c r="M58" s="11">
        <v>30</v>
      </c>
      <c r="N58" s="11">
        <v>23</v>
      </c>
      <c r="O58" s="11">
        <v>15</v>
      </c>
      <c r="P58" s="11"/>
      <c r="Q58" s="12">
        <v>27540</v>
      </c>
      <c r="R58" s="29"/>
      <c r="S58" s="29">
        <f t="shared" si="2"/>
        <v>0</v>
      </c>
      <c r="T58" s="29">
        <f t="shared" si="1"/>
        <v>0</v>
      </c>
    </row>
    <row r="59" spans="1:20" s="1" customFormat="1" ht="79.5" customHeight="1" x14ac:dyDescent="0.4">
      <c r="A59" s="5">
        <v>55</v>
      </c>
      <c r="B59" s="6" t="s">
        <v>48</v>
      </c>
      <c r="C59" s="7" t="s">
        <v>21</v>
      </c>
      <c r="D59" s="8">
        <v>8803463009175</v>
      </c>
      <c r="E59" s="7" t="s">
        <v>169</v>
      </c>
      <c r="F59" s="7"/>
      <c r="G59" s="9" t="s">
        <v>171</v>
      </c>
      <c r="H59" s="9" t="s">
        <v>383</v>
      </c>
      <c r="I59" s="10">
        <v>48000</v>
      </c>
      <c r="J59" s="26" t="s">
        <v>27</v>
      </c>
      <c r="K59" s="11">
        <v>48</v>
      </c>
      <c r="L59" s="11">
        <v>12</v>
      </c>
      <c r="M59" s="11">
        <v>31.2</v>
      </c>
      <c r="N59" s="11">
        <v>24.4</v>
      </c>
      <c r="O59" s="11">
        <v>18</v>
      </c>
      <c r="P59" s="11"/>
      <c r="Q59" s="12">
        <v>21210</v>
      </c>
      <c r="R59" s="29"/>
      <c r="S59" s="29">
        <f t="shared" si="2"/>
        <v>0</v>
      </c>
      <c r="T59" s="29">
        <f t="shared" si="1"/>
        <v>0</v>
      </c>
    </row>
    <row r="60" spans="1:20" s="1" customFormat="1" ht="79.5" customHeight="1" x14ac:dyDescent="0.4">
      <c r="A60" s="5">
        <v>56</v>
      </c>
      <c r="B60" s="6" t="s">
        <v>48</v>
      </c>
      <c r="C60" s="7" t="s">
        <v>21</v>
      </c>
      <c r="D60" s="8">
        <v>8803463009663</v>
      </c>
      <c r="E60" s="7" t="s">
        <v>170</v>
      </c>
      <c r="F60" s="7"/>
      <c r="G60" s="9" t="s">
        <v>172</v>
      </c>
      <c r="H60" s="9" t="s">
        <v>384</v>
      </c>
      <c r="I60" s="10">
        <v>58000</v>
      </c>
      <c r="J60" s="7" t="s">
        <v>27</v>
      </c>
      <c r="K60" s="29">
        <v>48</v>
      </c>
      <c r="L60" s="29">
        <v>12</v>
      </c>
      <c r="M60" s="17">
        <v>31.2</v>
      </c>
      <c r="N60" s="17">
        <v>24.4</v>
      </c>
      <c r="O60" s="17">
        <v>18</v>
      </c>
      <c r="P60" s="11"/>
      <c r="Q60" s="12">
        <v>24520</v>
      </c>
      <c r="R60" s="29"/>
      <c r="S60" s="29">
        <f t="shared" si="2"/>
        <v>0</v>
      </c>
      <c r="T60" s="29">
        <f t="shared" si="1"/>
        <v>0</v>
      </c>
    </row>
    <row r="61" spans="1:20" s="1" customFormat="1" ht="79.5" customHeight="1" x14ac:dyDescent="0.4">
      <c r="A61" s="5">
        <v>57</v>
      </c>
      <c r="B61" s="6" t="s">
        <v>48</v>
      </c>
      <c r="C61" s="7" t="s">
        <v>21</v>
      </c>
      <c r="D61" s="18">
        <v>8803463009670</v>
      </c>
      <c r="E61" s="13" t="s">
        <v>385</v>
      </c>
      <c r="F61" s="13"/>
      <c r="G61" s="20" t="s">
        <v>386</v>
      </c>
      <c r="H61" s="20" t="s">
        <v>387</v>
      </c>
      <c r="I61" s="10">
        <v>68000</v>
      </c>
      <c r="J61" s="33" t="s">
        <v>56</v>
      </c>
      <c r="K61" s="34">
        <v>48</v>
      </c>
      <c r="L61" s="28">
        <v>12</v>
      </c>
      <c r="M61" s="34">
        <v>29.6</v>
      </c>
      <c r="N61" s="34">
        <v>23</v>
      </c>
      <c r="O61" s="34">
        <v>15</v>
      </c>
      <c r="P61" s="34"/>
      <c r="Q61" s="12">
        <v>27450</v>
      </c>
      <c r="R61" s="29"/>
      <c r="S61" s="29">
        <f t="shared" si="2"/>
        <v>0</v>
      </c>
      <c r="T61" s="29">
        <f t="shared" si="1"/>
        <v>0</v>
      </c>
    </row>
    <row r="62" spans="1:20" s="1" customFormat="1" ht="79.5" customHeight="1" x14ac:dyDescent="0.4">
      <c r="A62" s="5">
        <v>58</v>
      </c>
      <c r="B62" s="6" t="s">
        <v>48</v>
      </c>
      <c r="C62" s="7" t="s">
        <v>21</v>
      </c>
      <c r="D62" s="8">
        <v>8803463009182</v>
      </c>
      <c r="E62" s="7" t="s">
        <v>192</v>
      </c>
      <c r="F62" s="7"/>
      <c r="G62" s="9" t="s">
        <v>191</v>
      </c>
      <c r="H62" s="9" t="s">
        <v>388</v>
      </c>
      <c r="I62" s="10">
        <v>32000</v>
      </c>
      <c r="J62" s="7" t="s">
        <v>231</v>
      </c>
      <c r="K62" s="11">
        <v>48</v>
      </c>
      <c r="L62" s="11">
        <v>12</v>
      </c>
      <c r="M62" s="11">
        <v>31.2</v>
      </c>
      <c r="N62" s="11">
        <v>24</v>
      </c>
      <c r="O62" s="11">
        <v>18</v>
      </c>
      <c r="P62" s="11"/>
      <c r="Q62" s="12">
        <v>14140</v>
      </c>
      <c r="R62" s="29"/>
      <c r="S62" s="29">
        <f t="shared" si="2"/>
        <v>0</v>
      </c>
      <c r="T62" s="29">
        <f t="shared" si="1"/>
        <v>0</v>
      </c>
    </row>
    <row r="63" spans="1:20" s="1" customFormat="1" ht="79.5" customHeight="1" x14ac:dyDescent="0.4">
      <c r="A63" s="5">
        <v>59</v>
      </c>
      <c r="B63" s="6" t="s">
        <v>48</v>
      </c>
      <c r="C63" s="7" t="s">
        <v>21</v>
      </c>
      <c r="D63" s="8">
        <v>8803463010867</v>
      </c>
      <c r="E63" s="7" t="s">
        <v>389</v>
      </c>
      <c r="F63" s="7"/>
      <c r="G63" s="9" t="s">
        <v>229</v>
      </c>
      <c r="H63" s="9" t="s">
        <v>230</v>
      </c>
      <c r="I63" s="10">
        <v>49000</v>
      </c>
      <c r="J63" s="7" t="s">
        <v>231</v>
      </c>
      <c r="K63" s="11">
        <v>48</v>
      </c>
      <c r="L63" s="11">
        <v>12</v>
      </c>
      <c r="M63" s="11">
        <v>44</v>
      </c>
      <c r="N63" s="11">
        <v>30</v>
      </c>
      <c r="O63" s="11">
        <v>18.5</v>
      </c>
      <c r="P63" s="11"/>
      <c r="Q63" s="12">
        <v>21640</v>
      </c>
      <c r="R63" s="29"/>
      <c r="S63" s="29">
        <f t="shared" si="2"/>
        <v>0</v>
      </c>
      <c r="T63" s="29">
        <f t="shared" si="1"/>
        <v>0</v>
      </c>
    </row>
    <row r="64" spans="1:20" s="1" customFormat="1" ht="79.5" customHeight="1" x14ac:dyDescent="0.4">
      <c r="A64" s="5">
        <v>60</v>
      </c>
      <c r="B64" s="6" t="s">
        <v>48</v>
      </c>
      <c r="C64" s="7" t="s">
        <v>21</v>
      </c>
      <c r="D64" s="8">
        <v>8803463006518</v>
      </c>
      <c r="E64" s="7" t="s">
        <v>123</v>
      </c>
      <c r="F64" s="7"/>
      <c r="G64" s="9" t="s">
        <v>121</v>
      </c>
      <c r="H64" s="9" t="s">
        <v>390</v>
      </c>
      <c r="I64" s="10">
        <v>15000</v>
      </c>
      <c r="J64" s="7" t="s">
        <v>125</v>
      </c>
      <c r="K64" s="11">
        <v>48</v>
      </c>
      <c r="L64" s="11">
        <v>24</v>
      </c>
      <c r="M64" s="11">
        <v>28</v>
      </c>
      <c r="N64" s="11">
        <v>18</v>
      </c>
      <c r="O64" s="11">
        <v>16.5</v>
      </c>
      <c r="P64" s="11"/>
      <c r="Q64" s="12">
        <v>7340</v>
      </c>
      <c r="R64" s="29"/>
      <c r="S64" s="29">
        <f t="shared" si="2"/>
        <v>0</v>
      </c>
      <c r="T64" s="29">
        <f t="shared" si="1"/>
        <v>0</v>
      </c>
    </row>
    <row r="65" spans="1:22" ht="75.599999999999994" customHeight="1" x14ac:dyDescent="0.4">
      <c r="A65" s="5">
        <v>61</v>
      </c>
      <c r="B65" s="6" t="s">
        <v>48</v>
      </c>
      <c r="C65" s="7" t="s">
        <v>21</v>
      </c>
      <c r="D65" s="18">
        <v>8803463006501</v>
      </c>
      <c r="E65" s="13" t="s">
        <v>124</v>
      </c>
      <c r="F65" s="19"/>
      <c r="G65" s="20" t="s">
        <v>122</v>
      </c>
      <c r="H65" s="20" t="s">
        <v>391</v>
      </c>
      <c r="I65" s="10">
        <v>17000</v>
      </c>
      <c r="J65" s="21" t="s">
        <v>125</v>
      </c>
      <c r="K65" s="19">
        <v>48</v>
      </c>
      <c r="L65" s="19">
        <v>24</v>
      </c>
      <c r="M65" s="23">
        <v>28</v>
      </c>
      <c r="N65" s="23">
        <v>18</v>
      </c>
      <c r="O65" s="23">
        <v>16.5</v>
      </c>
      <c r="P65" s="19"/>
      <c r="Q65" s="12">
        <v>8320</v>
      </c>
      <c r="R65" s="29"/>
      <c r="S65" s="29">
        <f t="shared" si="2"/>
        <v>0</v>
      </c>
      <c r="T65" s="29">
        <f t="shared" si="1"/>
        <v>0</v>
      </c>
      <c r="U65" s="1"/>
      <c r="V65" s="1"/>
    </row>
    <row r="66" spans="1:22" ht="75.599999999999994" customHeight="1" x14ac:dyDescent="0.4">
      <c r="A66" s="5">
        <v>62</v>
      </c>
      <c r="B66" s="35" t="s">
        <v>228</v>
      </c>
      <c r="C66" s="7" t="s">
        <v>21</v>
      </c>
      <c r="D66" s="18">
        <v>8803463012106</v>
      </c>
      <c r="E66" s="13" t="s">
        <v>223</v>
      </c>
      <c r="F66" s="7"/>
      <c r="G66" s="20" t="s">
        <v>284</v>
      </c>
      <c r="H66" s="20" t="s">
        <v>285</v>
      </c>
      <c r="I66" s="10">
        <v>15000</v>
      </c>
      <c r="J66" s="7" t="s">
        <v>27</v>
      </c>
      <c r="K66" s="29">
        <v>72</v>
      </c>
      <c r="L66" s="29">
        <v>12</v>
      </c>
      <c r="M66" s="17">
        <v>35</v>
      </c>
      <c r="N66" s="17">
        <v>26</v>
      </c>
      <c r="O66" s="17">
        <v>17</v>
      </c>
      <c r="P66" s="17"/>
      <c r="Q66" s="12">
        <v>7060</v>
      </c>
      <c r="R66" s="29"/>
      <c r="S66" s="29">
        <f t="shared" si="2"/>
        <v>0</v>
      </c>
      <c r="T66" s="29">
        <f t="shared" si="1"/>
        <v>0</v>
      </c>
      <c r="U66" s="1"/>
      <c r="V66" s="1"/>
    </row>
    <row r="67" spans="1:22" ht="79.5" customHeight="1" x14ac:dyDescent="0.4">
      <c r="A67" s="5">
        <v>63</v>
      </c>
      <c r="B67" s="35" t="s">
        <v>228</v>
      </c>
      <c r="C67" s="7" t="s">
        <v>21</v>
      </c>
      <c r="D67" s="18">
        <v>8803463012090</v>
      </c>
      <c r="E67" s="13" t="s">
        <v>224</v>
      </c>
      <c r="F67" s="7"/>
      <c r="G67" s="20" t="s">
        <v>286</v>
      </c>
      <c r="H67" s="20" t="s">
        <v>287</v>
      </c>
      <c r="I67" s="10">
        <v>21000</v>
      </c>
      <c r="J67" s="7" t="s">
        <v>239</v>
      </c>
      <c r="K67" s="29">
        <v>96</v>
      </c>
      <c r="L67" s="29">
        <v>24</v>
      </c>
      <c r="M67" s="15">
        <v>29</v>
      </c>
      <c r="N67" s="15">
        <v>27</v>
      </c>
      <c r="O67" s="15">
        <v>15</v>
      </c>
      <c r="P67" s="15"/>
      <c r="Q67" s="12">
        <v>9880</v>
      </c>
      <c r="R67" s="29"/>
      <c r="S67" s="29">
        <f t="shared" si="2"/>
        <v>0</v>
      </c>
      <c r="T67" s="29">
        <f t="shared" si="1"/>
        <v>0</v>
      </c>
      <c r="U67" s="1"/>
      <c r="V67" s="1"/>
    </row>
    <row r="68" spans="1:22" ht="79.5" customHeight="1" x14ac:dyDescent="0.4">
      <c r="A68" s="5">
        <v>64</v>
      </c>
      <c r="B68" s="35" t="s">
        <v>228</v>
      </c>
      <c r="C68" s="7" t="s">
        <v>21</v>
      </c>
      <c r="D68" s="18">
        <v>8803463011970</v>
      </c>
      <c r="E68" s="13" t="s">
        <v>392</v>
      </c>
      <c r="F68" s="7"/>
      <c r="G68" s="20" t="s">
        <v>288</v>
      </c>
      <c r="H68" s="20" t="s">
        <v>289</v>
      </c>
      <c r="I68" s="10">
        <v>9900</v>
      </c>
      <c r="J68" s="7" t="s">
        <v>27</v>
      </c>
      <c r="K68" s="29">
        <v>96</v>
      </c>
      <c r="L68" s="29">
        <v>12</v>
      </c>
      <c r="M68" s="15">
        <v>29</v>
      </c>
      <c r="N68" s="15">
        <v>27</v>
      </c>
      <c r="O68" s="15">
        <v>15</v>
      </c>
      <c r="P68" s="15"/>
      <c r="Q68" s="12">
        <v>4850</v>
      </c>
      <c r="R68" s="29"/>
      <c r="S68" s="29">
        <f t="shared" si="2"/>
        <v>0</v>
      </c>
      <c r="T68" s="29">
        <f t="shared" si="1"/>
        <v>0</v>
      </c>
      <c r="U68" s="1"/>
      <c r="V68" s="1"/>
    </row>
    <row r="69" spans="1:22" ht="79.5" customHeight="1" x14ac:dyDescent="0.4">
      <c r="A69" s="5">
        <v>65</v>
      </c>
      <c r="B69" s="35" t="s">
        <v>228</v>
      </c>
      <c r="C69" s="7" t="s">
        <v>21</v>
      </c>
      <c r="D69" s="18">
        <v>8803463011963</v>
      </c>
      <c r="E69" s="13" t="s">
        <v>393</v>
      </c>
      <c r="F69" s="7"/>
      <c r="G69" s="20" t="s">
        <v>291</v>
      </c>
      <c r="H69" s="20" t="s">
        <v>292</v>
      </c>
      <c r="I69" s="10">
        <v>7000</v>
      </c>
      <c r="J69" s="7" t="s">
        <v>290</v>
      </c>
      <c r="K69" s="29">
        <v>240</v>
      </c>
      <c r="L69" s="29">
        <v>30</v>
      </c>
      <c r="M69" s="15">
        <v>56</v>
      </c>
      <c r="N69" s="15">
        <v>48</v>
      </c>
      <c r="O69" s="15">
        <v>23</v>
      </c>
      <c r="P69" s="15"/>
      <c r="Q69" s="12">
        <v>3420</v>
      </c>
      <c r="R69" s="29"/>
      <c r="S69" s="29">
        <f t="shared" ref="S69:S100" si="3">R69*K69</f>
        <v>0</v>
      </c>
      <c r="T69" s="29">
        <f t="shared" si="1"/>
        <v>0</v>
      </c>
      <c r="U69" s="1"/>
      <c r="V69" s="1"/>
    </row>
    <row r="70" spans="1:22" s="1" customFormat="1" ht="79.5" customHeight="1" x14ac:dyDescent="0.4">
      <c r="A70" s="5">
        <v>66</v>
      </c>
      <c r="B70" s="13" t="s">
        <v>193</v>
      </c>
      <c r="C70" s="7" t="s">
        <v>21</v>
      </c>
      <c r="D70" s="8">
        <v>8803463012236</v>
      </c>
      <c r="E70" s="7" t="s">
        <v>394</v>
      </c>
      <c r="F70" s="7"/>
      <c r="G70" s="20" t="s">
        <v>277</v>
      </c>
      <c r="H70" s="20" t="s">
        <v>278</v>
      </c>
      <c r="I70" s="10">
        <v>4800</v>
      </c>
      <c r="J70" s="7" t="s">
        <v>279</v>
      </c>
      <c r="K70" s="11">
        <v>180</v>
      </c>
      <c r="L70" s="11">
        <v>90</v>
      </c>
      <c r="M70" s="11">
        <v>54</v>
      </c>
      <c r="N70" s="11">
        <v>36</v>
      </c>
      <c r="O70" s="11">
        <v>24</v>
      </c>
      <c r="P70" s="11"/>
      <c r="Q70" s="12">
        <v>2260</v>
      </c>
      <c r="R70" s="29"/>
      <c r="S70" s="29">
        <f t="shared" si="3"/>
        <v>0</v>
      </c>
      <c r="T70" s="29">
        <f t="shared" ref="T70:T133" si="4">S70*Q70</f>
        <v>0</v>
      </c>
    </row>
    <row r="71" spans="1:22" s="1" customFormat="1" ht="79.5" customHeight="1" x14ac:dyDescent="0.4">
      <c r="A71" s="5">
        <v>67</v>
      </c>
      <c r="B71" s="13" t="s">
        <v>193</v>
      </c>
      <c r="C71" s="7" t="s">
        <v>21</v>
      </c>
      <c r="D71" s="8">
        <v>8803463012229</v>
      </c>
      <c r="E71" s="7" t="s">
        <v>395</v>
      </c>
      <c r="F71" s="7"/>
      <c r="G71" s="20" t="s">
        <v>280</v>
      </c>
      <c r="H71" s="20" t="s">
        <v>281</v>
      </c>
      <c r="I71" s="10">
        <v>3800</v>
      </c>
      <c r="J71" s="7" t="s">
        <v>279</v>
      </c>
      <c r="K71" s="11">
        <v>280</v>
      </c>
      <c r="L71" s="11">
        <v>140</v>
      </c>
      <c r="M71" s="11">
        <v>54</v>
      </c>
      <c r="N71" s="11">
        <v>36</v>
      </c>
      <c r="O71" s="11">
        <v>24</v>
      </c>
      <c r="P71" s="11"/>
      <c r="Q71" s="12">
        <v>1790</v>
      </c>
      <c r="R71" s="29"/>
      <c r="S71" s="29">
        <f t="shared" si="3"/>
        <v>0</v>
      </c>
      <c r="T71" s="29">
        <f t="shared" si="4"/>
        <v>0</v>
      </c>
    </row>
    <row r="72" spans="1:22" s="1" customFormat="1" ht="79.5" customHeight="1" x14ac:dyDescent="0.4">
      <c r="A72" s="5">
        <v>68</v>
      </c>
      <c r="B72" s="6" t="s">
        <v>48</v>
      </c>
      <c r="C72" s="7" t="s">
        <v>21</v>
      </c>
      <c r="D72" s="8">
        <v>8803463003449</v>
      </c>
      <c r="E72" s="7" t="s">
        <v>61</v>
      </c>
      <c r="F72" s="7"/>
      <c r="G72" s="20" t="s">
        <v>396</v>
      </c>
      <c r="H72" s="20" t="s">
        <v>397</v>
      </c>
      <c r="I72" s="10">
        <v>4000</v>
      </c>
      <c r="J72" s="7" t="s">
        <v>398</v>
      </c>
      <c r="K72" s="11">
        <v>280</v>
      </c>
      <c r="L72" s="11">
        <v>70</v>
      </c>
      <c r="M72" s="11">
        <v>54</v>
      </c>
      <c r="N72" s="11">
        <v>28</v>
      </c>
      <c r="O72" s="11">
        <v>23.5</v>
      </c>
      <c r="P72" s="11"/>
      <c r="Q72" s="12">
        <v>1770</v>
      </c>
      <c r="R72" s="29"/>
      <c r="S72" s="29">
        <f t="shared" si="3"/>
        <v>0</v>
      </c>
      <c r="T72" s="29">
        <f t="shared" si="4"/>
        <v>0</v>
      </c>
    </row>
    <row r="73" spans="1:22" s="1" customFormat="1" ht="79.5" customHeight="1" x14ac:dyDescent="0.4">
      <c r="A73" s="5">
        <v>69</v>
      </c>
      <c r="B73" s="36" t="s">
        <v>116</v>
      </c>
      <c r="C73" s="7" t="s">
        <v>21</v>
      </c>
      <c r="D73" s="8">
        <v>8803463007515</v>
      </c>
      <c r="E73" s="7" t="s">
        <v>161</v>
      </c>
      <c r="F73" s="7"/>
      <c r="G73" s="20" t="s">
        <v>399</v>
      </c>
      <c r="H73" s="20" t="s">
        <v>400</v>
      </c>
      <c r="I73" s="10">
        <v>6000</v>
      </c>
      <c r="J73" s="7" t="s">
        <v>401</v>
      </c>
      <c r="K73" s="11">
        <v>200</v>
      </c>
      <c r="L73" s="11">
        <v>10</v>
      </c>
      <c r="M73" s="11">
        <v>42</v>
      </c>
      <c r="N73" s="11">
        <v>31.8</v>
      </c>
      <c r="O73" s="11">
        <v>21.4</v>
      </c>
      <c r="P73" s="11"/>
      <c r="Q73" s="12">
        <v>2540</v>
      </c>
      <c r="R73" s="29"/>
      <c r="S73" s="29">
        <f t="shared" si="3"/>
        <v>0</v>
      </c>
      <c r="T73" s="29">
        <f t="shared" si="4"/>
        <v>0</v>
      </c>
    </row>
    <row r="74" spans="1:22" s="1" customFormat="1" ht="79.5" customHeight="1" x14ac:dyDescent="0.4">
      <c r="A74" s="5">
        <v>70</v>
      </c>
      <c r="B74" s="36" t="s">
        <v>116</v>
      </c>
      <c r="C74" s="7" t="s">
        <v>21</v>
      </c>
      <c r="D74" s="8">
        <v>8803463009946</v>
      </c>
      <c r="E74" s="7" t="s">
        <v>402</v>
      </c>
      <c r="F74" s="7"/>
      <c r="G74" s="20" t="s">
        <v>216</v>
      </c>
      <c r="H74" s="20" t="s">
        <v>400</v>
      </c>
      <c r="I74" s="10">
        <v>24000</v>
      </c>
      <c r="J74" s="7" t="s">
        <v>403</v>
      </c>
      <c r="K74" s="11">
        <v>39</v>
      </c>
      <c r="L74" s="11"/>
      <c r="M74" s="11">
        <v>49</v>
      </c>
      <c r="N74" s="11">
        <v>28</v>
      </c>
      <c r="O74" s="11">
        <v>22</v>
      </c>
      <c r="P74" s="11"/>
      <c r="Q74" s="12">
        <v>10140</v>
      </c>
      <c r="R74" s="29"/>
      <c r="S74" s="29">
        <f t="shared" si="3"/>
        <v>0</v>
      </c>
      <c r="T74" s="29">
        <f t="shared" si="4"/>
        <v>0</v>
      </c>
    </row>
    <row r="75" spans="1:22" s="1" customFormat="1" ht="79.5" customHeight="1" x14ac:dyDescent="0.4">
      <c r="A75" s="5">
        <v>71</v>
      </c>
      <c r="B75" s="36" t="s">
        <v>116</v>
      </c>
      <c r="C75" s="7" t="s">
        <v>21</v>
      </c>
      <c r="D75" s="8">
        <v>8803463004286</v>
      </c>
      <c r="E75" s="7" t="s">
        <v>404</v>
      </c>
      <c r="F75" s="7"/>
      <c r="G75" s="20" t="s">
        <v>405</v>
      </c>
      <c r="H75" s="20" t="s">
        <v>406</v>
      </c>
      <c r="I75" s="10">
        <v>45000</v>
      </c>
      <c r="J75" s="7" t="s">
        <v>407</v>
      </c>
      <c r="K75" s="11">
        <v>60</v>
      </c>
      <c r="L75" s="11">
        <v>15</v>
      </c>
      <c r="M75" s="11">
        <v>39.5</v>
      </c>
      <c r="N75" s="11">
        <v>24.5</v>
      </c>
      <c r="O75" s="11">
        <v>13</v>
      </c>
      <c r="P75" s="11"/>
      <c r="Q75" s="12">
        <v>21170</v>
      </c>
      <c r="R75" s="29"/>
      <c r="S75" s="29">
        <f t="shared" si="3"/>
        <v>0</v>
      </c>
      <c r="T75" s="29">
        <f t="shared" si="4"/>
        <v>0</v>
      </c>
    </row>
    <row r="76" spans="1:22" s="1" customFormat="1" ht="79.5" customHeight="1" x14ac:dyDescent="0.4">
      <c r="A76" s="5">
        <v>72</v>
      </c>
      <c r="B76" s="36" t="s">
        <v>116</v>
      </c>
      <c r="C76" s="7" t="s">
        <v>21</v>
      </c>
      <c r="D76" s="18">
        <v>8803463020040</v>
      </c>
      <c r="E76" s="13" t="s">
        <v>408</v>
      </c>
      <c r="F76" s="37"/>
      <c r="G76" s="9" t="s">
        <v>409</v>
      </c>
      <c r="H76" s="9" t="s">
        <v>410</v>
      </c>
      <c r="I76" s="10">
        <v>48000</v>
      </c>
      <c r="J76" s="7" t="s">
        <v>146</v>
      </c>
      <c r="K76" s="16">
        <v>72</v>
      </c>
      <c r="L76" s="16">
        <v>12</v>
      </c>
      <c r="M76" s="17"/>
      <c r="N76" s="17"/>
      <c r="O76" s="17"/>
      <c r="P76" s="15"/>
      <c r="Q76" s="12">
        <v>23500</v>
      </c>
      <c r="R76" s="29"/>
      <c r="S76" s="29">
        <f t="shared" si="3"/>
        <v>0</v>
      </c>
      <c r="T76" s="29">
        <f t="shared" si="4"/>
        <v>0</v>
      </c>
    </row>
    <row r="77" spans="1:22" s="1" customFormat="1" ht="79.5" customHeight="1" x14ac:dyDescent="0.4">
      <c r="A77" s="5">
        <v>73</v>
      </c>
      <c r="B77" s="36" t="s">
        <v>116</v>
      </c>
      <c r="C77" s="7" t="s">
        <v>21</v>
      </c>
      <c r="D77" s="8">
        <v>8803463006853</v>
      </c>
      <c r="E77" s="7" t="s">
        <v>411</v>
      </c>
      <c r="F77" s="7"/>
      <c r="G77" s="9" t="s">
        <v>233</v>
      </c>
      <c r="H77" s="9" t="s">
        <v>234</v>
      </c>
      <c r="I77" s="10">
        <v>48000</v>
      </c>
      <c r="J77" s="7" t="s">
        <v>27</v>
      </c>
      <c r="K77" s="29">
        <v>120</v>
      </c>
      <c r="L77" s="29">
        <v>15</v>
      </c>
      <c r="M77" s="11">
        <v>48</v>
      </c>
      <c r="N77" s="11">
        <v>38</v>
      </c>
      <c r="O77" s="11">
        <v>19</v>
      </c>
      <c r="P77" s="15"/>
      <c r="Q77" s="12">
        <v>23960</v>
      </c>
      <c r="R77" s="29"/>
      <c r="S77" s="29">
        <f t="shared" si="3"/>
        <v>0</v>
      </c>
      <c r="T77" s="29">
        <f t="shared" si="4"/>
        <v>0</v>
      </c>
    </row>
    <row r="78" spans="1:22" s="1" customFormat="1" ht="79.5" customHeight="1" x14ac:dyDescent="0.4">
      <c r="A78" s="5">
        <v>74</v>
      </c>
      <c r="B78" s="36" t="s">
        <v>116</v>
      </c>
      <c r="C78" s="7" t="s">
        <v>21</v>
      </c>
      <c r="D78" s="8">
        <v>8803463006860</v>
      </c>
      <c r="E78" s="7" t="s">
        <v>217</v>
      </c>
      <c r="F78" s="7"/>
      <c r="G78" s="9" t="s">
        <v>235</v>
      </c>
      <c r="H78" s="9" t="s">
        <v>236</v>
      </c>
      <c r="I78" s="10">
        <v>68000</v>
      </c>
      <c r="J78" s="26" t="s">
        <v>27</v>
      </c>
      <c r="K78" s="11">
        <v>120</v>
      </c>
      <c r="L78" s="11">
        <v>15</v>
      </c>
      <c r="M78" s="11">
        <v>48</v>
      </c>
      <c r="N78" s="11">
        <v>38</v>
      </c>
      <c r="O78" s="11">
        <v>19</v>
      </c>
      <c r="P78" s="11"/>
      <c r="Q78" s="12">
        <v>33940</v>
      </c>
      <c r="R78" s="29"/>
      <c r="S78" s="29">
        <f t="shared" si="3"/>
        <v>0</v>
      </c>
      <c r="T78" s="29">
        <f t="shared" si="4"/>
        <v>0</v>
      </c>
    </row>
    <row r="79" spans="1:22" s="1" customFormat="1" ht="79.5" customHeight="1" x14ac:dyDescent="0.4">
      <c r="A79" s="5">
        <v>75</v>
      </c>
      <c r="B79" s="36" t="s">
        <v>116</v>
      </c>
      <c r="C79" s="7" t="s">
        <v>21</v>
      </c>
      <c r="D79" s="8">
        <v>8803463007393</v>
      </c>
      <c r="E79" s="7" t="s">
        <v>197</v>
      </c>
      <c r="F79" s="7"/>
      <c r="G79" s="9" t="s">
        <v>412</v>
      </c>
      <c r="H79" s="9" t="s">
        <v>413</v>
      </c>
      <c r="I79" s="10">
        <v>32000</v>
      </c>
      <c r="J79" s="26" t="s">
        <v>414</v>
      </c>
      <c r="K79" s="11">
        <v>96</v>
      </c>
      <c r="L79" s="11">
        <v>16</v>
      </c>
      <c r="M79" s="11">
        <v>47</v>
      </c>
      <c r="N79" s="11">
        <v>25</v>
      </c>
      <c r="O79" s="11">
        <v>9</v>
      </c>
      <c r="P79" s="11"/>
      <c r="Q79" s="12">
        <v>12610</v>
      </c>
      <c r="R79" s="29"/>
      <c r="S79" s="29">
        <f t="shared" si="3"/>
        <v>0</v>
      </c>
      <c r="T79" s="29">
        <f t="shared" si="4"/>
        <v>0</v>
      </c>
    </row>
    <row r="80" spans="1:22" s="1" customFormat="1" ht="79.5" customHeight="1" x14ac:dyDescent="0.4">
      <c r="A80" s="5">
        <v>76</v>
      </c>
      <c r="B80" s="36" t="s">
        <v>116</v>
      </c>
      <c r="C80" s="7" t="s">
        <v>21</v>
      </c>
      <c r="D80" s="8">
        <v>8803463012403</v>
      </c>
      <c r="E80" s="7" t="s">
        <v>415</v>
      </c>
      <c r="F80" s="7"/>
      <c r="G80" s="9" t="s">
        <v>243</v>
      </c>
      <c r="H80" s="9" t="s">
        <v>244</v>
      </c>
      <c r="I80" s="10">
        <v>25000</v>
      </c>
      <c r="J80" s="26" t="s">
        <v>622</v>
      </c>
      <c r="K80" s="11">
        <v>24</v>
      </c>
      <c r="L80" s="11"/>
      <c r="M80" s="11"/>
      <c r="N80" s="11"/>
      <c r="O80" s="11"/>
      <c r="P80" s="11"/>
      <c r="Q80" s="12">
        <v>10570</v>
      </c>
      <c r="R80" s="29"/>
      <c r="S80" s="29">
        <f t="shared" si="3"/>
        <v>0</v>
      </c>
      <c r="T80" s="29">
        <f t="shared" si="4"/>
        <v>0</v>
      </c>
    </row>
    <row r="81" spans="1:22" s="1" customFormat="1" ht="79.5" customHeight="1" x14ac:dyDescent="0.4">
      <c r="A81" s="5">
        <v>77</v>
      </c>
      <c r="B81" s="36" t="s">
        <v>116</v>
      </c>
      <c r="C81" s="7" t="s">
        <v>21</v>
      </c>
      <c r="D81" s="8">
        <v>8803463011659</v>
      </c>
      <c r="E81" s="7" t="s">
        <v>416</v>
      </c>
      <c r="F81" s="7"/>
      <c r="G81" s="9" t="s">
        <v>238</v>
      </c>
      <c r="H81" s="9" t="s">
        <v>417</v>
      </c>
      <c r="I81" s="10">
        <v>32000</v>
      </c>
      <c r="J81" s="26" t="s">
        <v>239</v>
      </c>
      <c r="K81" s="11">
        <v>48</v>
      </c>
      <c r="L81" s="11">
        <v>12</v>
      </c>
      <c r="M81" s="11"/>
      <c r="N81" s="11"/>
      <c r="O81" s="11"/>
      <c r="P81" s="11"/>
      <c r="Q81" s="12">
        <v>14140</v>
      </c>
      <c r="R81" s="29"/>
      <c r="S81" s="29">
        <f t="shared" si="3"/>
        <v>0</v>
      </c>
      <c r="T81" s="29">
        <f t="shared" si="4"/>
        <v>0</v>
      </c>
    </row>
    <row r="82" spans="1:22" s="1" customFormat="1" ht="79.5" customHeight="1" x14ac:dyDescent="0.4">
      <c r="A82" s="5">
        <v>78</v>
      </c>
      <c r="B82" s="36" t="s">
        <v>116</v>
      </c>
      <c r="C82" s="7" t="s">
        <v>21</v>
      </c>
      <c r="D82" s="8">
        <v>8803463009687</v>
      </c>
      <c r="E82" s="7" t="s">
        <v>187</v>
      </c>
      <c r="F82" s="7"/>
      <c r="G82" s="9" t="s">
        <v>186</v>
      </c>
      <c r="H82" s="9" t="s">
        <v>418</v>
      </c>
      <c r="I82" s="10">
        <v>32000</v>
      </c>
      <c r="J82" s="26" t="s">
        <v>39</v>
      </c>
      <c r="K82" s="11">
        <v>54</v>
      </c>
      <c r="L82" s="11"/>
      <c r="M82" s="11">
        <v>41</v>
      </c>
      <c r="N82" s="11">
        <v>28</v>
      </c>
      <c r="O82" s="11">
        <v>18</v>
      </c>
      <c r="P82" s="11"/>
      <c r="Q82" s="12">
        <v>13520</v>
      </c>
      <c r="R82" s="29"/>
      <c r="S82" s="29">
        <f t="shared" si="3"/>
        <v>0</v>
      </c>
      <c r="T82" s="29">
        <f t="shared" si="4"/>
        <v>0</v>
      </c>
    </row>
    <row r="83" spans="1:22" ht="75.599999999999994" customHeight="1" x14ac:dyDescent="0.4">
      <c r="A83" s="5">
        <v>79</v>
      </c>
      <c r="B83" s="36" t="s">
        <v>116</v>
      </c>
      <c r="C83" s="7" t="s">
        <v>21</v>
      </c>
      <c r="D83" s="18">
        <v>8803463019792</v>
      </c>
      <c r="E83" s="13" t="s">
        <v>419</v>
      </c>
      <c r="F83" s="38"/>
      <c r="G83" s="39" t="s">
        <v>245</v>
      </c>
      <c r="H83" s="40" t="s">
        <v>246</v>
      </c>
      <c r="I83" s="10">
        <v>34000</v>
      </c>
      <c r="J83" s="41" t="s">
        <v>27</v>
      </c>
      <c r="K83" s="28">
        <v>48</v>
      </c>
      <c r="L83" s="11">
        <v>24</v>
      </c>
      <c r="M83" s="42">
        <v>40</v>
      </c>
      <c r="N83" s="42">
        <v>27</v>
      </c>
      <c r="O83" s="42">
        <v>14</v>
      </c>
      <c r="P83" s="43"/>
      <c r="Q83" s="12">
        <v>13400</v>
      </c>
      <c r="R83" s="29"/>
      <c r="S83" s="29">
        <f t="shared" si="3"/>
        <v>0</v>
      </c>
      <c r="T83" s="29">
        <f t="shared" si="4"/>
        <v>0</v>
      </c>
      <c r="U83" s="1"/>
      <c r="V83" s="1"/>
    </row>
    <row r="84" spans="1:22" ht="75.599999999999994" customHeight="1" x14ac:dyDescent="0.4">
      <c r="A84" s="5">
        <v>80</v>
      </c>
      <c r="B84" s="36" t="s">
        <v>116</v>
      </c>
      <c r="C84" s="7" t="s">
        <v>21</v>
      </c>
      <c r="D84" s="8">
        <v>8803463010744</v>
      </c>
      <c r="E84" s="7" t="s">
        <v>420</v>
      </c>
      <c r="F84" s="24"/>
      <c r="G84" s="9" t="s">
        <v>672</v>
      </c>
      <c r="H84" s="9" t="s">
        <v>232</v>
      </c>
      <c r="I84" s="10">
        <v>25000</v>
      </c>
      <c r="J84" s="26" t="s">
        <v>190</v>
      </c>
      <c r="K84" s="16"/>
      <c r="L84" s="16"/>
      <c r="M84" s="17"/>
      <c r="N84" s="17"/>
      <c r="O84" s="17"/>
      <c r="P84" s="15"/>
      <c r="Q84" s="12">
        <v>11760</v>
      </c>
      <c r="R84" s="29"/>
      <c r="S84" s="29">
        <f t="shared" si="3"/>
        <v>0</v>
      </c>
      <c r="T84" s="29">
        <f t="shared" si="4"/>
        <v>0</v>
      </c>
      <c r="U84" s="1"/>
      <c r="V84" s="1"/>
    </row>
    <row r="85" spans="1:22" ht="75.599999999999994" customHeight="1" x14ac:dyDescent="0.4">
      <c r="A85" s="5">
        <v>81</v>
      </c>
      <c r="B85" s="36" t="s">
        <v>116</v>
      </c>
      <c r="C85" s="7" t="s">
        <v>21</v>
      </c>
      <c r="D85" s="8">
        <v>8803463008109</v>
      </c>
      <c r="E85" s="7" t="s">
        <v>421</v>
      </c>
      <c r="F85" s="44"/>
      <c r="G85" s="9" t="s">
        <v>422</v>
      </c>
      <c r="H85" s="9" t="s">
        <v>248</v>
      </c>
      <c r="I85" s="10">
        <v>28000</v>
      </c>
      <c r="J85" s="7" t="s">
        <v>423</v>
      </c>
      <c r="K85" s="16">
        <v>48</v>
      </c>
      <c r="L85" s="16">
        <v>12</v>
      </c>
      <c r="M85" s="17">
        <v>39</v>
      </c>
      <c r="N85" s="17">
        <v>37</v>
      </c>
      <c r="O85" s="17">
        <v>11</v>
      </c>
      <c r="P85" s="15"/>
      <c r="Q85" s="12">
        <v>13170</v>
      </c>
      <c r="R85" s="29"/>
      <c r="S85" s="29">
        <f t="shared" si="3"/>
        <v>0</v>
      </c>
      <c r="T85" s="29">
        <f t="shared" si="4"/>
        <v>0</v>
      </c>
      <c r="U85" s="1"/>
      <c r="V85" s="1"/>
    </row>
    <row r="86" spans="1:22" ht="75.599999999999994" customHeight="1" x14ac:dyDescent="0.4">
      <c r="A86" s="5">
        <v>82</v>
      </c>
      <c r="B86" s="36" t="s">
        <v>116</v>
      </c>
      <c r="C86" s="7" t="s">
        <v>21</v>
      </c>
      <c r="D86" s="8">
        <v>8803463012199</v>
      </c>
      <c r="E86" s="7" t="s">
        <v>424</v>
      </c>
      <c r="F86" s="24"/>
      <c r="G86" s="9" t="s">
        <v>673</v>
      </c>
      <c r="H86" s="9" t="s">
        <v>425</v>
      </c>
      <c r="I86" s="10">
        <v>32000</v>
      </c>
      <c r="J86" s="7" t="s">
        <v>59</v>
      </c>
      <c r="K86" s="16">
        <v>96</v>
      </c>
      <c r="L86" s="16"/>
      <c r="M86" s="17"/>
      <c r="N86" s="17"/>
      <c r="O86" s="17"/>
      <c r="P86" s="15"/>
      <c r="Q86" s="12">
        <v>15050</v>
      </c>
      <c r="R86" s="29"/>
      <c r="S86" s="29">
        <f t="shared" si="3"/>
        <v>0</v>
      </c>
      <c r="T86" s="29">
        <f t="shared" si="4"/>
        <v>0</v>
      </c>
      <c r="U86" s="1"/>
      <c r="V86" s="1"/>
    </row>
    <row r="87" spans="1:22" ht="75.599999999999994" customHeight="1" x14ac:dyDescent="0.4">
      <c r="A87" s="5">
        <v>83</v>
      </c>
      <c r="B87" s="36" t="s">
        <v>116</v>
      </c>
      <c r="C87" s="7" t="s">
        <v>21</v>
      </c>
      <c r="D87" s="8">
        <v>8803463007195</v>
      </c>
      <c r="E87" s="7" t="s">
        <v>118</v>
      </c>
      <c r="F87" s="24"/>
      <c r="G87" s="9" t="s">
        <v>120</v>
      </c>
      <c r="H87" s="9" t="s">
        <v>426</v>
      </c>
      <c r="I87" s="10">
        <v>28000</v>
      </c>
      <c r="J87" s="7" t="s">
        <v>423</v>
      </c>
      <c r="K87" s="16">
        <v>48</v>
      </c>
      <c r="L87" s="16">
        <v>12</v>
      </c>
      <c r="M87" s="17">
        <v>39</v>
      </c>
      <c r="N87" s="17">
        <v>37</v>
      </c>
      <c r="O87" s="17">
        <v>11</v>
      </c>
      <c r="P87" s="15"/>
      <c r="Q87" s="12">
        <v>13710</v>
      </c>
      <c r="R87" s="29"/>
      <c r="S87" s="29">
        <f t="shared" si="3"/>
        <v>0</v>
      </c>
      <c r="T87" s="29">
        <f t="shared" si="4"/>
        <v>0</v>
      </c>
      <c r="U87" s="1"/>
      <c r="V87" s="1"/>
    </row>
    <row r="88" spans="1:22" ht="75.599999999999994" customHeight="1" x14ac:dyDescent="0.4">
      <c r="A88" s="5">
        <v>84</v>
      </c>
      <c r="B88" s="36" t="s">
        <v>116</v>
      </c>
      <c r="C88" s="7" t="s">
        <v>21</v>
      </c>
      <c r="D88" s="8">
        <v>8803463010379</v>
      </c>
      <c r="E88" s="7" t="s">
        <v>427</v>
      </c>
      <c r="F88" s="37"/>
      <c r="G88" s="9" t="s">
        <v>240</v>
      </c>
      <c r="H88" s="9" t="s">
        <v>241</v>
      </c>
      <c r="I88" s="10">
        <v>24000</v>
      </c>
      <c r="J88" s="7" t="s">
        <v>242</v>
      </c>
      <c r="K88" s="16">
        <v>12</v>
      </c>
      <c r="L88" s="16"/>
      <c r="M88" s="17">
        <v>34</v>
      </c>
      <c r="N88" s="17">
        <v>28</v>
      </c>
      <c r="O88" s="17">
        <v>22</v>
      </c>
      <c r="P88" s="15"/>
      <c r="Q88" s="12">
        <v>11740</v>
      </c>
      <c r="R88" s="29"/>
      <c r="S88" s="29">
        <f t="shared" si="3"/>
        <v>0</v>
      </c>
      <c r="T88" s="29">
        <f t="shared" si="4"/>
        <v>0</v>
      </c>
      <c r="U88" s="1"/>
      <c r="V88" s="1"/>
    </row>
    <row r="89" spans="1:22" ht="75.599999999999994" customHeight="1" x14ac:dyDescent="0.4">
      <c r="A89" s="5">
        <v>85</v>
      </c>
      <c r="B89" s="36" t="s">
        <v>116</v>
      </c>
      <c r="C89" s="7" t="s">
        <v>21</v>
      </c>
      <c r="D89" s="8">
        <v>8803463012236</v>
      </c>
      <c r="E89" s="7" t="s">
        <v>428</v>
      </c>
      <c r="F89" s="24"/>
      <c r="G89" s="9" t="s">
        <v>674</v>
      </c>
      <c r="H89" s="9" t="s">
        <v>247</v>
      </c>
      <c r="I89" s="10">
        <v>28000</v>
      </c>
      <c r="J89" s="7" t="s">
        <v>20</v>
      </c>
      <c r="K89" s="16">
        <v>180</v>
      </c>
      <c r="L89" s="16"/>
      <c r="M89" s="17"/>
      <c r="N89" s="17"/>
      <c r="O89" s="17"/>
      <c r="P89" s="15"/>
      <c r="Q89" s="12">
        <v>2260</v>
      </c>
      <c r="R89" s="29"/>
      <c r="S89" s="29">
        <f t="shared" si="3"/>
        <v>0</v>
      </c>
      <c r="T89" s="29">
        <f t="shared" si="4"/>
        <v>0</v>
      </c>
      <c r="U89" s="1"/>
      <c r="V89" s="1"/>
    </row>
    <row r="90" spans="1:22" ht="75.599999999999994" customHeight="1" x14ac:dyDescent="0.4">
      <c r="A90" s="5">
        <v>86</v>
      </c>
      <c r="B90" s="7" t="s">
        <v>117</v>
      </c>
      <c r="C90" s="7" t="s">
        <v>21</v>
      </c>
      <c r="D90" s="8">
        <v>8803463010416</v>
      </c>
      <c r="E90" s="7" t="s">
        <v>429</v>
      </c>
      <c r="F90" s="37"/>
      <c r="G90" s="9" t="s">
        <v>675</v>
      </c>
      <c r="H90" s="9" t="s">
        <v>430</v>
      </c>
      <c r="I90" s="10">
        <v>15000</v>
      </c>
      <c r="J90" s="7" t="s">
        <v>676</v>
      </c>
      <c r="K90" s="29">
        <v>12</v>
      </c>
      <c r="L90" s="19">
        <v>8</v>
      </c>
      <c r="M90" s="19">
        <v>32</v>
      </c>
      <c r="N90" s="19">
        <v>61</v>
      </c>
      <c r="O90" s="19">
        <v>37</v>
      </c>
      <c r="P90" s="15"/>
      <c r="Q90" s="12">
        <v>6770</v>
      </c>
      <c r="R90" s="29"/>
      <c r="S90" s="29">
        <f t="shared" si="3"/>
        <v>0</v>
      </c>
      <c r="T90" s="29">
        <f t="shared" si="4"/>
        <v>0</v>
      </c>
      <c r="U90" s="1"/>
      <c r="V90" s="1"/>
    </row>
    <row r="91" spans="1:22" ht="75.599999999999994" customHeight="1" x14ac:dyDescent="0.4">
      <c r="A91" s="5">
        <v>87</v>
      </c>
      <c r="B91" s="7" t="s">
        <v>117</v>
      </c>
      <c r="C91" s="7" t="s">
        <v>21</v>
      </c>
      <c r="D91" s="8">
        <v>8803463010423</v>
      </c>
      <c r="E91" s="7" t="s">
        <v>194</v>
      </c>
      <c r="F91" s="44"/>
      <c r="G91" s="9" t="s">
        <v>195</v>
      </c>
      <c r="H91" s="9" t="s">
        <v>431</v>
      </c>
      <c r="I91" s="10">
        <v>15000</v>
      </c>
      <c r="J91" s="7" t="s">
        <v>676</v>
      </c>
      <c r="K91" s="29">
        <v>12</v>
      </c>
      <c r="L91" s="19">
        <v>8</v>
      </c>
      <c r="M91" s="19">
        <v>32</v>
      </c>
      <c r="N91" s="19">
        <v>61</v>
      </c>
      <c r="O91" s="19">
        <v>37</v>
      </c>
      <c r="P91" s="15"/>
      <c r="Q91" s="12">
        <v>6770</v>
      </c>
      <c r="R91" s="29"/>
      <c r="S91" s="29">
        <f t="shared" si="3"/>
        <v>0</v>
      </c>
      <c r="T91" s="29">
        <f t="shared" si="4"/>
        <v>0</v>
      </c>
      <c r="U91" s="1"/>
      <c r="V91" s="1"/>
    </row>
    <row r="92" spans="1:22" ht="75.599999999999994" customHeight="1" x14ac:dyDescent="0.4">
      <c r="A92" s="5">
        <v>88</v>
      </c>
      <c r="B92" s="7" t="s">
        <v>117</v>
      </c>
      <c r="C92" s="7" t="s">
        <v>21</v>
      </c>
      <c r="D92" s="8">
        <v>8803463010430</v>
      </c>
      <c r="E92" s="7" t="s">
        <v>432</v>
      </c>
      <c r="F92" s="7"/>
      <c r="G92" s="9" t="s">
        <v>196</v>
      </c>
      <c r="H92" s="9" t="s">
        <v>433</v>
      </c>
      <c r="I92" s="10">
        <v>15000</v>
      </c>
      <c r="J92" s="7" t="s">
        <v>676</v>
      </c>
      <c r="K92" s="29">
        <v>12</v>
      </c>
      <c r="L92" s="19">
        <v>8</v>
      </c>
      <c r="M92" s="19">
        <v>32</v>
      </c>
      <c r="N92" s="19">
        <v>61</v>
      </c>
      <c r="O92" s="19">
        <v>37</v>
      </c>
      <c r="P92" s="15"/>
      <c r="Q92" s="12">
        <v>6770</v>
      </c>
      <c r="R92" s="29"/>
      <c r="S92" s="29">
        <f t="shared" si="3"/>
        <v>0</v>
      </c>
      <c r="T92" s="29">
        <f t="shared" si="4"/>
        <v>0</v>
      </c>
      <c r="U92" s="1"/>
      <c r="V92" s="1"/>
    </row>
    <row r="93" spans="1:22" ht="75.599999999999994" customHeight="1" x14ac:dyDescent="0.4">
      <c r="A93" s="5">
        <v>89</v>
      </c>
      <c r="B93" s="13" t="s">
        <v>193</v>
      </c>
      <c r="C93" s="7" t="s">
        <v>21</v>
      </c>
      <c r="D93" s="8">
        <v>8803463010478</v>
      </c>
      <c r="E93" s="7" t="s">
        <v>434</v>
      </c>
      <c r="F93" s="7"/>
      <c r="G93" s="9" t="s">
        <v>268</v>
      </c>
      <c r="H93" s="9" t="s">
        <v>269</v>
      </c>
      <c r="I93" s="10">
        <v>25000</v>
      </c>
      <c r="J93" s="45" t="s">
        <v>435</v>
      </c>
      <c r="K93" s="29">
        <v>48</v>
      </c>
      <c r="L93" s="29">
        <v>12</v>
      </c>
      <c r="M93" s="15">
        <v>35</v>
      </c>
      <c r="N93" s="19">
        <v>27</v>
      </c>
      <c r="O93" s="19">
        <v>13.5</v>
      </c>
      <c r="P93" s="15"/>
      <c r="Q93" s="12">
        <v>10570</v>
      </c>
      <c r="R93" s="29"/>
      <c r="S93" s="29">
        <f t="shared" si="3"/>
        <v>0</v>
      </c>
      <c r="T93" s="29">
        <f t="shared" si="4"/>
        <v>0</v>
      </c>
      <c r="U93" s="1"/>
      <c r="V93" s="1"/>
    </row>
    <row r="94" spans="1:22" ht="75.599999999999994" customHeight="1" x14ac:dyDescent="0.4">
      <c r="A94" s="5">
        <v>90</v>
      </c>
      <c r="B94" s="13" t="s">
        <v>193</v>
      </c>
      <c r="C94" s="7" t="s">
        <v>21</v>
      </c>
      <c r="D94" s="8">
        <v>8803463010485</v>
      </c>
      <c r="E94" s="7" t="s">
        <v>198</v>
      </c>
      <c r="F94" s="7"/>
      <c r="G94" s="9" t="s">
        <v>436</v>
      </c>
      <c r="H94" s="9" t="s">
        <v>437</v>
      </c>
      <c r="I94" s="10">
        <v>25000</v>
      </c>
      <c r="J94" s="7" t="s">
        <v>56</v>
      </c>
      <c r="K94" s="16">
        <v>48</v>
      </c>
      <c r="L94" s="16">
        <v>12</v>
      </c>
      <c r="M94" s="17">
        <v>35</v>
      </c>
      <c r="N94" s="17">
        <v>27</v>
      </c>
      <c r="O94" s="17">
        <v>13.5</v>
      </c>
      <c r="P94" s="15"/>
      <c r="Q94" s="12">
        <v>10570</v>
      </c>
      <c r="R94" s="29"/>
      <c r="S94" s="29">
        <f t="shared" si="3"/>
        <v>0</v>
      </c>
      <c r="T94" s="29">
        <f t="shared" si="4"/>
        <v>0</v>
      </c>
      <c r="U94" s="1"/>
      <c r="V94" s="1"/>
    </row>
    <row r="95" spans="1:22" ht="75.599999999999994" customHeight="1" x14ac:dyDescent="0.4">
      <c r="A95" s="5">
        <v>91</v>
      </c>
      <c r="B95" s="13" t="s">
        <v>193</v>
      </c>
      <c r="C95" s="7" t="s">
        <v>21</v>
      </c>
      <c r="D95" s="8">
        <v>8803463010492</v>
      </c>
      <c r="E95" s="7" t="s">
        <v>200</v>
      </c>
      <c r="F95" s="14"/>
      <c r="G95" s="9" t="s">
        <v>199</v>
      </c>
      <c r="H95" s="9" t="s">
        <v>438</v>
      </c>
      <c r="I95" s="10">
        <v>25000</v>
      </c>
      <c r="J95" s="7" t="s">
        <v>56</v>
      </c>
      <c r="K95" s="16">
        <v>48</v>
      </c>
      <c r="L95" s="16">
        <v>12</v>
      </c>
      <c r="M95" s="17">
        <v>35</v>
      </c>
      <c r="N95" s="17">
        <v>27</v>
      </c>
      <c r="O95" s="17">
        <v>13.5</v>
      </c>
      <c r="P95" s="15"/>
      <c r="Q95" s="12">
        <v>10570</v>
      </c>
      <c r="R95" s="29"/>
      <c r="S95" s="29">
        <f t="shared" si="3"/>
        <v>0</v>
      </c>
      <c r="T95" s="29">
        <f t="shared" si="4"/>
        <v>0</v>
      </c>
      <c r="U95" s="1"/>
      <c r="V95" s="1"/>
    </row>
    <row r="96" spans="1:22" ht="75.599999999999994" customHeight="1" x14ac:dyDescent="0.4">
      <c r="A96" s="5">
        <v>92</v>
      </c>
      <c r="B96" s="13" t="s">
        <v>193</v>
      </c>
      <c r="C96" s="7" t="s">
        <v>21</v>
      </c>
      <c r="D96" s="8">
        <v>8803463010508</v>
      </c>
      <c r="E96" s="31" t="s">
        <v>201</v>
      </c>
      <c r="F96" s="14"/>
      <c r="G96" s="9" t="s">
        <v>439</v>
      </c>
      <c r="H96" s="9" t="s">
        <v>440</v>
      </c>
      <c r="I96" s="10">
        <v>25000</v>
      </c>
      <c r="J96" s="7" t="s">
        <v>441</v>
      </c>
      <c r="K96" s="16">
        <v>48</v>
      </c>
      <c r="L96" s="16">
        <v>12</v>
      </c>
      <c r="M96" s="17">
        <v>35</v>
      </c>
      <c r="N96" s="17">
        <v>27</v>
      </c>
      <c r="O96" s="17">
        <v>13.5</v>
      </c>
      <c r="P96" s="15"/>
      <c r="Q96" s="12">
        <v>10570</v>
      </c>
      <c r="R96" s="29"/>
      <c r="S96" s="29">
        <f t="shared" si="3"/>
        <v>0</v>
      </c>
      <c r="T96" s="29">
        <f t="shared" si="4"/>
        <v>0</v>
      </c>
      <c r="U96" s="1"/>
      <c r="V96" s="1"/>
    </row>
    <row r="97" spans="1:22" ht="75.599999999999994" customHeight="1" x14ac:dyDescent="0.4">
      <c r="A97" s="5">
        <v>93</v>
      </c>
      <c r="B97" s="13" t="s">
        <v>193</v>
      </c>
      <c r="C97" s="7" t="s">
        <v>21</v>
      </c>
      <c r="D97" s="18">
        <v>8803463010515</v>
      </c>
      <c r="E97" s="13" t="s">
        <v>442</v>
      </c>
      <c r="F97" s="46"/>
      <c r="G97" s="20" t="s">
        <v>443</v>
      </c>
      <c r="H97" s="20" t="s">
        <v>444</v>
      </c>
      <c r="I97" s="10">
        <v>25000</v>
      </c>
      <c r="J97" s="13" t="s">
        <v>441</v>
      </c>
      <c r="K97" s="28">
        <v>48</v>
      </c>
      <c r="L97" s="28">
        <v>12</v>
      </c>
      <c r="M97" s="47">
        <v>35</v>
      </c>
      <c r="N97" s="47">
        <v>27</v>
      </c>
      <c r="O97" s="47">
        <v>13.5</v>
      </c>
      <c r="P97" s="48"/>
      <c r="Q97" s="12">
        <v>10570</v>
      </c>
      <c r="R97" s="29"/>
      <c r="S97" s="29">
        <f t="shared" si="3"/>
        <v>0</v>
      </c>
      <c r="T97" s="29">
        <f t="shared" si="4"/>
        <v>0</v>
      </c>
      <c r="U97" s="1"/>
      <c r="V97" s="1"/>
    </row>
    <row r="98" spans="1:22" ht="75.599999999999994" customHeight="1" x14ac:dyDescent="0.4">
      <c r="A98" s="5">
        <v>94</v>
      </c>
      <c r="B98" s="13" t="s">
        <v>193</v>
      </c>
      <c r="C98" s="7" t="s">
        <v>21</v>
      </c>
      <c r="D98" s="8">
        <v>8803463013288</v>
      </c>
      <c r="E98" s="7" t="s">
        <v>445</v>
      </c>
      <c r="F98" s="7"/>
      <c r="G98" s="9" t="s">
        <v>446</v>
      </c>
      <c r="H98" s="9" t="s">
        <v>301</v>
      </c>
      <c r="I98" s="10">
        <v>23000</v>
      </c>
      <c r="J98" s="7" t="s">
        <v>56</v>
      </c>
      <c r="K98" s="11">
        <v>60</v>
      </c>
      <c r="L98" s="11">
        <v>15</v>
      </c>
      <c r="M98" s="11"/>
      <c r="N98" s="11"/>
      <c r="O98" s="11"/>
      <c r="P98" s="11"/>
      <c r="Q98" s="12">
        <v>10820</v>
      </c>
      <c r="R98" s="29"/>
      <c r="S98" s="29">
        <f t="shared" si="3"/>
        <v>0</v>
      </c>
      <c r="T98" s="29">
        <f t="shared" si="4"/>
        <v>0</v>
      </c>
      <c r="U98" s="1"/>
      <c r="V98" s="1"/>
    </row>
    <row r="99" spans="1:22" ht="75.599999999999994" customHeight="1" x14ac:dyDescent="0.4">
      <c r="A99" s="5">
        <v>95</v>
      </c>
      <c r="B99" s="13" t="s">
        <v>193</v>
      </c>
      <c r="C99" s="7" t="s">
        <v>21</v>
      </c>
      <c r="D99" s="8">
        <v>8803463013295</v>
      </c>
      <c r="E99" s="7" t="s">
        <v>226</v>
      </c>
      <c r="F99" s="7"/>
      <c r="G99" s="9" t="s">
        <v>447</v>
      </c>
      <c r="H99" s="9" t="s">
        <v>302</v>
      </c>
      <c r="I99" s="10">
        <v>23000</v>
      </c>
      <c r="J99" s="7" t="s">
        <v>56</v>
      </c>
      <c r="K99" s="11">
        <v>60</v>
      </c>
      <c r="L99" s="11">
        <v>15</v>
      </c>
      <c r="M99" s="11"/>
      <c r="N99" s="11"/>
      <c r="O99" s="11"/>
      <c r="P99" s="11"/>
      <c r="Q99" s="12">
        <v>10820</v>
      </c>
      <c r="R99" s="29"/>
      <c r="S99" s="29">
        <f t="shared" si="3"/>
        <v>0</v>
      </c>
      <c r="T99" s="29">
        <f t="shared" si="4"/>
        <v>0</v>
      </c>
      <c r="U99" s="1"/>
      <c r="V99" s="1"/>
    </row>
    <row r="100" spans="1:22" ht="75.599999999999994" customHeight="1" x14ac:dyDescent="0.4">
      <c r="A100" s="5">
        <v>96</v>
      </c>
      <c r="B100" s="13" t="s">
        <v>193</v>
      </c>
      <c r="C100" s="7" t="s">
        <v>21</v>
      </c>
      <c r="D100" s="8">
        <v>8803463013301</v>
      </c>
      <c r="E100" s="7" t="s">
        <v>227</v>
      </c>
      <c r="F100" s="7"/>
      <c r="G100" s="9" t="s">
        <v>448</v>
      </c>
      <c r="H100" s="9" t="s">
        <v>303</v>
      </c>
      <c r="I100" s="10">
        <v>23000</v>
      </c>
      <c r="J100" s="7" t="s">
        <v>56</v>
      </c>
      <c r="K100" s="29">
        <v>60</v>
      </c>
      <c r="L100" s="29">
        <v>15</v>
      </c>
      <c r="M100" s="17"/>
      <c r="N100" s="17"/>
      <c r="O100" s="17"/>
      <c r="P100" s="15"/>
      <c r="Q100" s="12">
        <v>10820</v>
      </c>
      <c r="R100" s="29"/>
      <c r="S100" s="29">
        <f t="shared" si="3"/>
        <v>0</v>
      </c>
      <c r="T100" s="29">
        <f t="shared" si="4"/>
        <v>0</v>
      </c>
      <c r="U100" s="1"/>
      <c r="V100" s="1"/>
    </row>
    <row r="101" spans="1:22" ht="75.599999999999994" customHeight="1" x14ac:dyDescent="0.4">
      <c r="A101" s="5">
        <v>97</v>
      </c>
      <c r="B101" s="13" t="s">
        <v>193</v>
      </c>
      <c r="C101" s="7" t="s">
        <v>21</v>
      </c>
      <c r="D101" s="8">
        <v>8803463013318</v>
      </c>
      <c r="E101" s="7" t="s">
        <v>449</v>
      </c>
      <c r="F101" s="7"/>
      <c r="G101" s="9" t="s">
        <v>450</v>
      </c>
      <c r="H101" s="9" t="s">
        <v>304</v>
      </c>
      <c r="I101" s="10">
        <v>23000</v>
      </c>
      <c r="J101" s="7" t="s">
        <v>56</v>
      </c>
      <c r="K101" s="29">
        <v>60</v>
      </c>
      <c r="L101" s="29">
        <v>15</v>
      </c>
      <c r="M101" s="17"/>
      <c r="N101" s="17"/>
      <c r="O101" s="17"/>
      <c r="P101" s="15"/>
      <c r="Q101" s="12">
        <v>10820</v>
      </c>
      <c r="R101" s="29"/>
      <c r="S101" s="29">
        <f t="shared" ref="S101:S132" si="5">R101*K101</f>
        <v>0</v>
      </c>
      <c r="T101" s="29">
        <f t="shared" si="4"/>
        <v>0</v>
      </c>
      <c r="U101" s="1"/>
      <c r="V101" s="1"/>
    </row>
    <row r="102" spans="1:22" ht="75.599999999999994" customHeight="1" x14ac:dyDescent="0.4">
      <c r="A102" s="5">
        <v>98</v>
      </c>
      <c r="B102" s="13" t="s">
        <v>193</v>
      </c>
      <c r="C102" s="7" t="s">
        <v>21</v>
      </c>
      <c r="D102" s="8">
        <v>8803463012458</v>
      </c>
      <c r="E102" s="7" t="s">
        <v>451</v>
      </c>
      <c r="F102" s="7"/>
      <c r="G102" s="9" t="s">
        <v>452</v>
      </c>
      <c r="H102" s="9" t="s">
        <v>293</v>
      </c>
      <c r="I102" s="10">
        <v>24000</v>
      </c>
      <c r="J102" s="7" t="s">
        <v>113</v>
      </c>
      <c r="K102" s="29"/>
      <c r="L102" s="29"/>
      <c r="M102" s="17"/>
      <c r="N102" s="17"/>
      <c r="O102" s="17"/>
      <c r="P102" s="15"/>
      <c r="Q102" s="12">
        <v>11740</v>
      </c>
      <c r="R102" s="29"/>
      <c r="S102" s="29">
        <f t="shared" si="5"/>
        <v>0</v>
      </c>
      <c r="T102" s="29">
        <f t="shared" si="4"/>
        <v>0</v>
      </c>
      <c r="U102" s="1"/>
      <c r="V102" s="1"/>
    </row>
    <row r="103" spans="1:22" ht="75.599999999999994" customHeight="1" x14ac:dyDescent="0.4">
      <c r="A103" s="5">
        <v>99</v>
      </c>
      <c r="B103" s="6" t="s">
        <v>48</v>
      </c>
      <c r="C103" s="7" t="s">
        <v>21</v>
      </c>
      <c r="D103" s="8">
        <v>8803463006587</v>
      </c>
      <c r="E103" s="7" t="s">
        <v>453</v>
      </c>
      <c r="F103" s="7"/>
      <c r="G103" s="9" t="s">
        <v>143</v>
      </c>
      <c r="H103" s="9" t="s">
        <v>454</v>
      </c>
      <c r="I103" s="10">
        <v>4000</v>
      </c>
      <c r="J103" s="7" t="s">
        <v>455</v>
      </c>
      <c r="K103" s="29">
        <v>300</v>
      </c>
      <c r="L103" s="29">
        <v>50</v>
      </c>
      <c r="M103" s="17">
        <v>49.5</v>
      </c>
      <c r="N103" s="17">
        <v>41.5</v>
      </c>
      <c r="O103" s="17">
        <v>21.5</v>
      </c>
      <c r="P103" s="15"/>
      <c r="Q103" s="12">
        <v>1770</v>
      </c>
      <c r="R103" s="29"/>
      <c r="S103" s="29">
        <f t="shared" si="5"/>
        <v>0</v>
      </c>
      <c r="T103" s="29">
        <f t="shared" si="4"/>
        <v>0</v>
      </c>
      <c r="U103" s="1"/>
      <c r="V103" s="1"/>
    </row>
    <row r="104" spans="1:22" ht="75.599999999999994" customHeight="1" x14ac:dyDescent="0.4">
      <c r="A104" s="5">
        <v>100</v>
      </c>
      <c r="B104" s="6" t="s">
        <v>48</v>
      </c>
      <c r="C104" s="7" t="s">
        <v>21</v>
      </c>
      <c r="D104" s="8">
        <v>8809695679520</v>
      </c>
      <c r="E104" s="7" t="s">
        <v>456</v>
      </c>
      <c r="F104" s="7"/>
      <c r="G104" s="9" t="s">
        <v>457</v>
      </c>
      <c r="H104" s="9" t="s">
        <v>458</v>
      </c>
      <c r="I104" s="10">
        <v>30000</v>
      </c>
      <c r="J104" s="7" t="s">
        <v>56</v>
      </c>
      <c r="K104" s="29">
        <v>60</v>
      </c>
      <c r="L104" s="29">
        <v>15</v>
      </c>
      <c r="M104" s="17">
        <v>39.5</v>
      </c>
      <c r="N104" s="17">
        <v>24.5</v>
      </c>
      <c r="O104" s="17">
        <v>13</v>
      </c>
      <c r="P104" s="15"/>
      <c r="Q104" s="12">
        <v>14690</v>
      </c>
      <c r="R104" s="29"/>
      <c r="S104" s="29">
        <f t="shared" si="5"/>
        <v>0</v>
      </c>
      <c r="T104" s="29">
        <f t="shared" si="4"/>
        <v>0</v>
      </c>
      <c r="U104" s="1"/>
      <c r="V104" s="1"/>
    </row>
    <row r="105" spans="1:22" ht="75.599999999999994" customHeight="1" x14ac:dyDescent="0.4">
      <c r="A105" s="5">
        <v>101</v>
      </c>
      <c r="B105" s="6" t="s">
        <v>48</v>
      </c>
      <c r="C105" s="7" t="s">
        <v>21</v>
      </c>
      <c r="D105" s="8">
        <v>8809695679537</v>
      </c>
      <c r="E105" s="7" t="s">
        <v>459</v>
      </c>
      <c r="F105" s="7"/>
      <c r="G105" s="9" t="s">
        <v>460</v>
      </c>
      <c r="H105" s="9" t="s">
        <v>461</v>
      </c>
      <c r="I105" s="10">
        <v>36000</v>
      </c>
      <c r="J105" s="7" t="s">
        <v>27</v>
      </c>
      <c r="K105" s="29">
        <v>72</v>
      </c>
      <c r="L105" s="29">
        <v>12</v>
      </c>
      <c r="M105" s="17">
        <v>46.5</v>
      </c>
      <c r="N105" s="17">
        <v>22.5</v>
      </c>
      <c r="O105" s="17">
        <v>23.5</v>
      </c>
      <c r="P105" s="15"/>
      <c r="Q105" s="12">
        <v>17620</v>
      </c>
      <c r="R105" s="29"/>
      <c r="S105" s="29">
        <f t="shared" si="5"/>
        <v>0</v>
      </c>
      <c r="T105" s="29">
        <f t="shared" si="4"/>
        <v>0</v>
      </c>
      <c r="U105" s="1"/>
      <c r="V105" s="1"/>
    </row>
    <row r="106" spans="1:22" ht="75.599999999999994" customHeight="1" x14ac:dyDescent="0.4">
      <c r="A106" s="5">
        <v>102</v>
      </c>
      <c r="B106" s="6" t="s">
        <v>48</v>
      </c>
      <c r="C106" s="7" t="s">
        <v>21</v>
      </c>
      <c r="D106" s="8">
        <v>8809695679544</v>
      </c>
      <c r="E106" s="7" t="s">
        <v>462</v>
      </c>
      <c r="F106" s="14"/>
      <c r="G106" s="9" t="s">
        <v>463</v>
      </c>
      <c r="H106" s="9" t="s">
        <v>464</v>
      </c>
      <c r="I106" s="10">
        <v>27000</v>
      </c>
      <c r="J106" s="7" t="s">
        <v>239</v>
      </c>
      <c r="K106" s="29">
        <v>96</v>
      </c>
      <c r="L106" s="29">
        <v>24</v>
      </c>
      <c r="M106" s="17">
        <v>39.5</v>
      </c>
      <c r="N106" s="17">
        <v>19.5</v>
      </c>
      <c r="O106" s="17">
        <v>19</v>
      </c>
      <c r="P106" s="15"/>
      <c r="Q106" s="12">
        <v>13220</v>
      </c>
      <c r="R106" s="29"/>
      <c r="S106" s="29">
        <f t="shared" si="5"/>
        <v>0</v>
      </c>
      <c r="T106" s="29">
        <f t="shared" si="4"/>
        <v>0</v>
      </c>
      <c r="U106" s="1"/>
      <c r="V106" s="1"/>
    </row>
    <row r="107" spans="1:22" ht="75.599999999999994" customHeight="1" x14ac:dyDescent="0.4">
      <c r="A107" s="5">
        <v>103</v>
      </c>
      <c r="B107" s="49" t="s">
        <v>178</v>
      </c>
      <c r="C107" s="7" t="s">
        <v>21</v>
      </c>
      <c r="D107" s="8">
        <v>8803463008376</v>
      </c>
      <c r="E107" s="7" t="s">
        <v>173</v>
      </c>
      <c r="F107" s="14"/>
      <c r="G107" s="9" t="s">
        <v>175</v>
      </c>
      <c r="H107" s="9" t="s">
        <v>465</v>
      </c>
      <c r="I107" s="10">
        <v>23000</v>
      </c>
      <c r="J107" s="7" t="s">
        <v>39</v>
      </c>
      <c r="K107" s="16">
        <v>60</v>
      </c>
      <c r="L107" s="16">
        <v>15</v>
      </c>
      <c r="M107" s="17">
        <v>44</v>
      </c>
      <c r="N107" s="17">
        <v>28</v>
      </c>
      <c r="O107" s="17">
        <v>20</v>
      </c>
      <c r="P107" s="15"/>
      <c r="Q107" s="12">
        <v>9720</v>
      </c>
      <c r="R107" s="29"/>
      <c r="S107" s="29">
        <f t="shared" si="5"/>
        <v>0</v>
      </c>
      <c r="T107" s="29">
        <f t="shared" si="4"/>
        <v>0</v>
      </c>
      <c r="U107" s="1"/>
      <c r="V107" s="1"/>
    </row>
    <row r="108" spans="1:22" ht="75.599999999999994" customHeight="1" x14ac:dyDescent="0.4">
      <c r="A108" s="5">
        <v>104</v>
      </c>
      <c r="B108" s="49" t="s">
        <v>178</v>
      </c>
      <c r="C108" s="7" t="s">
        <v>21</v>
      </c>
      <c r="D108" s="8">
        <v>8803463008383</v>
      </c>
      <c r="E108" s="7" t="s">
        <v>174</v>
      </c>
      <c r="F108" s="14"/>
      <c r="G108" s="9" t="s">
        <v>176</v>
      </c>
      <c r="H108" s="9" t="s">
        <v>466</v>
      </c>
      <c r="I108" s="10">
        <v>25000</v>
      </c>
      <c r="J108" s="7" t="s">
        <v>39</v>
      </c>
      <c r="K108" s="16">
        <v>48</v>
      </c>
      <c r="L108" s="16">
        <v>12</v>
      </c>
      <c r="M108" s="17">
        <v>46</v>
      </c>
      <c r="N108" s="17">
        <v>32</v>
      </c>
      <c r="O108" s="17">
        <v>16</v>
      </c>
      <c r="P108" s="15"/>
      <c r="Q108" s="12">
        <v>10570</v>
      </c>
      <c r="R108" s="29"/>
      <c r="S108" s="29">
        <f t="shared" si="5"/>
        <v>0</v>
      </c>
      <c r="T108" s="29">
        <f t="shared" si="4"/>
        <v>0</v>
      </c>
      <c r="U108" s="1"/>
      <c r="V108" s="1"/>
    </row>
    <row r="109" spans="1:22" ht="75.599999999999994" customHeight="1" x14ac:dyDescent="0.4">
      <c r="A109" s="5">
        <v>105</v>
      </c>
      <c r="B109" s="49" t="s">
        <v>178</v>
      </c>
      <c r="C109" s="7" t="s">
        <v>21</v>
      </c>
      <c r="D109" s="18">
        <v>8803463010300</v>
      </c>
      <c r="E109" s="13" t="s">
        <v>467</v>
      </c>
      <c r="F109" s="13"/>
      <c r="G109" s="20" t="s">
        <v>468</v>
      </c>
      <c r="H109" s="20" t="s">
        <v>469</v>
      </c>
      <c r="I109" s="10">
        <v>20000</v>
      </c>
      <c r="J109" s="13" t="s">
        <v>24</v>
      </c>
      <c r="K109" s="28">
        <v>54</v>
      </c>
      <c r="L109" s="28">
        <v>12</v>
      </c>
      <c r="M109" s="48">
        <v>54</v>
      </c>
      <c r="N109" s="48">
        <v>20</v>
      </c>
      <c r="O109" s="48">
        <v>19</v>
      </c>
      <c r="P109" s="48"/>
      <c r="Q109" s="12">
        <v>8450</v>
      </c>
      <c r="R109" s="29"/>
      <c r="S109" s="29">
        <f t="shared" si="5"/>
        <v>0</v>
      </c>
      <c r="T109" s="29">
        <f t="shared" si="4"/>
        <v>0</v>
      </c>
      <c r="U109" s="1"/>
      <c r="V109" s="1"/>
    </row>
    <row r="110" spans="1:22" ht="75.599999999999994" customHeight="1" x14ac:dyDescent="0.4">
      <c r="A110" s="5">
        <v>106</v>
      </c>
      <c r="B110" s="49" t="s">
        <v>178</v>
      </c>
      <c r="C110" s="7" t="s">
        <v>21</v>
      </c>
      <c r="D110" s="18">
        <v>8803463008390</v>
      </c>
      <c r="E110" s="13" t="s">
        <v>470</v>
      </c>
      <c r="F110" s="13"/>
      <c r="G110" s="20" t="s">
        <v>177</v>
      </c>
      <c r="H110" s="20" t="s">
        <v>471</v>
      </c>
      <c r="I110" s="10">
        <v>2000</v>
      </c>
      <c r="J110" s="13" t="s">
        <v>472</v>
      </c>
      <c r="K110" s="34">
        <v>40</v>
      </c>
      <c r="L110" s="34"/>
      <c r="M110" s="34">
        <v>49.5</v>
      </c>
      <c r="N110" s="34">
        <v>42</v>
      </c>
      <c r="O110" s="34">
        <v>22</v>
      </c>
      <c r="P110" s="34"/>
      <c r="Q110" s="12">
        <v>880</v>
      </c>
      <c r="R110" s="29"/>
      <c r="S110" s="29">
        <f t="shared" si="5"/>
        <v>0</v>
      </c>
      <c r="T110" s="29">
        <f t="shared" si="4"/>
        <v>0</v>
      </c>
      <c r="U110" s="1"/>
      <c r="V110" s="1"/>
    </row>
    <row r="111" spans="1:22" ht="75.599999999999994" customHeight="1" x14ac:dyDescent="0.4">
      <c r="A111" s="5">
        <v>107</v>
      </c>
      <c r="B111" s="50" t="s">
        <v>90</v>
      </c>
      <c r="C111" s="7" t="s">
        <v>21</v>
      </c>
      <c r="D111" s="18">
        <v>8803463003470</v>
      </c>
      <c r="E111" s="33" t="s">
        <v>473</v>
      </c>
      <c r="F111" s="13"/>
      <c r="G111" s="20" t="s">
        <v>474</v>
      </c>
      <c r="H111" s="20" t="s">
        <v>475</v>
      </c>
      <c r="I111" s="10">
        <v>4000</v>
      </c>
      <c r="J111" s="13" t="s">
        <v>30</v>
      </c>
      <c r="K111" s="28">
        <v>12</v>
      </c>
      <c r="L111" s="28"/>
      <c r="M111" s="48">
        <v>34.1</v>
      </c>
      <c r="N111" s="48">
        <v>28.1</v>
      </c>
      <c r="O111" s="48">
        <v>22.2</v>
      </c>
      <c r="P111" s="48"/>
      <c r="Q111" s="12">
        <v>1690</v>
      </c>
      <c r="R111" s="29"/>
      <c r="S111" s="29">
        <f t="shared" si="5"/>
        <v>0</v>
      </c>
      <c r="T111" s="29">
        <f t="shared" si="4"/>
        <v>0</v>
      </c>
      <c r="U111" s="1"/>
      <c r="V111" s="1"/>
    </row>
    <row r="112" spans="1:22" ht="75.599999999999994" customHeight="1" x14ac:dyDescent="0.4">
      <c r="A112" s="5">
        <v>108</v>
      </c>
      <c r="B112" s="50" t="s">
        <v>90</v>
      </c>
      <c r="C112" s="7" t="s">
        <v>21</v>
      </c>
      <c r="D112" s="8">
        <v>8809695677243</v>
      </c>
      <c r="E112" s="7" t="s">
        <v>476</v>
      </c>
      <c r="F112" s="7"/>
      <c r="G112" s="9" t="s">
        <v>92</v>
      </c>
      <c r="H112" s="9" t="s">
        <v>477</v>
      </c>
      <c r="I112" s="10">
        <v>25000</v>
      </c>
      <c r="J112" s="26" t="s">
        <v>56</v>
      </c>
      <c r="K112" s="11">
        <v>150</v>
      </c>
      <c r="L112" s="11"/>
      <c r="M112" s="11">
        <v>49</v>
      </c>
      <c r="N112" s="11">
        <v>26</v>
      </c>
      <c r="O112" s="11">
        <v>17.5</v>
      </c>
      <c r="P112" s="11"/>
      <c r="Q112" s="12">
        <v>10570</v>
      </c>
      <c r="R112" s="29"/>
      <c r="S112" s="29">
        <f t="shared" si="5"/>
        <v>0</v>
      </c>
      <c r="T112" s="29">
        <f t="shared" si="4"/>
        <v>0</v>
      </c>
      <c r="U112" s="1"/>
      <c r="V112" s="1"/>
    </row>
    <row r="113" spans="1:22" ht="75.599999999999994" customHeight="1" x14ac:dyDescent="0.4">
      <c r="A113" s="5">
        <v>109</v>
      </c>
      <c r="B113" s="50" t="s">
        <v>90</v>
      </c>
      <c r="C113" s="7" t="s">
        <v>21</v>
      </c>
      <c r="D113" s="8">
        <v>8809695677236</v>
      </c>
      <c r="E113" s="7" t="s">
        <v>93</v>
      </c>
      <c r="F113" s="7"/>
      <c r="G113" s="9" t="s">
        <v>94</v>
      </c>
      <c r="H113" s="9" t="s">
        <v>478</v>
      </c>
      <c r="I113" s="10">
        <v>30000</v>
      </c>
      <c r="J113" s="26" t="s">
        <v>56</v>
      </c>
      <c r="K113" s="11">
        <v>72</v>
      </c>
      <c r="L113" s="11"/>
      <c r="M113" s="11">
        <v>51</v>
      </c>
      <c r="N113" s="11">
        <v>26</v>
      </c>
      <c r="O113" s="11">
        <v>15.5</v>
      </c>
      <c r="P113" s="11"/>
      <c r="Q113" s="12">
        <v>12680</v>
      </c>
      <c r="R113" s="29"/>
      <c r="S113" s="29">
        <f t="shared" si="5"/>
        <v>0</v>
      </c>
      <c r="T113" s="29">
        <f t="shared" si="4"/>
        <v>0</v>
      </c>
      <c r="U113" s="1"/>
      <c r="V113" s="1"/>
    </row>
    <row r="114" spans="1:22" ht="75.599999999999994" customHeight="1" x14ac:dyDescent="0.4">
      <c r="A114" s="5">
        <v>110</v>
      </c>
      <c r="B114" s="50" t="s">
        <v>90</v>
      </c>
      <c r="C114" s="7" t="s">
        <v>21</v>
      </c>
      <c r="D114" s="8">
        <v>8809695679278</v>
      </c>
      <c r="E114" s="7" t="s">
        <v>479</v>
      </c>
      <c r="F114" s="7"/>
      <c r="G114" s="9" t="s">
        <v>480</v>
      </c>
      <c r="H114" s="9" t="s">
        <v>481</v>
      </c>
      <c r="I114" s="10">
        <v>39000</v>
      </c>
      <c r="J114" s="26" t="s">
        <v>56</v>
      </c>
      <c r="K114" s="11">
        <v>60</v>
      </c>
      <c r="L114" s="11">
        <v>15</v>
      </c>
      <c r="M114" s="11">
        <v>39.5</v>
      </c>
      <c r="N114" s="11">
        <v>24.5</v>
      </c>
      <c r="O114" s="11">
        <v>13</v>
      </c>
      <c r="P114" s="11"/>
      <c r="Q114" s="12">
        <v>16490</v>
      </c>
      <c r="R114" s="29"/>
      <c r="S114" s="29">
        <f t="shared" si="5"/>
        <v>0</v>
      </c>
      <c r="T114" s="29">
        <f t="shared" si="4"/>
        <v>0</v>
      </c>
      <c r="U114" s="1"/>
      <c r="V114" s="1"/>
    </row>
    <row r="115" spans="1:22" ht="75.599999999999994" customHeight="1" x14ac:dyDescent="0.4">
      <c r="A115" s="5">
        <v>111</v>
      </c>
      <c r="B115" s="50" t="s">
        <v>90</v>
      </c>
      <c r="C115" s="7" t="s">
        <v>21</v>
      </c>
      <c r="D115" s="8">
        <v>8809695679285</v>
      </c>
      <c r="E115" s="7" t="s">
        <v>482</v>
      </c>
      <c r="F115" s="7"/>
      <c r="G115" s="9" t="s">
        <v>483</v>
      </c>
      <c r="H115" s="9" t="s">
        <v>484</v>
      </c>
      <c r="I115" s="10">
        <v>48000</v>
      </c>
      <c r="J115" s="26" t="s">
        <v>56</v>
      </c>
      <c r="K115" s="11">
        <v>60</v>
      </c>
      <c r="L115" s="11">
        <v>15</v>
      </c>
      <c r="M115" s="11">
        <v>39.5</v>
      </c>
      <c r="N115" s="11">
        <v>24.5</v>
      </c>
      <c r="O115" s="11">
        <v>13</v>
      </c>
      <c r="P115" s="11"/>
      <c r="Q115" s="12">
        <v>20280</v>
      </c>
      <c r="R115" s="29"/>
      <c r="S115" s="29">
        <f t="shared" si="5"/>
        <v>0</v>
      </c>
      <c r="T115" s="29">
        <f t="shared" si="4"/>
        <v>0</v>
      </c>
      <c r="U115" s="1"/>
      <c r="V115" s="1"/>
    </row>
    <row r="116" spans="1:22" ht="75.599999999999994" customHeight="1" x14ac:dyDescent="0.4">
      <c r="A116" s="5">
        <v>112</v>
      </c>
      <c r="B116" s="50" t="s">
        <v>90</v>
      </c>
      <c r="C116" s="7" t="s">
        <v>21</v>
      </c>
      <c r="D116" s="18">
        <v>8809695679292</v>
      </c>
      <c r="E116" s="13" t="s">
        <v>485</v>
      </c>
      <c r="F116" s="44"/>
      <c r="G116" s="20" t="s">
        <v>486</v>
      </c>
      <c r="H116" s="20" t="s">
        <v>487</v>
      </c>
      <c r="I116" s="10">
        <v>66000</v>
      </c>
      <c r="J116" s="13" t="s">
        <v>56</v>
      </c>
      <c r="K116" s="28">
        <v>60</v>
      </c>
      <c r="L116" s="28">
        <v>15</v>
      </c>
      <c r="M116" s="48">
        <v>39.5</v>
      </c>
      <c r="N116" s="48">
        <v>24.5</v>
      </c>
      <c r="O116" s="48">
        <v>13</v>
      </c>
      <c r="P116" s="48"/>
      <c r="Q116" s="12">
        <v>27900</v>
      </c>
      <c r="R116" s="29"/>
      <c r="S116" s="29">
        <f t="shared" si="5"/>
        <v>0</v>
      </c>
      <c r="T116" s="29">
        <f t="shared" si="4"/>
        <v>0</v>
      </c>
      <c r="U116" s="1"/>
      <c r="V116" s="1"/>
    </row>
    <row r="117" spans="1:22" ht="75.599999999999994" customHeight="1" x14ac:dyDescent="0.4">
      <c r="A117" s="5">
        <v>113</v>
      </c>
      <c r="B117" s="50" t="s">
        <v>90</v>
      </c>
      <c r="C117" s="7" t="s">
        <v>21</v>
      </c>
      <c r="D117" s="18">
        <v>8809695678288</v>
      </c>
      <c r="E117" s="13" t="s">
        <v>95</v>
      </c>
      <c r="F117" s="44"/>
      <c r="G117" s="20" t="s">
        <v>488</v>
      </c>
      <c r="H117" s="20" t="s">
        <v>489</v>
      </c>
      <c r="I117" s="10">
        <v>7000</v>
      </c>
      <c r="J117" s="13" t="s">
        <v>490</v>
      </c>
      <c r="K117" s="28">
        <v>84</v>
      </c>
      <c r="L117" s="28">
        <v>21</v>
      </c>
      <c r="M117" s="48">
        <v>53.3</v>
      </c>
      <c r="N117" s="48">
        <v>34.6</v>
      </c>
      <c r="O117" s="48">
        <v>24.2</v>
      </c>
      <c r="P117" s="48"/>
      <c r="Q117" s="12">
        <v>3290</v>
      </c>
      <c r="R117" s="29"/>
      <c r="S117" s="29">
        <f t="shared" si="5"/>
        <v>0</v>
      </c>
      <c r="T117" s="29">
        <f t="shared" si="4"/>
        <v>0</v>
      </c>
      <c r="U117" s="1"/>
      <c r="V117" s="1"/>
    </row>
    <row r="118" spans="1:22" ht="75.599999999999994" customHeight="1" x14ac:dyDescent="0.4">
      <c r="A118" s="5">
        <v>114</v>
      </c>
      <c r="B118" s="50" t="s">
        <v>90</v>
      </c>
      <c r="C118" s="7" t="s">
        <v>21</v>
      </c>
      <c r="D118" s="18">
        <v>8809695678028</v>
      </c>
      <c r="E118" s="13" t="s">
        <v>491</v>
      </c>
      <c r="F118" s="7"/>
      <c r="G118" s="20" t="s">
        <v>91</v>
      </c>
      <c r="H118" s="20" t="s">
        <v>492</v>
      </c>
      <c r="I118" s="10">
        <v>24000</v>
      </c>
      <c r="J118" s="7" t="s">
        <v>30</v>
      </c>
      <c r="K118" s="29">
        <v>12</v>
      </c>
      <c r="L118" s="29"/>
      <c r="M118" s="15">
        <v>34.1</v>
      </c>
      <c r="N118" s="15">
        <v>28.1</v>
      </c>
      <c r="O118" s="15">
        <v>22.2</v>
      </c>
      <c r="P118" s="11"/>
      <c r="Q118" s="12">
        <v>11740</v>
      </c>
      <c r="R118" s="29"/>
      <c r="S118" s="29">
        <f t="shared" si="5"/>
        <v>0</v>
      </c>
      <c r="T118" s="29">
        <f t="shared" si="4"/>
        <v>0</v>
      </c>
      <c r="U118" s="1"/>
      <c r="V118" s="1"/>
    </row>
    <row r="119" spans="1:22" ht="75.599999999999994" customHeight="1" x14ac:dyDescent="0.4">
      <c r="A119" s="5">
        <v>115</v>
      </c>
      <c r="B119" s="7" t="s">
        <v>117</v>
      </c>
      <c r="C119" s="7" t="s">
        <v>21</v>
      </c>
      <c r="D119" s="18">
        <v>8803463011567</v>
      </c>
      <c r="E119" s="13" t="s">
        <v>493</v>
      </c>
      <c r="F119" s="7"/>
      <c r="G119" s="20" t="s">
        <v>270</v>
      </c>
      <c r="H119" s="20" t="s">
        <v>271</v>
      </c>
      <c r="I119" s="10">
        <v>21000</v>
      </c>
      <c r="J119" s="51" t="s">
        <v>272</v>
      </c>
      <c r="K119" s="16">
        <v>24</v>
      </c>
      <c r="L119" s="16">
        <v>6</v>
      </c>
      <c r="M119" s="17">
        <v>42</v>
      </c>
      <c r="N119" s="17">
        <v>32</v>
      </c>
      <c r="O119" s="17">
        <v>20</v>
      </c>
      <c r="P119" s="15"/>
      <c r="Q119" s="12">
        <v>9880</v>
      </c>
      <c r="R119" s="29"/>
      <c r="S119" s="29">
        <f t="shared" si="5"/>
        <v>0</v>
      </c>
      <c r="T119" s="29">
        <f t="shared" si="4"/>
        <v>0</v>
      </c>
      <c r="U119" s="1"/>
      <c r="V119" s="1"/>
    </row>
    <row r="120" spans="1:22" ht="75.599999999999994" customHeight="1" x14ac:dyDescent="0.4">
      <c r="A120" s="5">
        <v>116</v>
      </c>
      <c r="B120" s="7" t="s">
        <v>117</v>
      </c>
      <c r="C120" s="7" t="s">
        <v>21</v>
      </c>
      <c r="D120" s="18">
        <v>8803463011550</v>
      </c>
      <c r="E120" s="13" t="s">
        <v>494</v>
      </c>
      <c r="F120" s="24"/>
      <c r="G120" s="20" t="s">
        <v>273</v>
      </c>
      <c r="H120" s="20" t="s">
        <v>274</v>
      </c>
      <c r="I120" s="10">
        <v>22000</v>
      </c>
      <c r="J120" s="15" t="s">
        <v>275</v>
      </c>
      <c r="K120" s="11">
        <v>36</v>
      </c>
      <c r="L120" s="11">
        <v>6</v>
      </c>
      <c r="M120" s="11">
        <v>55</v>
      </c>
      <c r="N120" s="11">
        <v>26</v>
      </c>
      <c r="O120" s="11">
        <v>20</v>
      </c>
      <c r="P120" s="11"/>
      <c r="Q120" s="12">
        <v>10350</v>
      </c>
      <c r="R120" s="29"/>
      <c r="S120" s="29">
        <f t="shared" si="5"/>
        <v>0</v>
      </c>
      <c r="T120" s="29">
        <f t="shared" si="4"/>
        <v>0</v>
      </c>
      <c r="U120" s="1"/>
      <c r="V120" s="1"/>
    </row>
    <row r="121" spans="1:22" ht="75.599999999999994" customHeight="1" x14ac:dyDescent="0.4">
      <c r="A121" s="5">
        <v>117</v>
      </c>
      <c r="B121" s="7" t="s">
        <v>117</v>
      </c>
      <c r="C121" s="7" t="s">
        <v>21</v>
      </c>
      <c r="D121" s="18">
        <v>8803463012113</v>
      </c>
      <c r="E121" s="13" t="s">
        <v>495</v>
      </c>
      <c r="F121" s="7"/>
      <c r="G121" s="20" t="s">
        <v>282</v>
      </c>
      <c r="H121" s="20" t="s">
        <v>283</v>
      </c>
      <c r="I121" s="10">
        <v>25000</v>
      </c>
      <c r="J121" s="7" t="s">
        <v>27</v>
      </c>
      <c r="K121" s="11">
        <v>72</v>
      </c>
      <c r="L121" s="11">
        <v>12</v>
      </c>
      <c r="M121" s="11">
        <v>35</v>
      </c>
      <c r="N121" s="11">
        <v>26</v>
      </c>
      <c r="O121" s="11">
        <v>17</v>
      </c>
      <c r="P121" s="11"/>
      <c r="Q121" s="12">
        <v>9850</v>
      </c>
      <c r="R121" s="29"/>
      <c r="S121" s="29">
        <f t="shared" si="5"/>
        <v>0</v>
      </c>
      <c r="T121" s="29">
        <f t="shared" si="4"/>
        <v>0</v>
      </c>
      <c r="U121" s="1"/>
      <c r="V121" s="1"/>
    </row>
    <row r="122" spans="1:22" ht="75.599999999999994" customHeight="1" x14ac:dyDescent="0.4">
      <c r="A122" s="5">
        <v>118</v>
      </c>
      <c r="B122" s="6" t="s">
        <v>48</v>
      </c>
      <c r="C122" s="7" t="s">
        <v>21</v>
      </c>
      <c r="D122" s="18">
        <v>8803463010171</v>
      </c>
      <c r="E122" s="13" t="s">
        <v>496</v>
      </c>
      <c r="F122" s="7"/>
      <c r="G122" s="20" t="s">
        <v>294</v>
      </c>
      <c r="H122" s="20" t="s">
        <v>295</v>
      </c>
      <c r="I122" s="10">
        <v>39000</v>
      </c>
      <c r="J122" s="45" t="s">
        <v>497</v>
      </c>
      <c r="K122" s="29">
        <v>24</v>
      </c>
      <c r="L122" s="29">
        <v>4</v>
      </c>
      <c r="M122" s="52">
        <v>48</v>
      </c>
      <c r="N122" s="52">
        <v>28</v>
      </c>
      <c r="O122" s="52">
        <v>20</v>
      </c>
      <c r="P122" s="15"/>
      <c r="Q122" s="12">
        <v>17230</v>
      </c>
      <c r="R122" s="29"/>
      <c r="S122" s="29">
        <f t="shared" si="5"/>
        <v>0</v>
      </c>
      <c r="T122" s="29">
        <f t="shared" si="4"/>
        <v>0</v>
      </c>
      <c r="U122" s="1"/>
      <c r="V122" s="1"/>
    </row>
    <row r="123" spans="1:22" ht="75.599999999999994" customHeight="1" x14ac:dyDescent="0.4">
      <c r="A123" s="5">
        <v>119</v>
      </c>
      <c r="B123" s="6" t="s">
        <v>48</v>
      </c>
      <c r="C123" s="7" t="s">
        <v>21</v>
      </c>
      <c r="D123" s="18">
        <v>8803463010164</v>
      </c>
      <c r="E123" s="13" t="s">
        <v>498</v>
      </c>
      <c r="F123" s="7"/>
      <c r="G123" s="20" t="s">
        <v>296</v>
      </c>
      <c r="H123" s="20" t="s">
        <v>297</v>
      </c>
      <c r="I123" s="10">
        <v>49000</v>
      </c>
      <c r="J123" s="45" t="s">
        <v>499</v>
      </c>
      <c r="K123" s="29">
        <v>24</v>
      </c>
      <c r="L123" s="29">
        <v>4</v>
      </c>
      <c r="M123" s="52">
        <v>48</v>
      </c>
      <c r="N123" s="52">
        <v>28</v>
      </c>
      <c r="O123" s="52">
        <v>20</v>
      </c>
      <c r="P123" s="11"/>
      <c r="Q123" s="12">
        <v>21640</v>
      </c>
      <c r="R123" s="29"/>
      <c r="S123" s="29">
        <f t="shared" si="5"/>
        <v>0</v>
      </c>
      <c r="T123" s="29">
        <f t="shared" si="4"/>
        <v>0</v>
      </c>
      <c r="U123" s="1"/>
      <c r="V123" s="1"/>
    </row>
    <row r="124" spans="1:22" ht="75.599999999999994" customHeight="1" x14ac:dyDescent="0.4">
      <c r="A124" s="5">
        <v>120</v>
      </c>
      <c r="B124" s="53" t="s">
        <v>136</v>
      </c>
      <c r="C124" s="7" t="s">
        <v>21</v>
      </c>
      <c r="D124" s="18">
        <v>8803463007768</v>
      </c>
      <c r="E124" s="13" t="s">
        <v>137</v>
      </c>
      <c r="F124" s="7"/>
      <c r="G124" s="20" t="s">
        <v>132</v>
      </c>
      <c r="H124" s="20" t="s">
        <v>500</v>
      </c>
      <c r="I124" s="10">
        <v>23000</v>
      </c>
      <c r="J124" s="51" t="s">
        <v>24</v>
      </c>
      <c r="K124" s="16">
        <v>48</v>
      </c>
      <c r="L124" s="16">
        <v>19</v>
      </c>
      <c r="M124" s="17">
        <v>40</v>
      </c>
      <c r="N124" s="17">
        <v>31</v>
      </c>
      <c r="O124" s="17">
        <v>21</v>
      </c>
      <c r="P124" s="15"/>
      <c r="Q124" s="12">
        <v>10160</v>
      </c>
      <c r="R124" s="29"/>
      <c r="S124" s="29">
        <f t="shared" si="5"/>
        <v>0</v>
      </c>
      <c r="T124" s="29">
        <f t="shared" si="4"/>
        <v>0</v>
      </c>
      <c r="U124" s="1"/>
      <c r="V124" s="1"/>
    </row>
    <row r="125" spans="1:22" ht="75.599999999999994" customHeight="1" x14ac:dyDescent="0.4">
      <c r="A125" s="5">
        <v>121</v>
      </c>
      <c r="B125" s="53" t="s">
        <v>136</v>
      </c>
      <c r="C125" s="7" t="s">
        <v>21</v>
      </c>
      <c r="D125" s="18">
        <v>8803463007454</v>
      </c>
      <c r="E125" s="13" t="s">
        <v>138</v>
      </c>
      <c r="F125" s="7"/>
      <c r="G125" s="20" t="s">
        <v>133</v>
      </c>
      <c r="H125" s="20" t="s">
        <v>501</v>
      </c>
      <c r="I125" s="10">
        <v>28000</v>
      </c>
      <c r="J125" s="7" t="s">
        <v>56</v>
      </c>
      <c r="K125" s="11">
        <v>48</v>
      </c>
      <c r="L125" s="11">
        <v>12</v>
      </c>
      <c r="M125" s="11">
        <v>15</v>
      </c>
      <c r="N125" s="11">
        <v>11</v>
      </c>
      <c r="O125" s="11">
        <v>15</v>
      </c>
      <c r="P125" s="11"/>
      <c r="Q125" s="12">
        <v>12370</v>
      </c>
      <c r="R125" s="29"/>
      <c r="S125" s="29">
        <f t="shared" si="5"/>
        <v>0</v>
      </c>
      <c r="T125" s="29">
        <f t="shared" si="4"/>
        <v>0</v>
      </c>
      <c r="U125" s="1"/>
      <c r="V125" s="1"/>
    </row>
    <row r="126" spans="1:22" ht="75.599999999999994" customHeight="1" x14ac:dyDescent="0.4">
      <c r="A126" s="5">
        <v>122</v>
      </c>
      <c r="B126" s="53" t="s">
        <v>136</v>
      </c>
      <c r="C126" s="7" t="s">
        <v>21</v>
      </c>
      <c r="D126" s="18">
        <v>883463007478</v>
      </c>
      <c r="E126" s="13" t="s">
        <v>139</v>
      </c>
      <c r="F126" s="7"/>
      <c r="G126" s="20" t="s">
        <v>134</v>
      </c>
      <c r="H126" s="20" t="s">
        <v>502</v>
      </c>
      <c r="I126" s="10">
        <v>32000</v>
      </c>
      <c r="J126" s="51" t="s">
        <v>56</v>
      </c>
      <c r="K126" s="16">
        <v>48</v>
      </c>
      <c r="L126" s="16">
        <v>12</v>
      </c>
      <c r="M126" s="17">
        <v>15</v>
      </c>
      <c r="N126" s="17">
        <v>11</v>
      </c>
      <c r="O126" s="17">
        <v>15</v>
      </c>
      <c r="P126" s="15"/>
      <c r="Q126" s="12">
        <v>14140</v>
      </c>
      <c r="R126" s="29"/>
      <c r="S126" s="29">
        <f t="shared" si="5"/>
        <v>0</v>
      </c>
      <c r="T126" s="29">
        <f t="shared" si="4"/>
        <v>0</v>
      </c>
      <c r="U126" s="1"/>
      <c r="V126" s="1"/>
    </row>
    <row r="127" spans="1:22" ht="75.599999999999994" customHeight="1" x14ac:dyDescent="0.4">
      <c r="A127" s="5">
        <v>123</v>
      </c>
      <c r="B127" s="53" t="s">
        <v>136</v>
      </c>
      <c r="C127" s="7" t="s">
        <v>21</v>
      </c>
      <c r="D127" s="18">
        <v>8803463007782</v>
      </c>
      <c r="E127" s="13" t="s">
        <v>140</v>
      </c>
      <c r="F127" s="7"/>
      <c r="G127" s="20" t="s">
        <v>135</v>
      </c>
      <c r="H127" s="20" t="s">
        <v>503</v>
      </c>
      <c r="I127" s="10">
        <v>32000</v>
      </c>
      <c r="J127" s="7" t="s">
        <v>27</v>
      </c>
      <c r="K127" s="11">
        <v>72</v>
      </c>
      <c r="L127" s="11">
        <v>12</v>
      </c>
      <c r="M127" s="11">
        <v>51.5</v>
      </c>
      <c r="N127" s="11">
        <v>23</v>
      </c>
      <c r="O127" s="11">
        <v>18.5</v>
      </c>
      <c r="P127" s="11"/>
      <c r="Q127" s="12">
        <v>14140</v>
      </c>
      <c r="R127" s="29"/>
      <c r="S127" s="29">
        <f t="shared" si="5"/>
        <v>0</v>
      </c>
      <c r="T127" s="29">
        <f t="shared" si="4"/>
        <v>0</v>
      </c>
      <c r="U127" s="1"/>
      <c r="V127" s="1"/>
    </row>
    <row r="128" spans="1:22" ht="75.599999999999994" customHeight="1" x14ac:dyDescent="0.4">
      <c r="A128" s="5">
        <v>124</v>
      </c>
      <c r="B128" s="53" t="s">
        <v>136</v>
      </c>
      <c r="C128" s="7" t="s">
        <v>21</v>
      </c>
      <c r="D128" s="18">
        <v>8803463007485</v>
      </c>
      <c r="E128" s="13" t="s">
        <v>141</v>
      </c>
      <c r="F128" s="7"/>
      <c r="G128" s="20" t="s">
        <v>504</v>
      </c>
      <c r="H128" s="20" t="s">
        <v>505</v>
      </c>
      <c r="I128" s="10">
        <v>3000</v>
      </c>
      <c r="J128" s="51" t="s">
        <v>98</v>
      </c>
      <c r="K128" s="16">
        <v>12</v>
      </c>
      <c r="L128" s="16"/>
      <c r="M128" s="17">
        <v>33</v>
      </c>
      <c r="N128" s="17">
        <v>28</v>
      </c>
      <c r="O128" s="17">
        <v>22</v>
      </c>
      <c r="P128" s="15"/>
      <c r="Q128" s="12">
        <v>1410</v>
      </c>
      <c r="R128" s="29"/>
      <c r="S128" s="29">
        <f t="shared" si="5"/>
        <v>0</v>
      </c>
      <c r="T128" s="29">
        <f t="shared" si="4"/>
        <v>0</v>
      </c>
      <c r="U128" s="1"/>
      <c r="V128" s="1"/>
    </row>
    <row r="129" spans="1:22" ht="75.599999999999994" customHeight="1" x14ac:dyDescent="0.4">
      <c r="A129" s="5">
        <v>125</v>
      </c>
      <c r="B129" s="53" t="s">
        <v>136</v>
      </c>
      <c r="C129" s="7" t="s">
        <v>21</v>
      </c>
      <c r="D129" s="18">
        <v>8803463007737</v>
      </c>
      <c r="E129" s="13" t="s">
        <v>142</v>
      </c>
      <c r="F129" s="7"/>
      <c r="G129" s="20" t="s">
        <v>506</v>
      </c>
      <c r="H129" s="20" t="s">
        <v>507</v>
      </c>
      <c r="I129" s="10">
        <v>26000</v>
      </c>
      <c r="J129" s="7" t="s">
        <v>508</v>
      </c>
      <c r="K129" s="11">
        <v>420</v>
      </c>
      <c r="L129" s="11">
        <v>70</v>
      </c>
      <c r="M129" s="11">
        <v>50</v>
      </c>
      <c r="N129" s="11">
        <v>42</v>
      </c>
      <c r="O129" s="11">
        <v>22</v>
      </c>
      <c r="P129" s="11"/>
      <c r="Q129" s="12">
        <v>13460</v>
      </c>
      <c r="R129" s="29"/>
      <c r="S129" s="29">
        <f t="shared" si="5"/>
        <v>0</v>
      </c>
      <c r="T129" s="29">
        <f t="shared" si="4"/>
        <v>0</v>
      </c>
      <c r="U129" s="1"/>
      <c r="V129" s="1"/>
    </row>
    <row r="130" spans="1:22" ht="75.599999999999994" customHeight="1" x14ac:dyDescent="0.4">
      <c r="A130" s="5">
        <v>126</v>
      </c>
      <c r="B130" s="54" t="s">
        <v>22</v>
      </c>
      <c r="C130" s="7" t="s">
        <v>21</v>
      </c>
      <c r="D130" s="18">
        <v>8809695674181</v>
      </c>
      <c r="E130" s="13" t="s">
        <v>509</v>
      </c>
      <c r="F130" s="7"/>
      <c r="G130" s="20" t="s">
        <v>510</v>
      </c>
      <c r="H130" s="20" t="s">
        <v>511</v>
      </c>
      <c r="I130" s="10">
        <v>7500</v>
      </c>
      <c r="J130" s="51" t="s">
        <v>512</v>
      </c>
      <c r="K130" s="16">
        <v>50</v>
      </c>
      <c r="L130" s="16">
        <v>0</v>
      </c>
      <c r="M130" s="17">
        <v>40</v>
      </c>
      <c r="N130" s="17">
        <v>20</v>
      </c>
      <c r="O130" s="17">
        <v>18</v>
      </c>
      <c r="P130" s="15"/>
      <c r="Q130" s="12">
        <v>3530</v>
      </c>
      <c r="R130" s="29"/>
      <c r="S130" s="29">
        <f t="shared" si="5"/>
        <v>0</v>
      </c>
      <c r="T130" s="29">
        <f t="shared" si="4"/>
        <v>0</v>
      </c>
      <c r="U130" s="1"/>
      <c r="V130" s="1"/>
    </row>
    <row r="131" spans="1:22" ht="75.599999999999994" customHeight="1" x14ac:dyDescent="0.4">
      <c r="A131" s="5">
        <v>127</v>
      </c>
      <c r="B131" s="54" t="s">
        <v>22</v>
      </c>
      <c r="C131" s="7" t="s">
        <v>21</v>
      </c>
      <c r="D131" s="18">
        <v>8809559624031</v>
      </c>
      <c r="E131" s="13" t="s">
        <v>513</v>
      </c>
      <c r="F131" s="7"/>
      <c r="G131" s="20" t="s">
        <v>514</v>
      </c>
      <c r="H131" s="20" t="s">
        <v>515</v>
      </c>
      <c r="I131" s="10">
        <v>5900</v>
      </c>
      <c r="J131" s="7" t="s">
        <v>23</v>
      </c>
      <c r="K131" s="11">
        <v>1000</v>
      </c>
      <c r="L131" s="11">
        <v>100</v>
      </c>
      <c r="M131" s="11">
        <v>58</v>
      </c>
      <c r="N131" s="11">
        <v>32</v>
      </c>
      <c r="O131" s="11">
        <v>41</v>
      </c>
      <c r="P131" s="11"/>
      <c r="Q131" s="12">
        <v>2780</v>
      </c>
      <c r="R131" s="29"/>
      <c r="S131" s="29">
        <f t="shared" si="5"/>
        <v>0</v>
      </c>
      <c r="T131" s="29">
        <f t="shared" si="4"/>
        <v>0</v>
      </c>
      <c r="U131" s="1"/>
      <c r="V131" s="1"/>
    </row>
    <row r="132" spans="1:22" ht="75.599999999999994" customHeight="1" x14ac:dyDescent="0.4">
      <c r="A132" s="5">
        <v>128</v>
      </c>
      <c r="B132" s="54" t="s">
        <v>22</v>
      </c>
      <c r="C132" s="7" t="s">
        <v>21</v>
      </c>
      <c r="D132" s="18">
        <v>8809559622679</v>
      </c>
      <c r="E132" s="13" t="s">
        <v>25</v>
      </c>
      <c r="F132" s="7"/>
      <c r="G132" s="20" t="s">
        <v>26</v>
      </c>
      <c r="H132" s="20" t="s">
        <v>516</v>
      </c>
      <c r="I132" s="10">
        <v>26000</v>
      </c>
      <c r="J132" s="51" t="s">
        <v>27</v>
      </c>
      <c r="K132" s="16">
        <v>112</v>
      </c>
      <c r="L132" s="16" t="s">
        <v>305</v>
      </c>
      <c r="M132" s="17">
        <v>51</v>
      </c>
      <c r="N132" s="17">
        <v>31</v>
      </c>
      <c r="O132" s="17">
        <v>17</v>
      </c>
      <c r="P132" s="15"/>
      <c r="Q132" s="12">
        <v>12230</v>
      </c>
      <c r="R132" s="29"/>
      <c r="S132" s="29">
        <f t="shared" si="5"/>
        <v>0</v>
      </c>
      <c r="T132" s="29">
        <f t="shared" si="4"/>
        <v>0</v>
      </c>
      <c r="U132" s="1"/>
      <c r="V132" s="1"/>
    </row>
    <row r="133" spans="1:22" ht="75.599999999999994" customHeight="1" x14ac:dyDescent="0.4">
      <c r="A133" s="5">
        <v>129</v>
      </c>
      <c r="B133" s="54" t="s">
        <v>22</v>
      </c>
      <c r="C133" s="7" t="s">
        <v>21</v>
      </c>
      <c r="D133" s="18">
        <v>8809695670640</v>
      </c>
      <c r="E133" s="13" t="s">
        <v>31</v>
      </c>
      <c r="F133" s="7"/>
      <c r="G133" s="20" t="s">
        <v>32</v>
      </c>
      <c r="H133" s="20" t="s">
        <v>517</v>
      </c>
      <c r="I133" s="10">
        <v>15000</v>
      </c>
      <c r="J133" s="7" t="s">
        <v>33</v>
      </c>
      <c r="K133" s="11">
        <v>36</v>
      </c>
      <c r="L133" s="11">
        <v>12</v>
      </c>
      <c r="M133" s="11">
        <v>52</v>
      </c>
      <c r="N133" s="11">
        <v>27</v>
      </c>
      <c r="O133" s="11">
        <v>17</v>
      </c>
      <c r="P133" s="11"/>
      <c r="Q133" s="12">
        <v>6630</v>
      </c>
      <c r="R133" s="29"/>
      <c r="S133" s="29">
        <f t="shared" ref="S133:S164" si="6">R133*K133</f>
        <v>0</v>
      </c>
      <c r="T133" s="29">
        <f t="shared" si="4"/>
        <v>0</v>
      </c>
      <c r="U133" s="1"/>
      <c r="V133" s="1"/>
    </row>
    <row r="134" spans="1:22" ht="75.599999999999994" customHeight="1" x14ac:dyDescent="0.4">
      <c r="A134" s="5">
        <v>130</v>
      </c>
      <c r="B134" s="54" t="s">
        <v>22</v>
      </c>
      <c r="C134" s="7" t="s">
        <v>21</v>
      </c>
      <c r="D134" s="18">
        <v>8809695670114</v>
      </c>
      <c r="E134" s="13" t="s">
        <v>35</v>
      </c>
      <c r="F134" s="7"/>
      <c r="G134" s="20" t="s">
        <v>36</v>
      </c>
      <c r="H134" s="20" t="s">
        <v>518</v>
      </c>
      <c r="I134" s="10">
        <v>15000</v>
      </c>
      <c r="J134" s="51" t="s">
        <v>34</v>
      </c>
      <c r="K134" s="16">
        <v>30</v>
      </c>
      <c r="L134" s="16" t="s">
        <v>305</v>
      </c>
      <c r="M134" s="17">
        <v>39</v>
      </c>
      <c r="N134" s="17">
        <v>32</v>
      </c>
      <c r="O134" s="17">
        <v>22</v>
      </c>
      <c r="P134" s="15"/>
      <c r="Q134" s="12">
        <v>6910</v>
      </c>
      <c r="R134" s="29"/>
      <c r="S134" s="29">
        <f t="shared" si="6"/>
        <v>0</v>
      </c>
      <c r="T134" s="29">
        <f t="shared" ref="T134:T194" si="7">S134*Q134</f>
        <v>0</v>
      </c>
      <c r="U134" s="1"/>
      <c r="V134" s="1"/>
    </row>
    <row r="135" spans="1:22" ht="75.599999999999994" customHeight="1" x14ac:dyDescent="0.4">
      <c r="A135" s="5">
        <v>131</v>
      </c>
      <c r="B135" s="54" t="s">
        <v>22</v>
      </c>
      <c r="C135" s="7" t="s">
        <v>21</v>
      </c>
      <c r="D135" s="18">
        <v>8809559627506</v>
      </c>
      <c r="E135" s="13" t="s">
        <v>519</v>
      </c>
      <c r="F135" s="7"/>
      <c r="G135" s="20" t="s">
        <v>37</v>
      </c>
      <c r="H135" s="20" t="s">
        <v>520</v>
      </c>
      <c r="I135" s="10">
        <v>9000</v>
      </c>
      <c r="J135" s="7" t="s">
        <v>38</v>
      </c>
      <c r="K135" s="11">
        <v>20</v>
      </c>
      <c r="L135" s="11" t="s">
        <v>305</v>
      </c>
      <c r="M135" s="11">
        <v>49</v>
      </c>
      <c r="N135" s="11">
        <v>38</v>
      </c>
      <c r="O135" s="11">
        <v>12</v>
      </c>
      <c r="P135" s="11"/>
      <c r="Q135" s="12">
        <v>3800</v>
      </c>
      <c r="R135" s="29"/>
      <c r="S135" s="29">
        <f t="shared" si="6"/>
        <v>0</v>
      </c>
      <c r="T135" s="29">
        <f t="shared" si="7"/>
        <v>0</v>
      </c>
      <c r="U135" s="1"/>
      <c r="V135" s="1"/>
    </row>
    <row r="136" spans="1:22" ht="75.599999999999994" customHeight="1" x14ac:dyDescent="0.4">
      <c r="A136" s="5">
        <v>132</v>
      </c>
      <c r="B136" s="54" t="s">
        <v>22</v>
      </c>
      <c r="C136" s="7" t="s">
        <v>21</v>
      </c>
      <c r="D136" s="18">
        <v>8809695674273</v>
      </c>
      <c r="E136" s="13" t="s">
        <v>521</v>
      </c>
      <c r="F136" s="7"/>
      <c r="G136" s="20" t="s">
        <v>522</v>
      </c>
      <c r="H136" s="20" t="s">
        <v>523</v>
      </c>
      <c r="I136" s="10">
        <v>7000</v>
      </c>
      <c r="J136" s="51" t="s">
        <v>41</v>
      </c>
      <c r="K136" s="16">
        <v>120</v>
      </c>
      <c r="L136" s="16">
        <v>30</v>
      </c>
      <c r="M136" s="17">
        <v>44</v>
      </c>
      <c r="N136" s="17">
        <v>26</v>
      </c>
      <c r="O136" s="17">
        <v>17</v>
      </c>
      <c r="P136" s="15"/>
      <c r="Q136" s="12">
        <v>3560</v>
      </c>
      <c r="R136" s="29"/>
      <c r="S136" s="29">
        <f t="shared" si="6"/>
        <v>0</v>
      </c>
      <c r="T136" s="29">
        <f t="shared" si="7"/>
        <v>0</v>
      </c>
      <c r="U136" s="1"/>
      <c r="V136" s="1"/>
    </row>
    <row r="137" spans="1:22" ht="75.599999999999994" customHeight="1" x14ac:dyDescent="0.4">
      <c r="A137" s="5">
        <v>133</v>
      </c>
      <c r="B137" s="54" t="s">
        <v>22</v>
      </c>
      <c r="C137" s="7" t="s">
        <v>21</v>
      </c>
      <c r="D137" s="18">
        <v>8803463007461</v>
      </c>
      <c r="E137" s="13" t="s">
        <v>524</v>
      </c>
      <c r="F137" s="7"/>
      <c r="G137" s="20" t="s">
        <v>264</v>
      </c>
      <c r="H137" s="20" t="s">
        <v>265</v>
      </c>
      <c r="I137" s="10">
        <v>36000</v>
      </c>
      <c r="J137" s="51" t="s">
        <v>39</v>
      </c>
      <c r="K137" s="16">
        <v>56</v>
      </c>
      <c r="L137" s="16"/>
      <c r="M137" s="17">
        <v>38.5</v>
      </c>
      <c r="N137" s="17">
        <v>39.6</v>
      </c>
      <c r="O137" s="17">
        <v>19.5</v>
      </c>
      <c r="P137" s="15"/>
      <c r="Q137" s="12">
        <v>17620</v>
      </c>
      <c r="R137" s="29"/>
      <c r="S137" s="29">
        <f t="shared" si="6"/>
        <v>0</v>
      </c>
      <c r="T137" s="29">
        <f t="shared" si="7"/>
        <v>0</v>
      </c>
      <c r="U137" s="1"/>
      <c r="V137" s="1"/>
    </row>
    <row r="138" spans="1:22" ht="75.599999999999994" customHeight="1" x14ac:dyDescent="0.4">
      <c r="A138" s="5">
        <v>134</v>
      </c>
      <c r="B138" s="54" t="s">
        <v>22</v>
      </c>
      <c r="C138" s="7" t="s">
        <v>21</v>
      </c>
      <c r="D138" s="18">
        <v>8803463007508</v>
      </c>
      <c r="E138" s="13" t="s">
        <v>222</v>
      </c>
      <c r="F138" s="7"/>
      <c r="G138" s="20" t="s">
        <v>266</v>
      </c>
      <c r="H138" s="20" t="s">
        <v>267</v>
      </c>
      <c r="I138" s="10">
        <v>14000</v>
      </c>
      <c r="J138" s="7" t="s">
        <v>56</v>
      </c>
      <c r="K138" s="11">
        <v>48</v>
      </c>
      <c r="L138" s="11"/>
      <c r="M138" s="11">
        <v>26.5</v>
      </c>
      <c r="N138" s="11">
        <v>22.5</v>
      </c>
      <c r="O138" s="11">
        <v>15.2</v>
      </c>
      <c r="P138" s="11"/>
      <c r="Q138" s="12">
        <v>6440</v>
      </c>
      <c r="R138" s="29"/>
      <c r="S138" s="29">
        <f t="shared" si="6"/>
        <v>0</v>
      </c>
      <c r="T138" s="29">
        <f t="shared" si="7"/>
        <v>0</v>
      </c>
      <c r="U138" s="1"/>
      <c r="V138" s="1"/>
    </row>
    <row r="139" spans="1:22" ht="75.599999999999994" customHeight="1" x14ac:dyDescent="0.4">
      <c r="A139" s="5">
        <v>135</v>
      </c>
      <c r="B139" s="54" t="s">
        <v>22</v>
      </c>
      <c r="C139" s="7" t="s">
        <v>21</v>
      </c>
      <c r="D139" s="18">
        <v>8803463003593</v>
      </c>
      <c r="E139" s="13" t="s">
        <v>81</v>
      </c>
      <c r="F139" s="7"/>
      <c r="G139" s="20" t="s">
        <v>82</v>
      </c>
      <c r="H139" s="20" t="s">
        <v>525</v>
      </c>
      <c r="I139" s="10">
        <v>26000</v>
      </c>
      <c r="J139" s="7" t="s">
        <v>526</v>
      </c>
      <c r="K139" s="11">
        <v>12</v>
      </c>
      <c r="L139" s="11">
        <v>0</v>
      </c>
      <c r="M139" s="11">
        <v>33.5</v>
      </c>
      <c r="N139" s="11">
        <v>28</v>
      </c>
      <c r="O139" s="11">
        <v>21.5</v>
      </c>
      <c r="P139" s="11"/>
      <c r="Q139" s="12">
        <v>13460</v>
      </c>
      <c r="R139" s="29"/>
      <c r="S139" s="29">
        <f t="shared" si="6"/>
        <v>0</v>
      </c>
      <c r="T139" s="29">
        <f t="shared" si="7"/>
        <v>0</v>
      </c>
      <c r="U139" s="1"/>
      <c r="V139" s="1"/>
    </row>
    <row r="140" spans="1:22" ht="75.599999999999994" customHeight="1" x14ac:dyDescent="0.4">
      <c r="A140" s="5">
        <v>136</v>
      </c>
      <c r="B140" s="54" t="s">
        <v>22</v>
      </c>
      <c r="C140" s="7" t="s">
        <v>21</v>
      </c>
      <c r="D140" s="18">
        <v>8809559627490</v>
      </c>
      <c r="E140" s="13" t="s">
        <v>28</v>
      </c>
      <c r="F140" s="7"/>
      <c r="G140" s="20" t="s">
        <v>29</v>
      </c>
      <c r="H140" s="20" t="s">
        <v>527</v>
      </c>
      <c r="I140" s="10">
        <v>22000</v>
      </c>
      <c r="J140" s="51" t="s">
        <v>30</v>
      </c>
      <c r="K140" s="16">
        <v>12</v>
      </c>
      <c r="L140" s="16">
        <v>12</v>
      </c>
      <c r="M140" s="17">
        <v>33</v>
      </c>
      <c r="N140" s="17">
        <v>28</v>
      </c>
      <c r="O140" s="17">
        <v>18</v>
      </c>
      <c r="P140" s="15"/>
      <c r="Q140" s="12">
        <v>10770</v>
      </c>
      <c r="R140" s="29"/>
      <c r="S140" s="29">
        <f t="shared" si="6"/>
        <v>0</v>
      </c>
      <c r="T140" s="29">
        <f t="shared" si="7"/>
        <v>0</v>
      </c>
      <c r="U140" s="1"/>
      <c r="V140" s="1"/>
    </row>
    <row r="141" spans="1:22" ht="75.599999999999994" customHeight="1" x14ac:dyDescent="0.4">
      <c r="A141" s="5">
        <v>137</v>
      </c>
      <c r="B141" s="54" t="s">
        <v>22</v>
      </c>
      <c r="C141" s="7" t="s">
        <v>21</v>
      </c>
      <c r="D141" s="18">
        <v>8803463012601</v>
      </c>
      <c r="E141" s="13" t="s">
        <v>225</v>
      </c>
      <c r="F141" s="7"/>
      <c r="G141" s="20" t="s">
        <v>298</v>
      </c>
      <c r="H141" s="20" t="s">
        <v>299</v>
      </c>
      <c r="I141" s="10">
        <v>28000</v>
      </c>
      <c r="J141" s="7" t="s">
        <v>300</v>
      </c>
      <c r="K141" s="11">
        <v>48</v>
      </c>
      <c r="L141" s="11">
        <v>12</v>
      </c>
      <c r="M141" s="11">
        <v>35</v>
      </c>
      <c r="N141" s="11">
        <v>27</v>
      </c>
      <c r="O141" s="11">
        <v>13.5</v>
      </c>
      <c r="P141" s="11"/>
      <c r="Q141" s="12">
        <v>13710</v>
      </c>
      <c r="R141" s="29"/>
      <c r="S141" s="29">
        <f t="shared" si="6"/>
        <v>0</v>
      </c>
      <c r="T141" s="29">
        <f t="shared" si="7"/>
        <v>0</v>
      </c>
      <c r="U141" s="1"/>
      <c r="V141" s="1"/>
    </row>
    <row r="142" spans="1:22" ht="75.599999999999994" customHeight="1" x14ac:dyDescent="0.4">
      <c r="A142" s="5">
        <v>138</v>
      </c>
      <c r="B142" s="55" t="s">
        <v>96</v>
      </c>
      <c r="C142" s="7" t="s">
        <v>21</v>
      </c>
      <c r="D142" s="18">
        <v>8803463003425</v>
      </c>
      <c r="E142" s="13" t="s">
        <v>106</v>
      </c>
      <c r="F142" s="7"/>
      <c r="G142" s="20" t="s">
        <v>107</v>
      </c>
      <c r="H142" s="20" t="s">
        <v>528</v>
      </c>
      <c r="I142" s="10">
        <v>4000</v>
      </c>
      <c r="J142" s="51" t="s">
        <v>529</v>
      </c>
      <c r="K142" s="16">
        <v>280</v>
      </c>
      <c r="L142" s="16">
        <v>70</v>
      </c>
      <c r="M142" s="17">
        <v>54</v>
      </c>
      <c r="N142" s="17">
        <v>28</v>
      </c>
      <c r="O142" s="17">
        <v>23.5</v>
      </c>
      <c r="P142" s="15"/>
      <c r="Q142" s="12">
        <v>1770</v>
      </c>
      <c r="R142" s="29"/>
      <c r="S142" s="29">
        <f t="shared" si="6"/>
        <v>0</v>
      </c>
      <c r="T142" s="29">
        <f t="shared" si="7"/>
        <v>0</v>
      </c>
      <c r="U142" s="1"/>
      <c r="V142" s="1"/>
    </row>
    <row r="143" spans="1:22" ht="75.599999999999994" customHeight="1" x14ac:dyDescent="0.4">
      <c r="A143" s="5">
        <v>139</v>
      </c>
      <c r="B143" s="55" t="s">
        <v>96</v>
      </c>
      <c r="C143" s="7" t="s">
        <v>21</v>
      </c>
      <c r="D143" s="18">
        <v>8809695677281</v>
      </c>
      <c r="E143" s="13" t="s">
        <v>97</v>
      </c>
      <c r="F143" s="7"/>
      <c r="G143" s="20" t="s">
        <v>530</v>
      </c>
      <c r="H143" s="20" t="s">
        <v>531</v>
      </c>
      <c r="I143" s="10">
        <v>24000</v>
      </c>
      <c r="J143" s="7" t="s">
        <v>98</v>
      </c>
      <c r="K143" s="11">
        <v>12</v>
      </c>
      <c r="L143" s="11"/>
      <c r="M143" s="11">
        <v>33</v>
      </c>
      <c r="N143" s="11">
        <v>28</v>
      </c>
      <c r="O143" s="11">
        <v>18</v>
      </c>
      <c r="P143" s="11">
        <v>7.4</v>
      </c>
      <c r="Q143" s="12">
        <v>11290</v>
      </c>
      <c r="R143" s="29"/>
      <c r="S143" s="29">
        <f t="shared" si="6"/>
        <v>0</v>
      </c>
      <c r="T143" s="29">
        <f t="shared" si="7"/>
        <v>0</v>
      </c>
      <c r="U143" s="1"/>
      <c r="V143" s="1"/>
    </row>
    <row r="144" spans="1:22" ht="75.599999999999994" customHeight="1" x14ac:dyDescent="0.4">
      <c r="A144" s="5">
        <v>140</v>
      </c>
      <c r="B144" s="55" t="s">
        <v>96</v>
      </c>
      <c r="C144" s="7" t="s">
        <v>21</v>
      </c>
      <c r="D144" s="18">
        <v>8809695677250</v>
      </c>
      <c r="E144" s="13" t="s">
        <v>99</v>
      </c>
      <c r="F144" s="7"/>
      <c r="G144" s="20" t="s">
        <v>100</v>
      </c>
      <c r="H144" s="20" t="s">
        <v>532</v>
      </c>
      <c r="I144" s="10">
        <v>30000</v>
      </c>
      <c r="J144" s="51" t="s">
        <v>56</v>
      </c>
      <c r="K144" s="16">
        <v>72</v>
      </c>
      <c r="L144" s="16"/>
      <c r="M144" s="17">
        <v>51</v>
      </c>
      <c r="N144" s="17">
        <v>26</v>
      </c>
      <c r="O144" s="17">
        <v>15.5</v>
      </c>
      <c r="P144" s="15">
        <v>9.5500000000000007</v>
      </c>
      <c r="Q144" s="12">
        <v>12680</v>
      </c>
      <c r="R144" s="29"/>
      <c r="S144" s="29">
        <f t="shared" si="6"/>
        <v>0</v>
      </c>
      <c r="T144" s="29">
        <f t="shared" si="7"/>
        <v>0</v>
      </c>
      <c r="U144" s="1"/>
      <c r="V144" s="1"/>
    </row>
    <row r="145" spans="1:22" ht="75.599999999999994" customHeight="1" x14ac:dyDescent="0.4">
      <c r="A145" s="5">
        <v>141</v>
      </c>
      <c r="B145" s="55" t="s">
        <v>96</v>
      </c>
      <c r="C145" s="7" t="s">
        <v>21</v>
      </c>
      <c r="D145" s="18">
        <v>8809695677199</v>
      </c>
      <c r="E145" s="13" t="s">
        <v>101</v>
      </c>
      <c r="F145" s="7"/>
      <c r="G145" s="20" t="s">
        <v>102</v>
      </c>
      <c r="H145" s="20" t="s">
        <v>533</v>
      </c>
      <c r="I145" s="10">
        <v>25000</v>
      </c>
      <c r="J145" s="7" t="s">
        <v>103</v>
      </c>
      <c r="K145" s="11">
        <v>150</v>
      </c>
      <c r="L145" s="11"/>
      <c r="M145" s="11">
        <v>49</v>
      </c>
      <c r="N145" s="11">
        <v>26</v>
      </c>
      <c r="O145" s="11">
        <v>17.5</v>
      </c>
      <c r="P145" s="11">
        <v>8.1999999999999993</v>
      </c>
      <c r="Q145" s="12">
        <v>10570</v>
      </c>
      <c r="R145" s="29"/>
      <c r="S145" s="29">
        <f t="shared" si="6"/>
        <v>0</v>
      </c>
      <c r="T145" s="29">
        <f t="shared" si="7"/>
        <v>0</v>
      </c>
      <c r="U145" s="1"/>
      <c r="V145" s="1"/>
    </row>
    <row r="146" spans="1:22" ht="75.599999999999994" customHeight="1" x14ac:dyDescent="0.4">
      <c r="A146" s="5">
        <v>142</v>
      </c>
      <c r="B146" s="55" t="s">
        <v>96</v>
      </c>
      <c r="C146" s="7" t="s">
        <v>21</v>
      </c>
      <c r="D146" s="18">
        <v>8803463003517</v>
      </c>
      <c r="E146" s="13" t="s">
        <v>104</v>
      </c>
      <c r="F146" s="7"/>
      <c r="G146" s="20" t="s">
        <v>105</v>
      </c>
      <c r="H146" s="20" t="s">
        <v>534</v>
      </c>
      <c r="I146" s="10">
        <v>27000</v>
      </c>
      <c r="J146" s="51" t="s">
        <v>239</v>
      </c>
      <c r="K146" s="16">
        <v>96</v>
      </c>
      <c r="L146" s="16">
        <v>24</v>
      </c>
      <c r="M146" s="17">
        <v>39.5</v>
      </c>
      <c r="N146" s="17">
        <v>19.5</v>
      </c>
      <c r="O146" s="17">
        <v>19</v>
      </c>
      <c r="P146" s="15"/>
      <c r="Q146" s="12">
        <v>11410</v>
      </c>
      <c r="R146" s="29"/>
      <c r="S146" s="29">
        <f t="shared" si="6"/>
        <v>0</v>
      </c>
      <c r="T146" s="29">
        <f t="shared" si="7"/>
        <v>0</v>
      </c>
      <c r="U146" s="1"/>
      <c r="V146" s="1"/>
    </row>
    <row r="147" spans="1:22" ht="75.599999999999994" customHeight="1" x14ac:dyDescent="0.4">
      <c r="A147" s="5">
        <v>143</v>
      </c>
      <c r="B147" s="56" t="s">
        <v>108</v>
      </c>
      <c r="C147" s="7" t="s">
        <v>21</v>
      </c>
      <c r="D147" s="18">
        <v>8803463003487</v>
      </c>
      <c r="E147" s="13" t="s">
        <v>114</v>
      </c>
      <c r="F147" s="7"/>
      <c r="G147" s="20" t="s">
        <v>115</v>
      </c>
      <c r="H147" s="20" t="s">
        <v>535</v>
      </c>
      <c r="I147" s="10">
        <v>4000</v>
      </c>
      <c r="J147" s="7" t="s">
        <v>529</v>
      </c>
      <c r="K147" s="11">
        <v>280</v>
      </c>
      <c r="L147" s="11">
        <v>70</v>
      </c>
      <c r="M147" s="11">
        <v>54</v>
      </c>
      <c r="N147" s="11">
        <v>28</v>
      </c>
      <c r="O147" s="11">
        <v>23.5</v>
      </c>
      <c r="P147" s="11"/>
      <c r="Q147" s="12">
        <v>1770</v>
      </c>
      <c r="R147" s="29"/>
      <c r="S147" s="29">
        <f t="shared" si="6"/>
        <v>0</v>
      </c>
      <c r="T147" s="29">
        <f t="shared" si="7"/>
        <v>0</v>
      </c>
      <c r="U147" s="1"/>
      <c r="V147" s="1"/>
    </row>
    <row r="148" spans="1:22" ht="75.599999999999994" customHeight="1" x14ac:dyDescent="0.4">
      <c r="A148" s="5">
        <v>144</v>
      </c>
      <c r="B148" s="56" t="s">
        <v>108</v>
      </c>
      <c r="C148" s="7" t="s">
        <v>21</v>
      </c>
      <c r="D148" s="18">
        <v>8803463004637</v>
      </c>
      <c r="E148" s="13" t="s">
        <v>109</v>
      </c>
      <c r="F148" s="7"/>
      <c r="G148" s="20" t="s">
        <v>536</v>
      </c>
      <c r="H148" s="20" t="s">
        <v>537</v>
      </c>
      <c r="I148" s="10">
        <v>35000</v>
      </c>
      <c r="J148" s="51" t="s">
        <v>27</v>
      </c>
      <c r="K148" s="16">
        <v>48</v>
      </c>
      <c r="L148" s="16">
        <v>12</v>
      </c>
      <c r="M148" s="17">
        <v>38</v>
      </c>
      <c r="N148" s="17">
        <v>26</v>
      </c>
      <c r="O148" s="17">
        <v>16.5</v>
      </c>
      <c r="P148" s="15"/>
      <c r="Q148" s="12">
        <v>17130</v>
      </c>
      <c r="R148" s="29"/>
      <c r="S148" s="29">
        <f t="shared" si="6"/>
        <v>0</v>
      </c>
      <c r="T148" s="29">
        <f t="shared" si="7"/>
        <v>0</v>
      </c>
      <c r="U148" s="1"/>
      <c r="V148" s="1"/>
    </row>
    <row r="149" spans="1:22" ht="75.599999999999994" customHeight="1" x14ac:dyDescent="0.4">
      <c r="A149" s="5">
        <v>145</v>
      </c>
      <c r="B149" s="56" t="s">
        <v>108</v>
      </c>
      <c r="C149" s="7" t="s">
        <v>21</v>
      </c>
      <c r="D149" s="18">
        <v>8803463006242</v>
      </c>
      <c r="E149" s="13" t="s">
        <v>538</v>
      </c>
      <c r="F149" s="7"/>
      <c r="G149" s="20" t="s">
        <v>112</v>
      </c>
      <c r="H149" s="20" t="s">
        <v>539</v>
      </c>
      <c r="I149" s="10">
        <v>26000</v>
      </c>
      <c r="J149" s="7" t="s">
        <v>98</v>
      </c>
      <c r="K149" s="11">
        <v>12</v>
      </c>
      <c r="L149" s="11"/>
      <c r="M149" s="11">
        <v>33.5</v>
      </c>
      <c r="N149" s="11">
        <v>28</v>
      </c>
      <c r="O149" s="11">
        <v>21.5</v>
      </c>
      <c r="P149" s="11"/>
      <c r="Q149" s="12">
        <v>12730</v>
      </c>
      <c r="R149" s="29"/>
      <c r="S149" s="29">
        <f t="shared" si="6"/>
        <v>0</v>
      </c>
      <c r="T149" s="29">
        <f t="shared" si="7"/>
        <v>0</v>
      </c>
      <c r="U149" s="1"/>
      <c r="V149" s="1"/>
    </row>
    <row r="150" spans="1:22" ht="75.599999999999994" customHeight="1" x14ac:dyDescent="0.4">
      <c r="A150" s="5">
        <v>146</v>
      </c>
      <c r="B150" s="56" t="s">
        <v>108</v>
      </c>
      <c r="C150" s="7" t="s">
        <v>21</v>
      </c>
      <c r="D150" s="18">
        <v>8803463004552</v>
      </c>
      <c r="E150" s="13" t="s">
        <v>110</v>
      </c>
      <c r="F150" s="7"/>
      <c r="G150" s="20" t="s">
        <v>111</v>
      </c>
      <c r="H150" s="20" t="s">
        <v>540</v>
      </c>
      <c r="I150" s="10">
        <v>27000</v>
      </c>
      <c r="J150" s="51" t="s">
        <v>239</v>
      </c>
      <c r="K150" s="16">
        <v>96</v>
      </c>
      <c r="L150" s="16">
        <v>24</v>
      </c>
      <c r="M150" s="17">
        <v>29.5</v>
      </c>
      <c r="N150" s="17">
        <v>28.5</v>
      </c>
      <c r="O150" s="17">
        <v>19.5</v>
      </c>
      <c r="P150" s="15"/>
      <c r="Q150" s="12">
        <v>13220</v>
      </c>
      <c r="R150" s="29"/>
      <c r="S150" s="29">
        <f t="shared" si="6"/>
        <v>0</v>
      </c>
      <c r="T150" s="29">
        <f t="shared" si="7"/>
        <v>0</v>
      </c>
      <c r="U150" s="1"/>
      <c r="V150" s="1"/>
    </row>
    <row r="151" spans="1:22" ht="79.5" customHeight="1" x14ac:dyDescent="0.4">
      <c r="A151" s="5">
        <v>147</v>
      </c>
      <c r="B151" s="36" t="s">
        <v>116</v>
      </c>
      <c r="C151" s="7" t="s">
        <v>21</v>
      </c>
      <c r="D151" s="8" t="s">
        <v>307</v>
      </c>
      <c r="E151" s="7" t="s">
        <v>119</v>
      </c>
      <c r="F151" s="7"/>
      <c r="G151" s="9" t="s">
        <v>541</v>
      </c>
      <c r="H151" s="20" t="s">
        <v>542</v>
      </c>
      <c r="I151" s="11">
        <v>32000</v>
      </c>
      <c r="J151" s="51" t="s">
        <v>543</v>
      </c>
      <c r="K151" s="16">
        <v>80</v>
      </c>
      <c r="L151" s="16">
        <v>20</v>
      </c>
      <c r="M151" s="17">
        <v>36</v>
      </c>
      <c r="N151" s="17">
        <v>36</v>
      </c>
      <c r="O151" s="17">
        <v>15.5</v>
      </c>
      <c r="P151" s="15"/>
      <c r="Q151" s="12">
        <v>15050</v>
      </c>
      <c r="R151" s="29"/>
      <c r="S151" s="29">
        <f t="shared" si="6"/>
        <v>0</v>
      </c>
      <c r="T151" s="29">
        <f t="shared" si="7"/>
        <v>0</v>
      </c>
      <c r="U151" s="1"/>
      <c r="V151" s="1"/>
    </row>
    <row r="152" spans="1:22" ht="75.599999999999994" customHeight="1" x14ac:dyDescent="0.4">
      <c r="A152" s="5">
        <v>148</v>
      </c>
      <c r="B152" s="54" t="s">
        <v>22</v>
      </c>
      <c r="C152" s="7" t="s">
        <v>21</v>
      </c>
      <c r="D152" s="18">
        <v>8809695675355</v>
      </c>
      <c r="E152" s="13" t="s">
        <v>544</v>
      </c>
      <c r="F152" s="7"/>
      <c r="G152" s="20" t="s">
        <v>42</v>
      </c>
      <c r="H152" s="20" t="s">
        <v>545</v>
      </c>
      <c r="I152" s="10">
        <v>18000</v>
      </c>
      <c r="J152" s="51" t="s">
        <v>43</v>
      </c>
      <c r="K152" s="16">
        <v>20</v>
      </c>
      <c r="L152" s="16"/>
      <c r="M152" s="17">
        <v>37</v>
      </c>
      <c r="N152" s="17">
        <v>29.8</v>
      </c>
      <c r="O152" s="17">
        <v>22.5</v>
      </c>
      <c r="P152" s="15">
        <v>12.28</v>
      </c>
      <c r="Q152" s="12">
        <v>7950</v>
      </c>
      <c r="R152" s="29"/>
      <c r="S152" s="29">
        <f t="shared" si="6"/>
        <v>0</v>
      </c>
      <c r="T152" s="29">
        <f t="shared" si="7"/>
        <v>0</v>
      </c>
      <c r="U152" s="1"/>
      <c r="V152" s="1"/>
    </row>
    <row r="153" spans="1:22" ht="75.599999999999994" customHeight="1" x14ac:dyDescent="0.4">
      <c r="A153" s="5">
        <v>149</v>
      </c>
      <c r="B153" s="54" t="s">
        <v>22</v>
      </c>
      <c r="C153" s="7" t="s">
        <v>21</v>
      </c>
      <c r="D153" s="18">
        <v>8809695675225</v>
      </c>
      <c r="E153" s="13" t="s">
        <v>546</v>
      </c>
      <c r="F153" s="7"/>
      <c r="G153" s="20" t="s">
        <v>44</v>
      </c>
      <c r="H153" s="20" t="s">
        <v>547</v>
      </c>
      <c r="I153" s="10">
        <v>18000</v>
      </c>
      <c r="J153" s="51" t="s">
        <v>45</v>
      </c>
      <c r="K153" s="16">
        <v>20</v>
      </c>
      <c r="L153" s="16"/>
      <c r="M153" s="17">
        <v>37.5</v>
      </c>
      <c r="N153" s="17">
        <v>30</v>
      </c>
      <c r="O153" s="17">
        <v>20.2</v>
      </c>
      <c r="P153" s="15">
        <v>12.195</v>
      </c>
      <c r="Q153" s="12">
        <v>7950</v>
      </c>
      <c r="R153" s="29"/>
      <c r="S153" s="29">
        <f t="shared" si="6"/>
        <v>0</v>
      </c>
      <c r="T153" s="29">
        <f t="shared" si="7"/>
        <v>0</v>
      </c>
      <c r="U153" s="1"/>
      <c r="V153" s="1"/>
    </row>
    <row r="154" spans="1:22" ht="75.599999999999994" customHeight="1" x14ac:dyDescent="0.4">
      <c r="A154" s="5">
        <v>150</v>
      </c>
      <c r="B154" s="54" t="s">
        <v>22</v>
      </c>
      <c r="C154" s="7" t="s">
        <v>40</v>
      </c>
      <c r="D154" s="8">
        <v>8809695675362</v>
      </c>
      <c r="E154" s="7" t="s">
        <v>46</v>
      </c>
      <c r="F154" s="7"/>
      <c r="G154" s="20" t="s">
        <v>47</v>
      </c>
      <c r="H154" s="20" t="s">
        <v>202</v>
      </c>
      <c r="I154" s="10">
        <v>27000</v>
      </c>
      <c r="J154" s="7" t="s">
        <v>39</v>
      </c>
      <c r="K154" s="16">
        <v>90</v>
      </c>
      <c r="L154" s="16">
        <v>15</v>
      </c>
      <c r="M154" s="15">
        <v>52</v>
      </c>
      <c r="N154" s="15">
        <v>33</v>
      </c>
      <c r="O154" s="15">
        <v>16</v>
      </c>
      <c r="P154" s="15">
        <v>13.5</v>
      </c>
      <c r="Q154" s="12">
        <v>13220</v>
      </c>
      <c r="R154" s="29"/>
      <c r="S154" s="29">
        <f t="shared" si="6"/>
        <v>0</v>
      </c>
      <c r="T154" s="29">
        <f t="shared" si="7"/>
        <v>0</v>
      </c>
      <c r="U154" s="1"/>
      <c r="V154" s="1"/>
    </row>
    <row r="155" spans="1:22" ht="75.599999999999994" customHeight="1" x14ac:dyDescent="0.4">
      <c r="A155" s="5">
        <v>151</v>
      </c>
      <c r="B155" s="6" t="s">
        <v>48</v>
      </c>
      <c r="C155" s="7" t="s">
        <v>21</v>
      </c>
      <c r="D155" s="18">
        <v>8803463008567</v>
      </c>
      <c r="E155" s="13" t="s">
        <v>218</v>
      </c>
      <c r="F155" s="7"/>
      <c r="G155" s="20" t="s">
        <v>548</v>
      </c>
      <c r="H155" s="20" t="s">
        <v>250</v>
      </c>
      <c r="I155" s="10">
        <v>15000</v>
      </c>
      <c r="J155" s="51" t="s">
        <v>125</v>
      </c>
      <c r="K155" s="16">
        <v>96</v>
      </c>
      <c r="L155" s="16">
        <v>24</v>
      </c>
      <c r="M155" s="17">
        <v>30.5</v>
      </c>
      <c r="N155" s="17">
        <v>31</v>
      </c>
      <c r="O155" s="17">
        <v>18</v>
      </c>
      <c r="P155" s="15">
        <v>2.8450000000000002</v>
      </c>
      <c r="Q155" s="12">
        <v>7340</v>
      </c>
      <c r="R155" s="29"/>
      <c r="S155" s="29">
        <f t="shared" si="6"/>
        <v>0</v>
      </c>
      <c r="T155" s="29">
        <f t="shared" si="7"/>
        <v>0</v>
      </c>
      <c r="U155" s="1"/>
      <c r="V155" s="1"/>
    </row>
    <row r="156" spans="1:22" ht="75.599999999999994" customHeight="1" x14ac:dyDescent="0.4">
      <c r="A156" s="5">
        <v>152</v>
      </c>
      <c r="B156" s="6" t="s">
        <v>48</v>
      </c>
      <c r="C156" s="7" t="s">
        <v>21</v>
      </c>
      <c r="D156" s="18">
        <v>8803463008598</v>
      </c>
      <c r="E156" s="13" t="s">
        <v>549</v>
      </c>
      <c r="F156" s="7"/>
      <c r="G156" s="20" t="s">
        <v>550</v>
      </c>
      <c r="H156" s="20" t="s">
        <v>251</v>
      </c>
      <c r="I156" s="10">
        <v>15000</v>
      </c>
      <c r="J156" s="51" t="s">
        <v>125</v>
      </c>
      <c r="K156" s="16">
        <v>96</v>
      </c>
      <c r="L156" s="16">
        <v>24</v>
      </c>
      <c r="M156" s="17">
        <v>30.5</v>
      </c>
      <c r="N156" s="17">
        <v>31</v>
      </c>
      <c r="O156" s="17">
        <v>18</v>
      </c>
      <c r="P156" s="15">
        <v>2.8450000000000002</v>
      </c>
      <c r="Q156" s="12">
        <v>7340</v>
      </c>
      <c r="R156" s="29"/>
      <c r="S156" s="29">
        <f t="shared" si="6"/>
        <v>0</v>
      </c>
      <c r="T156" s="29">
        <f t="shared" si="7"/>
        <v>0</v>
      </c>
      <c r="U156" s="1"/>
      <c r="V156" s="1"/>
    </row>
    <row r="157" spans="1:22" ht="75.599999999999994" customHeight="1" x14ac:dyDescent="0.4">
      <c r="A157" s="5">
        <v>153</v>
      </c>
      <c r="B157" s="6" t="s">
        <v>48</v>
      </c>
      <c r="C157" s="7" t="s">
        <v>21</v>
      </c>
      <c r="D157" s="18">
        <v>8803463009366</v>
      </c>
      <c r="E157" s="13" t="s">
        <v>551</v>
      </c>
      <c r="F157" s="7"/>
      <c r="G157" s="20" t="s">
        <v>552</v>
      </c>
      <c r="H157" s="20" t="s">
        <v>252</v>
      </c>
      <c r="I157" s="10">
        <v>15000</v>
      </c>
      <c r="J157" s="51" t="s">
        <v>125</v>
      </c>
      <c r="K157" s="16">
        <v>96</v>
      </c>
      <c r="L157" s="16">
        <v>24</v>
      </c>
      <c r="M157" s="17">
        <v>30.5</v>
      </c>
      <c r="N157" s="17">
        <v>31</v>
      </c>
      <c r="O157" s="17">
        <v>18</v>
      </c>
      <c r="P157" s="15">
        <v>2.8450000000000002</v>
      </c>
      <c r="Q157" s="12">
        <v>7340</v>
      </c>
      <c r="R157" s="29"/>
      <c r="S157" s="29">
        <f t="shared" si="6"/>
        <v>0</v>
      </c>
      <c r="T157" s="29">
        <f t="shared" si="7"/>
        <v>0</v>
      </c>
      <c r="U157" s="1"/>
      <c r="V157" s="1"/>
    </row>
    <row r="158" spans="1:22" ht="75.599999999999994" customHeight="1" x14ac:dyDescent="0.4">
      <c r="A158" s="5">
        <v>154</v>
      </c>
      <c r="B158" s="6" t="s">
        <v>48</v>
      </c>
      <c r="C158" s="7" t="s">
        <v>21</v>
      </c>
      <c r="D158" s="18">
        <v>8803463009373</v>
      </c>
      <c r="E158" s="13" t="s">
        <v>553</v>
      </c>
      <c r="F158" s="7"/>
      <c r="G158" s="20" t="s">
        <v>554</v>
      </c>
      <c r="H158" s="20" t="s">
        <v>253</v>
      </c>
      <c r="I158" s="10">
        <v>15000</v>
      </c>
      <c r="J158" s="51" t="s">
        <v>125</v>
      </c>
      <c r="K158" s="16">
        <v>96</v>
      </c>
      <c r="L158" s="16">
        <v>24</v>
      </c>
      <c r="M158" s="17">
        <v>30.5</v>
      </c>
      <c r="N158" s="17">
        <v>31</v>
      </c>
      <c r="O158" s="17">
        <v>18</v>
      </c>
      <c r="P158" s="15">
        <v>2.8450000000000002</v>
      </c>
      <c r="Q158" s="12">
        <v>7340</v>
      </c>
      <c r="R158" s="29"/>
      <c r="S158" s="29">
        <f t="shared" si="6"/>
        <v>0</v>
      </c>
      <c r="T158" s="29">
        <f t="shared" si="7"/>
        <v>0</v>
      </c>
      <c r="U158" s="1"/>
      <c r="V158" s="1"/>
    </row>
    <row r="159" spans="1:22" ht="75.599999999999994" customHeight="1" x14ac:dyDescent="0.4">
      <c r="A159" s="5">
        <v>155</v>
      </c>
      <c r="B159" s="13" t="s">
        <v>193</v>
      </c>
      <c r="C159" s="7" t="s">
        <v>21</v>
      </c>
      <c r="D159" s="18">
        <v>8803463012618</v>
      </c>
      <c r="E159" s="13" t="s">
        <v>555</v>
      </c>
      <c r="F159" s="7"/>
      <c r="G159" s="20" t="s">
        <v>556</v>
      </c>
      <c r="H159" s="20" t="s">
        <v>557</v>
      </c>
      <c r="I159" s="10">
        <v>18000</v>
      </c>
      <c r="J159" s="51" t="s">
        <v>39</v>
      </c>
      <c r="K159" s="16">
        <v>48</v>
      </c>
      <c r="L159" s="16">
        <v>35</v>
      </c>
      <c r="M159" s="17">
        <v>45</v>
      </c>
      <c r="N159" s="17">
        <v>19</v>
      </c>
      <c r="O159" s="17">
        <v>8</v>
      </c>
      <c r="P159" s="15">
        <v>9.4499999999999993</v>
      </c>
      <c r="Q159" s="12">
        <v>8810</v>
      </c>
      <c r="R159" s="29"/>
      <c r="S159" s="29">
        <f t="shared" si="6"/>
        <v>0</v>
      </c>
      <c r="T159" s="29">
        <f t="shared" si="7"/>
        <v>0</v>
      </c>
      <c r="U159" s="1"/>
      <c r="V159" s="1"/>
    </row>
    <row r="160" spans="1:22" ht="75.599999999999994" customHeight="1" x14ac:dyDescent="0.4">
      <c r="A160" s="5">
        <v>156</v>
      </c>
      <c r="B160" s="13" t="s">
        <v>193</v>
      </c>
      <c r="C160" s="7" t="s">
        <v>21</v>
      </c>
      <c r="D160" s="18">
        <v>8803463012625</v>
      </c>
      <c r="E160" s="13" t="s">
        <v>558</v>
      </c>
      <c r="F160" s="7"/>
      <c r="G160" s="20" t="s">
        <v>559</v>
      </c>
      <c r="H160" s="20" t="s">
        <v>276</v>
      </c>
      <c r="I160" s="10">
        <v>18000</v>
      </c>
      <c r="J160" s="51" t="s">
        <v>39</v>
      </c>
      <c r="K160" s="16">
        <v>48</v>
      </c>
      <c r="L160" s="16">
        <v>35</v>
      </c>
      <c r="M160" s="17">
        <v>45</v>
      </c>
      <c r="N160" s="17">
        <v>19</v>
      </c>
      <c r="O160" s="17">
        <v>8</v>
      </c>
      <c r="P160" s="15">
        <v>9.4499999999999993</v>
      </c>
      <c r="Q160" s="12">
        <v>8810</v>
      </c>
      <c r="R160" s="29"/>
      <c r="S160" s="29">
        <f t="shared" si="6"/>
        <v>0</v>
      </c>
      <c r="T160" s="29">
        <f t="shared" si="7"/>
        <v>0</v>
      </c>
      <c r="U160" s="1"/>
      <c r="V160" s="1"/>
    </row>
    <row r="161" spans="1:22" ht="75.599999999999994" customHeight="1" x14ac:dyDescent="0.4">
      <c r="A161" s="5">
        <v>157</v>
      </c>
      <c r="B161" s="36" t="s">
        <v>116</v>
      </c>
      <c r="C161" s="7" t="s">
        <v>21</v>
      </c>
      <c r="D161" s="18">
        <v>8803463014407</v>
      </c>
      <c r="E161" s="13" t="s">
        <v>560</v>
      </c>
      <c r="F161" s="7"/>
      <c r="G161" s="20" t="s">
        <v>561</v>
      </c>
      <c r="H161" s="20" t="s">
        <v>249</v>
      </c>
      <c r="I161" s="10">
        <v>25000</v>
      </c>
      <c r="J161" s="51" t="s">
        <v>562</v>
      </c>
      <c r="K161" s="16">
        <v>24</v>
      </c>
      <c r="L161" s="16">
        <v>6</v>
      </c>
      <c r="M161" s="17">
        <v>44</v>
      </c>
      <c r="N161" s="17">
        <v>31</v>
      </c>
      <c r="O161" s="17">
        <v>20</v>
      </c>
      <c r="P161" s="15">
        <v>9.4499999999999993</v>
      </c>
      <c r="Q161" s="12">
        <v>11760</v>
      </c>
      <c r="R161" s="29"/>
      <c r="S161" s="29">
        <f t="shared" si="6"/>
        <v>0</v>
      </c>
      <c r="T161" s="29">
        <f t="shared" si="7"/>
        <v>0</v>
      </c>
      <c r="U161" s="1"/>
      <c r="V161" s="1"/>
    </row>
    <row r="162" spans="1:22" ht="75.599999999999994" customHeight="1" x14ac:dyDescent="0.4">
      <c r="A162" s="5">
        <v>158</v>
      </c>
      <c r="B162" s="36" t="s">
        <v>563</v>
      </c>
      <c r="C162" s="7" t="s">
        <v>21</v>
      </c>
      <c r="D162" s="18">
        <v>8803463007065</v>
      </c>
      <c r="E162" s="13" t="s">
        <v>564</v>
      </c>
      <c r="F162" s="7"/>
      <c r="G162" s="20" t="s">
        <v>565</v>
      </c>
      <c r="H162" s="20" t="s">
        <v>237</v>
      </c>
      <c r="I162" s="10">
        <v>48000</v>
      </c>
      <c r="J162" s="51" t="s">
        <v>231</v>
      </c>
      <c r="K162" s="16">
        <v>48</v>
      </c>
      <c r="L162" s="16">
        <v>12</v>
      </c>
      <c r="M162" s="17">
        <v>37</v>
      </c>
      <c r="N162" s="17">
        <v>26</v>
      </c>
      <c r="O162" s="17">
        <v>15</v>
      </c>
      <c r="P162" s="15">
        <v>5.94</v>
      </c>
      <c r="Q162" s="12">
        <v>21210</v>
      </c>
      <c r="R162" s="29"/>
      <c r="S162" s="29">
        <f t="shared" si="6"/>
        <v>0</v>
      </c>
      <c r="T162" s="29">
        <f t="shared" si="7"/>
        <v>0</v>
      </c>
      <c r="U162" s="1"/>
      <c r="V162" s="1"/>
    </row>
    <row r="163" spans="1:22" ht="75.599999999999994" customHeight="1" x14ac:dyDescent="0.4">
      <c r="A163" s="5">
        <v>159</v>
      </c>
      <c r="B163" s="7" t="s">
        <v>117</v>
      </c>
      <c r="C163" s="7" t="s">
        <v>21</v>
      </c>
      <c r="D163" s="18">
        <v>8803463014070</v>
      </c>
      <c r="E163" s="13" t="s">
        <v>566</v>
      </c>
      <c r="F163" s="7"/>
      <c r="G163" s="20" t="s">
        <v>567</v>
      </c>
      <c r="H163" s="20" t="s">
        <v>254</v>
      </c>
      <c r="I163" s="10">
        <v>22000</v>
      </c>
      <c r="J163" s="51" t="s">
        <v>255</v>
      </c>
      <c r="K163" s="16">
        <v>48</v>
      </c>
      <c r="L163" s="16">
        <v>12</v>
      </c>
      <c r="M163" s="17">
        <v>38</v>
      </c>
      <c r="N163" s="17">
        <v>29</v>
      </c>
      <c r="O163" s="17">
        <v>19</v>
      </c>
      <c r="P163" s="15">
        <v>9.8800000000000008</v>
      </c>
      <c r="Q163" s="12">
        <v>10350</v>
      </c>
      <c r="R163" s="29"/>
      <c r="S163" s="29">
        <f t="shared" si="6"/>
        <v>0</v>
      </c>
      <c r="T163" s="29">
        <f t="shared" si="7"/>
        <v>0</v>
      </c>
      <c r="U163" s="1"/>
      <c r="V163" s="1"/>
    </row>
    <row r="164" spans="1:22" ht="75.599999999999994" customHeight="1" x14ac:dyDescent="0.4">
      <c r="A164" s="5">
        <v>160</v>
      </c>
      <c r="B164" s="7" t="s">
        <v>117</v>
      </c>
      <c r="C164" s="7" t="s">
        <v>21</v>
      </c>
      <c r="D164" s="18">
        <v>8803463015442</v>
      </c>
      <c r="E164" s="13" t="s">
        <v>568</v>
      </c>
      <c r="F164" s="7"/>
      <c r="G164" s="20" t="s">
        <v>569</v>
      </c>
      <c r="H164" s="20" t="s">
        <v>570</v>
      </c>
      <c r="I164" s="10">
        <v>22000</v>
      </c>
      <c r="J164" s="51" t="s">
        <v>275</v>
      </c>
      <c r="K164" s="16">
        <v>36</v>
      </c>
      <c r="L164" s="16">
        <v>6</v>
      </c>
      <c r="M164" s="17">
        <v>36</v>
      </c>
      <c r="N164" s="17">
        <v>34</v>
      </c>
      <c r="O164" s="17">
        <v>22</v>
      </c>
      <c r="P164" s="15">
        <v>10.050000000000001</v>
      </c>
      <c r="Q164" s="12">
        <v>10350</v>
      </c>
      <c r="R164" s="29"/>
      <c r="S164" s="29">
        <f t="shared" si="6"/>
        <v>0</v>
      </c>
      <c r="T164" s="29">
        <f t="shared" si="7"/>
        <v>0</v>
      </c>
      <c r="U164" s="1"/>
      <c r="V164" s="1"/>
    </row>
    <row r="165" spans="1:22" ht="75.599999999999994" customHeight="1" x14ac:dyDescent="0.4">
      <c r="A165" s="5">
        <v>161</v>
      </c>
      <c r="B165" s="7" t="s">
        <v>117</v>
      </c>
      <c r="C165" s="7" t="s">
        <v>21</v>
      </c>
      <c r="D165" s="18">
        <v>8803463015435</v>
      </c>
      <c r="E165" s="13" t="s">
        <v>571</v>
      </c>
      <c r="F165" s="7"/>
      <c r="G165" s="20" t="s">
        <v>572</v>
      </c>
      <c r="H165" s="20" t="s">
        <v>573</v>
      </c>
      <c r="I165" s="10">
        <v>22000</v>
      </c>
      <c r="J165" s="51" t="s">
        <v>275</v>
      </c>
      <c r="K165" s="16">
        <v>36</v>
      </c>
      <c r="L165" s="16">
        <v>6</v>
      </c>
      <c r="M165" s="17">
        <v>36</v>
      </c>
      <c r="N165" s="17">
        <v>34</v>
      </c>
      <c r="O165" s="17">
        <v>22</v>
      </c>
      <c r="P165" s="15">
        <v>10.11</v>
      </c>
      <c r="Q165" s="12">
        <v>10350</v>
      </c>
      <c r="R165" s="29"/>
      <c r="S165" s="29">
        <f t="shared" ref="S165:S196" si="8">R165*K165</f>
        <v>0</v>
      </c>
      <c r="T165" s="29">
        <f t="shared" si="7"/>
        <v>0</v>
      </c>
      <c r="U165" s="1"/>
      <c r="V165" s="1"/>
    </row>
    <row r="166" spans="1:22" ht="75.599999999999994" customHeight="1" x14ac:dyDescent="0.4">
      <c r="A166" s="5">
        <v>162</v>
      </c>
      <c r="B166" s="7" t="s">
        <v>117</v>
      </c>
      <c r="C166" s="7" t="s">
        <v>21</v>
      </c>
      <c r="D166" s="18">
        <v>8803463011550</v>
      </c>
      <c r="E166" s="13" t="s">
        <v>574</v>
      </c>
      <c r="F166" s="7"/>
      <c r="G166" s="20" t="s">
        <v>575</v>
      </c>
      <c r="H166" s="20" t="s">
        <v>274</v>
      </c>
      <c r="I166" s="10">
        <v>22000</v>
      </c>
      <c r="J166" s="51" t="s">
        <v>275</v>
      </c>
      <c r="K166" s="16">
        <v>36</v>
      </c>
      <c r="L166" s="16">
        <v>6</v>
      </c>
      <c r="M166" s="17">
        <v>36</v>
      </c>
      <c r="N166" s="17">
        <v>34</v>
      </c>
      <c r="O166" s="17">
        <v>22</v>
      </c>
      <c r="P166" s="15">
        <v>10.11</v>
      </c>
      <c r="Q166" s="12">
        <v>10350</v>
      </c>
      <c r="R166" s="29"/>
      <c r="S166" s="29">
        <f t="shared" si="8"/>
        <v>0</v>
      </c>
      <c r="T166" s="29">
        <f t="shared" si="7"/>
        <v>0</v>
      </c>
      <c r="U166" s="1"/>
      <c r="V166" s="1"/>
    </row>
    <row r="167" spans="1:22" ht="75.599999999999994" customHeight="1" x14ac:dyDescent="0.4">
      <c r="A167" s="5">
        <v>163</v>
      </c>
      <c r="B167" s="57" t="s">
        <v>228</v>
      </c>
      <c r="C167" s="7" t="s">
        <v>21</v>
      </c>
      <c r="D167" s="18">
        <v>8803463016616</v>
      </c>
      <c r="E167" s="13" t="s">
        <v>576</v>
      </c>
      <c r="F167" s="7"/>
      <c r="G167" s="20" t="s">
        <v>577</v>
      </c>
      <c r="H167" s="20" t="s">
        <v>578</v>
      </c>
      <c r="I167" s="10">
        <v>7000</v>
      </c>
      <c r="J167" s="51" t="s">
        <v>579</v>
      </c>
      <c r="K167" s="16">
        <v>120</v>
      </c>
      <c r="L167" s="16">
        <v>12</v>
      </c>
      <c r="M167" s="17">
        <v>29</v>
      </c>
      <c r="N167" s="17">
        <v>27</v>
      </c>
      <c r="O167" s="17">
        <v>15</v>
      </c>
      <c r="P167" s="15">
        <v>3.13</v>
      </c>
      <c r="Q167" s="12">
        <v>3290</v>
      </c>
      <c r="R167" s="29"/>
      <c r="S167" s="29">
        <f t="shared" si="8"/>
        <v>0</v>
      </c>
      <c r="T167" s="29">
        <f t="shared" si="7"/>
        <v>0</v>
      </c>
      <c r="U167" s="1"/>
      <c r="V167" s="1"/>
    </row>
    <row r="168" spans="1:22" ht="75.599999999999994" customHeight="1" x14ac:dyDescent="0.4">
      <c r="A168" s="5">
        <v>164</v>
      </c>
      <c r="B168" s="6" t="s">
        <v>48</v>
      </c>
      <c r="C168" s="7" t="s">
        <v>21</v>
      </c>
      <c r="D168" s="18">
        <v>8803463006419</v>
      </c>
      <c r="E168" s="13" t="s">
        <v>580</v>
      </c>
      <c r="F168" s="7"/>
      <c r="G168" s="20" t="s">
        <v>581</v>
      </c>
      <c r="H168" s="20" t="s">
        <v>582</v>
      </c>
      <c r="I168" s="10">
        <v>68000</v>
      </c>
      <c r="J168" s="51" t="s">
        <v>583</v>
      </c>
      <c r="K168" s="16">
        <v>240</v>
      </c>
      <c r="L168" s="16">
        <v>30</v>
      </c>
      <c r="M168" s="17">
        <v>49</v>
      </c>
      <c r="N168" s="17">
        <v>54.5</v>
      </c>
      <c r="O168" s="17">
        <v>37</v>
      </c>
      <c r="P168" s="15">
        <v>25</v>
      </c>
      <c r="Q168" s="12">
        <v>30040</v>
      </c>
      <c r="R168" s="29"/>
      <c r="S168" s="29">
        <f t="shared" si="8"/>
        <v>0</v>
      </c>
      <c r="T168" s="29">
        <f t="shared" si="7"/>
        <v>0</v>
      </c>
      <c r="U168" s="1"/>
      <c r="V168" s="1"/>
    </row>
    <row r="169" spans="1:22" s="1" customFormat="1" ht="75.599999999999994" customHeight="1" x14ac:dyDescent="0.4">
      <c r="A169" s="5">
        <v>165</v>
      </c>
      <c r="B169" s="36" t="s">
        <v>116</v>
      </c>
      <c r="C169" s="7" t="s">
        <v>21</v>
      </c>
      <c r="D169" s="8">
        <v>8803463009762</v>
      </c>
      <c r="E169" s="7" t="s">
        <v>188</v>
      </c>
      <c r="F169" s="19"/>
      <c r="G169" s="9" t="s">
        <v>189</v>
      </c>
      <c r="H169" s="9" t="s">
        <v>584</v>
      </c>
      <c r="I169" s="10">
        <v>32000</v>
      </c>
      <c r="J169" s="26" t="s">
        <v>59</v>
      </c>
      <c r="K169" s="11">
        <v>48</v>
      </c>
      <c r="L169" s="11">
        <v>12</v>
      </c>
      <c r="M169" s="11">
        <v>18</v>
      </c>
      <c r="N169" s="11">
        <v>34</v>
      </c>
      <c r="O169" s="11">
        <v>20</v>
      </c>
      <c r="P169" s="58">
        <v>4</v>
      </c>
      <c r="Q169" s="12">
        <v>15670</v>
      </c>
      <c r="R169" s="29"/>
      <c r="S169" s="29">
        <f t="shared" si="8"/>
        <v>0</v>
      </c>
      <c r="T169" s="29">
        <f t="shared" si="7"/>
        <v>0</v>
      </c>
    </row>
    <row r="170" spans="1:22" s="1" customFormat="1" ht="75.599999999999994" customHeight="1" x14ac:dyDescent="0.4">
      <c r="A170" s="5">
        <v>166</v>
      </c>
      <c r="B170" s="36" t="s">
        <v>116</v>
      </c>
      <c r="C170" s="7" t="s">
        <v>21</v>
      </c>
      <c r="D170" s="8">
        <v>8803463009779</v>
      </c>
      <c r="E170" s="7" t="s">
        <v>585</v>
      </c>
      <c r="F170" s="7"/>
      <c r="G170" s="9" t="s">
        <v>586</v>
      </c>
      <c r="H170" s="9" t="s">
        <v>587</v>
      </c>
      <c r="I170" s="10">
        <v>42000</v>
      </c>
      <c r="J170" s="26" t="s">
        <v>59</v>
      </c>
      <c r="K170" s="11">
        <v>48</v>
      </c>
      <c r="L170" s="11">
        <v>12</v>
      </c>
      <c r="M170" s="11">
        <v>18</v>
      </c>
      <c r="N170" s="11">
        <v>34</v>
      </c>
      <c r="O170" s="11">
        <v>20</v>
      </c>
      <c r="P170" s="58">
        <v>4</v>
      </c>
      <c r="Q170" s="12">
        <v>20560</v>
      </c>
      <c r="R170" s="29"/>
      <c r="S170" s="29">
        <f t="shared" si="8"/>
        <v>0</v>
      </c>
      <c r="T170" s="29">
        <f t="shared" si="7"/>
        <v>0</v>
      </c>
    </row>
    <row r="171" spans="1:22" s="1" customFormat="1" ht="75.599999999999994" customHeight="1" x14ac:dyDescent="0.4">
      <c r="A171" s="5">
        <v>167</v>
      </c>
      <c r="B171" s="36" t="s">
        <v>116</v>
      </c>
      <c r="C171" s="7" t="s">
        <v>21</v>
      </c>
      <c r="D171" s="8">
        <v>8803463009960</v>
      </c>
      <c r="E171" s="7" t="s">
        <v>588</v>
      </c>
      <c r="F171" s="7"/>
      <c r="G171" s="9" t="s">
        <v>589</v>
      </c>
      <c r="H171" s="9" t="s">
        <v>590</v>
      </c>
      <c r="I171" s="10">
        <v>52000</v>
      </c>
      <c r="J171" s="26" t="s">
        <v>59</v>
      </c>
      <c r="K171" s="11">
        <v>48</v>
      </c>
      <c r="L171" s="11">
        <v>12</v>
      </c>
      <c r="M171" s="11">
        <v>18</v>
      </c>
      <c r="N171" s="11">
        <v>34</v>
      </c>
      <c r="O171" s="11">
        <v>20</v>
      </c>
      <c r="P171" s="58">
        <v>4</v>
      </c>
      <c r="Q171" s="12">
        <v>25460</v>
      </c>
      <c r="R171" s="29"/>
      <c r="S171" s="29">
        <f t="shared" si="8"/>
        <v>0</v>
      </c>
      <c r="T171" s="29">
        <f t="shared" si="7"/>
        <v>0</v>
      </c>
    </row>
    <row r="172" spans="1:22" s="1" customFormat="1" ht="75.599999999999994" customHeight="1" x14ac:dyDescent="0.4">
      <c r="A172" s="5">
        <v>168</v>
      </c>
      <c r="B172" s="36" t="s">
        <v>116</v>
      </c>
      <c r="C172" s="7" t="s">
        <v>591</v>
      </c>
      <c r="D172" s="8">
        <v>8803463011420</v>
      </c>
      <c r="E172" s="7" t="s">
        <v>592</v>
      </c>
      <c r="F172" s="7"/>
      <c r="G172" s="9" t="s">
        <v>593</v>
      </c>
      <c r="H172" s="9" t="s">
        <v>594</v>
      </c>
      <c r="I172" s="10">
        <v>76000</v>
      </c>
      <c r="J172" s="26" t="s">
        <v>595</v>
      </c>
      <c r="K172" s="11">
        <v>20</v>
      </c>
      <c r="L172" s="11">
        <v>0</v>
      </c>
      <c r="M172" s="11">
        <v>55</v>
      </c>
      <c r="N172" s="11">
        <v>24</v>
      </c>
      <c r="O172" s="11">
        <v>22</v>
      </c>
      <c r="P172" s="11">
        <v>10</v>
      </c>
      <c r="Q172" s="12">
        <v>37210</v>
      </c>
      <c r="R172" s="29"/>
      <c r="S172" s="29">
        <f t="shared" si="8"/>
        <v>0</v>
      </c>
      <c r="T172" s="29">
        <f t="shared" si="7"/>
        <v>0</v>
      </c>
    </row>
    <row r="173" spans="1:22" s="1" customFormat="1" ht="75.599999999999994" customHeight="1" x14ac:dyDescent="0.4">
      <c r="A173" s="5">
        <v>169</v>
      </c>
      <c r="B173" s="6" t="s">
        <v>48</v>
      </c>
      <c r="C173" s="7" t="s">
        <v>591</v>
      </c>
      <c r="D173" s="8">
        <v>8803463013202</v>
      </c>
      <c r="E173" s="7" t="s">
        <v>596</v>
      </c>
      <c r="F173" s="7"/>
      <c r="G173" s="9" t="s">
        <v>597</v>
      </c>
      <c r="H173" s="9" t="s">
        <v>598</v>
      </c>
      <c r="I173" s="10">
        <v>52000</v>
      </c>
      <c r="J173" s="26" t="s">
        <v>599</v>
      </c>
      <c r="K173" s="11">
        <v>48</v>
      </c>
      <c r="L173" s="11">
        <v>12</v>
      </c>
      <c r="M173" s="11">
        <v>49</v>
      </c>
      <c r="N173" s="11">
        <v>34</v>
      </c>
      <c r="O173" s="11">
        <v>15</v>
      </c>
      <c r="P173" s="11">
        <v>8</v>
      </c>
      <c r="Q173" s="12">
        <v>20490</v>
      </c>
      <c r="R173" s="29"/>
      <c r="S173" s="29">
        <f t="shared" si="8"/>
        <v>0</v>
      </c>
      <c r="T173" s="29">
        <f t="shared" si="7"/>
        <v>0</v>
      </c>
    </row>
    <row r="174" spans="1:22" s="1" customFormat="1" ht="75.599999999999994" customHeight="1" x14ac:dyDescent="0.4">
      <c r="A174" s="5">
        <v>170</v>
      </c>
      <c r="B174" s="6" t="s">
        <v>48</v>
      </c>
      <c r="C174" s="7" t="s">
        <v>591</v>
      </c>
      <c r="D174" s="8">
        <v>8803463013219</v>
      </c>
      <c r="E174" s="7" t="s">
        <v>600</v>
      </c>
      <c r="F174" s="7"/>
      <c r="G174" s="9" t="s">
        <v>601</v>
      </c>
      <c r="H174" s="9" t="s">
        <v>602</v>
      </c>
      <c r="I174" s="10">
        <v>68000</v>
      </c>
      <c r="J174" s="26" t="s">
        <v>231</v>
      </c>
      <c r="K174" s="11">
        <v>48</v>
      </c>
      <c r="L174" s="11">
        <v>12</v>
      </c>
      <c r="M174" s="11">
        <v>36</v>
      </c>
      <c r="N174" s="11">
        <v>26</v>
      </c>
      <c r="O174" s="11">
        <v>15</v>
      </c>
      <c r="P174" s="11">
        <v>6</v>
      </c>
      <c r="Q174" s="12">
        <v>26800</v>
      </c>
      <c r="R174" s="29"/>
      <c r="S174" s="29">
        <f t="shared" si="8"/>
        <v>0</v>
      </c>
      <c r="T174" s="29">
        <f t="shared" si="7"/>
        <v>0</v>
      </c>
    </row>
    <row r="175" spans="1:22" s="1" customFormat="1" ht="75.599999999999994" customHeight="1" x14ac:dyDescent="0.4">
      <c r="A175" s="5">
        <v>171</v>
      </c>
      <c r="B175" s="6" t="s">
        <v>48</v>
      </c>
      <c r="C175" s="7" t="s">
        <v>591</v>
      </c>
      <c r="D175" s="8">
        <v>8803463016753</v>
      </c>
      <c r="E175" s="7" t="s">
        <v>603</v>
      </c>
      <c r="F175" s="7"/>
      <c r="G175" s="9" t="s">
        <v>604</v>
      </c>
      <c r="H175" s="9" t="s">
        <v>605</v>
      </c>
      <c r="I175" s="10">
        <v>30000</v>
      </c>
      <c r="J175" s="26" t="s">
        <v>60</v>
      </c>
      <c r="K175" s="11">
        <v>60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2">
        <v>14100</v>
      </c>
      <c r="R175" s="29"/>
      <c r="S175" s="29">
        <f t="shared" si="8"/>
        <v>0</v>
      </c>
      <c r="T175" s="29">
        <f t="shared" si="7"/>
        <v>0</v>
      </c>
    </row>
    <row r="176" spans="1:22" s="1" customFormat="1" ht="75.599999999999994" customHeight="1" x14ac:dyDescent="0.4">
      <c r="A176" s="5">
        <v>172</v>
      </c>
      <c r="B176" s="6" t="s">
        <v>48</v>
      </c>
      <c r="C176" s="7" t="s">
        <v>591</v>
      </c>
      <c r="D176" s="8">
        <v>8803463016746</v>
      </c>
      <c r="E176" s="7" t="s">
        <v>606</v>
      </c>
      <c r="F176" s="7"/>
      <c r="G176" s="9" t="s">
        <v>607</v>
      </c>
      <c r="H176" s="9" t="s">
        <v>608</v>
      </c>
      <c r="I176" s="10">
        <v>30000</v>
      </c>
      <c r="J176" s="26" t="s">
        <v>60</v>
      </c>
      <c r="K176" s="11">
        <v>60</v>
      </c>
      <c r="L176" s="11">
        <v>0</v>
      </c>
      <c r="M176" s="11">
        <v>0</v>
      </c>
      <c r="N176" s="11">
        <v>0</v>
      </c>
      <c r="O176" s="11">
        <v>0</v>
      </c>
      <c r="P176" s="11">
        <v>0</v>
      </c>
      <c r="Q176" s="12">
        <v>14100</v>
      </c>
      <c r="R176" s="29"/>
      <c r="S176" s="29">
        <f t="shared" si="8"/>
        <v>0</v>
      </c>
      <c r="T176" s="29">
        <f t="shared" si="7"/>
        <v>0</v>
      </c>
    </row>
    <row r="177" spans="1:20" s="1" customFormat="1" ht="75.599999999999994" customHeight="1" x14ac:dyDescent="0.4">
      <c r="A177" s="5">
        <v>173</v>
      </c>
      <c r="B177" s="6" t="s">
        <v>48</v>
      </c>
      <c r="C177" s="7" t="s">
        <v>591</v>
      </c>
      <c r="D177" s="8">
        <v>8803463016739</v>
      </c>
      <c r="E177" s="7" t="s">
        <v>609</v>
      </c>
      <c r="F177" s="7"/>
      <c r="G177" s="9" t="s">
        <v>610</v>
      </c>
      <c r="H177" s="9" t="s">
        <v>611</v>
      </c>
      <c r="I177" s="10">
        <v>30000</v>
      </c>
      <c r="J177" s="26" t="s">
        <v>60</v>
      </c>
      <c r="K177" s="11">
        <v>60</v>
      </c>
      <c r="L177" s="11">
        <v>0</v>
      </c>
      <c r="M177" s="11">
        <v>0</v>
      </c>
      <c r="N177" s="11">
        <v>0</v>
      </c>
      <c r="O177" s="11">
        <v>0</v>
      </c>
      <c r="P177" s="11">
        <v>0</v>
      </c>
      <c r="Q177" s="12">
        <v>14100</v>
      </c>
      <c r="R177" s="29"/>
      <c r="S177" s="29">
        <f t="shared" si="8"/>
        <v>0</v>
      </c>
      <c r="T177" s="29">
        <f t="shared" si="7"/>
        <v>0</v>
      </c>
    </row>
    <row r="178" spans="1:20" s="1" customFormat="1" ht="75.599999999999994" customHeight="1" x14ac:dyDescent="0.4">
      <c r="A178" s="5">
        <v>174</v>
      </c>
      <c r="B178" s="36" t="s">
        <v>116</v>
      </c>
      <c r="C178" s="7" t="s">
        <v>591</v>
      </c>
      <c r="D178" s="8">
        <v>8803463017491</v>
      </c>
      <c r="E178" s="7" t="s">
        <v>612</v>
      </c>
      <c r="F178" s="7"/>
      <c r="G178" s="9" t="s">
        <v>613</v>
      </c>
      <c r="H178" s="9" t="s">
        <v>614</v>
      </c>
      <c r="I178" s="10">
        <v>26000</v>
      </c>
      <c r="J178" s="26" t="s">
        <v>179</v>
      </c>
      <c r="K178" s="11">
        <v>60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2">
        <v>12730</v>
      </c>
      <c r="R178" s="29"/>
      <c r="S178" s="29">
        <f t="shared" si="8"/>
        <v>0</v>
      </c>
      <c r="T178" s="29">
        <f t="shared" si="7"/>
        <v>0</v>
      </c>
    </row>
    <row r="179" spans="1:20" s="1" customFormat="1" ht="75.599999999999994" customHeight="1" x14ac:dyDescent="0.4">
      <c r="A179" s="5">
        <v>175</v>
      </c>
      <c r="B179" s="13" t="s">
        <v>117</v>
      </c>
      <c r="C179" s="7" t="s">
        <v>591</v>
      </c>
      <c r="D179" s="8">
        <v>8803463016883</v>
      </c>
      <c r="E179" s="7" t="s">
        <v>615</v>
      </c>
      <c r="F179" s="7"/>
      <c r="G179" s="9" t="s">
        <v>616</v>
      </c>
      <c r="H179" s="9" t="s">
        <v>617</v>
      </c>
      <c r="I179" s="10">
        <v>26000</v>
      </c>
      <c r="J179" s="26" t="s">
        <v>618</v>
      </c>
      <c r="K179" s="11">
        <v>24</v>
      </c>
      <c r="L179" s="11">
        <v>0</v>
      </c>
      <c r="M179" s="11">
        <v>0</v>
      </c>
      <c r="N179" s="11">
        <v>0</v>
      </c>
      <c r="O179" s="11">
        <v>0</v>
      </c>
      <c r="P179" s="11">
        <v>0</v>
      </c>
      <c r="Q179" s="12">
        <v>12230</v>
      </c>
      <c r="R179" s="29"/>
      <c r="S179" s="29">
        <f t="shared" si="8"/>
        <v>0</v>
      </c>
      <c r="T179" s="29">
        <f t="shared" si="7"/>
        <v>0</v>
      </c>
    </row>
    <row r="180" spans="1:20" s="1" customFormat="1" ht="75.599999999999994" customHeight="1" x14ac:dyDescent="0.4">
      <c r="A180" s="5">
        <v>176</v>
      </c>
      <c r="B180" s="13" t="s">
        <v>117</v>
      </c>
      <c r="C180" s="7" t="s">
        <v>591</v>
      </c>
      <c r="D180" s="8">
        <v>8803463016593</v>
      </c>
      <c r="E180" s="7" t="s">
        <v>619</v>
      </c>
      <c r="F180" s="7"/>
      <c r="G180" s="9" t="s">
        <v>620</v>
      </c>
      <c r="H180" s="9" t="s">
        <v>621</v>
      </c>
      <c r="I180" s="10">
        <v>23000</v>
      </c>
      <c r="J180" s="26" t="s">
        <v>622</v>
      </c>
      <c r="K180" s="11">
        <v>24</v>
      </c>
      <c r="L180" s="11">
        <v>6</v>
      </c>
      <c r="M180" s="11">
        <v>0</v>
      </c>
      <c r="N180" s="11">
        <v>0</v>
      </c>
      <c r="O180" s="11">
        <v>0</v>
      </c>
      <c r="P180" s="11">
        <v>0</v>
      </c>
      <c r="Q180" s="12">
        <v>10820</v>
      </c>
      <c r="R180" s="29"/>
      <c r="S180" s="29">
        <f t="shared" si="8"/>
        <v>0</v>
      </c>
      <c r="T180" s="29">
        <f t="shared" si="7"/>
        <v>0</v>
      </c>
    </row>
    <row r="181" spans="1:20" s="1" customFormat="1" ht="75.599999999999994" customHeight="1" x14ac:dyDescent="0.4">
      <c r="A181" s="5">
        <v>177</v>
      </c>
      <c r="B181" s="6" t="s">
        <v>48</v>
      </c>
      <c r="C181" s="7" t="s">
        <v>591</v>
      </c>
      <c r="D181" s="8">
        <v>8803463012717</v>
      </c>
      <c r="E181" s="7" t="s">
        <v>623</v>
      </c>
      <c r="F181" s="7"/>
      <c r="G181" s="9" t="s">
        <v>624</v>
      </c>
      <c r="H181" s="9" t="s">
        <v>625</v>
      </c>
      <c r="I181" s="10">
        <v>23000</v>
      </c>
      <c r="J181" s="26" t="s">
        <v>80</v>
      </c>
      <c r="K181" s="11">
        <v>48</v>
      </c>
      <c r="L181" s="11">
        <v>12</v>
      </c>
      <c r="M181" s="11">
        <v>0</v>
      </c>
      <c r="N181" s="11">
        <v>0</v>
      </c>
      <c r="O181" s="11">
        <v>0</v>
      </c>
      <c r="P181" s="11">
        <v>0</v>
      </c>
      <c r="Q181" s="12">
        <v>11920</v>
      </c>
      <c r="R181" s="29"/>
      <c r="S181" s="29">
        <f t="shared" si="8"/>
        <v>0</v>
      </c>
      <c r="T181" s="29">
        <f t="shared" si="7"/>
        <v>0</v>
      </c>
    </row>
    <row r="182" spans="1:20" s="1" customFormat="1" ht="75.599999999999994" customHeight="1" x14ac:dyDescent="0.4">
      <c r="A182" s="5">
        <v>178</v>
      </c>
      <c r="B182" s="13" t="s">
        <v>117</v>
      </c>
      <c r="C182" s="7" t="s">
        <v>591</v>
      </c>
      <c r="D182" s="8">
        <v>8803463013325</v>
      </c>
      <c r="E182" s="7" t="s">
        <v>626</v>
      </c>
      <c r="F182" s="7"/>
      <c r="G182" s="9" t="s">
        <v>627</v>
      </c>
      <c r="H182" s="9" t="s">
        <v>628</v>
      </c>
      <c r="I182" s="10">
        <v>23000</v>
      </c>
      <c r="J182" s="26" t="s">
        <v>599</v>
      </c>
      <c r="K182" s="11">
        <v>90</v>
      </c>
      <c r="L182" s="11">
        <v>15</v>
      </c>
      <c r="M182" s="11">
        <v>40</v>
      </c>
      <c r="N182" s="11">
        <v>26</v>
      </c>
      <c r="O182" s="11">
        <v>20</v>
      </c>
      <c r="P182" s="11">
        <v>4870</v>
      </c>
      <c r="Q182" s="12">
        <v>10820</v>
      </c>
      <c r="R182" s="29"/>
      <c r="S182" s="29">
        <f t="shared" si="8"/>
        <v>0</v>
      </c>
      <c r="T182" s="29">
        <f t="shared" si="7"/>
        <v>0</v>
      </c>
    </row>
    <row r="183" spans="1:20" s="1" customFormat="1" ht="75.599999999999994" customHeight="1" x14ac:dyDescent="0.4">
      <c r="A183" s="5">
        <v>179</v>
      </c>
      <c r="B183" s="13" t="s">
        <v>117</v>
      </c>
      <c r="C183" s="7" t="s">
        <v>591</v>
      </c>
      <c r="D183" s="8">
        <v>8803463017903</v>
      </c>
      <c r="E183" s="7" t="s">
        <v>629</v>
      </c>
      <c r="F183" s="7"/>
      <c r="G183" s="9" t="s">
        <v>630</v>
      </c>
      <c r="H183" s="9" t="s">
        <v>631</v>
      </c>
      <c r="I183" s="10">
        <v>26000</v>
      </c>
      <c r="J183" s="26" t="s">
        <v>599</v>
      </c>
      <c r="K183" s="11">
        <v>48</v>
      </c>
      <c r="L183" s="11">
        <v>12</v>
      </c>
      <c r="M183" s="11">
        <v>35</v>
      </c>
      <c r="N183" s="11">
        <v>27</v>
      </c>
      <c r="O183" s="11">
        <v>14</v>
      </c>
      <c r="P183" s="11">
        <v>4.8</v>
      </c>
      <c r="Q183" s="12">
        <v>12730</v>
      </c>
      <c r="R183" s="29"/>
      <c r="S183" s="29">
        <f t="shared" si="8"/>
        <v>0</v>
      </c>
      <c r="T183" s="29">
        <f t="shared" si="7"/>
        <v>0</v>
      </c>
    </row>
    <row r="184" spans="1:20" s="1" customFormat="1" ht="75.599999999999994" customHeight="1" x14ac:dyDescent="0.4">
      <c r="A184" s="5">
        <v>180</v>
      </c>
      <c r="B184" s="13" t="s">
        <v>117</v>
      </c>
      <c r="C184" s="7" t="s">
        <v>591</v>
      </c>
      <c r="D184" s="8">
        <v>8803463017910</v>
      </c>
      <c r="E184" s="7" t="s">
        <v>632</v>
      </c>
      <c r="F184" s="7"/>
      <c r="G184" s="9" t="s">
        <v>633</v>
      </c>
      <c r="H184" s="9" t="s">
        <v>634</v>
      </c>
      <c r="I184" s="10">
        <v>25000</v>
      </c>
      <c r="J184" s="26" t="s">
        <v>599</v>
      </c>
      <c r="K184" s="11">
        <v>48</v>
      </c>
      <c r="L184" s="11">
        <v>12</v>
      </c>
      <c r="M184" s="11">
        <v>35</v>
      </c>
      <c r="N184" s="11">
        <v>27</v>
      </c>
      <c r="O184" s="11">
        <v>14</v>
      </c>
      <c r="P184" s="11">
        <v>4.8</v>
      </c>
      <c r="Q184" s="12">
        <v>12240</v>
      </c>
      <c r="R184" s="29"/>
      <c r="S184" s="29">
        <f t="shared" si="8"/>
        <v>0</v>
      </c>
      <c r="T184" s="29">
        <f t="shared" si="7"/>
        <v>0</v>
      </c>
    </row>
    <row r="185" spans="1:20" s="1" customFormat="1" ht="75.599999999999994" customHeight="1" x14ac:dyDescent="0.4">
      <c r="A185" s="5">
        <v>181</v>
      </c>
      <c r="B185" s="13" t="s">
        <v>117</v>
      </c>
      <c r="C185" s="7" t="s">
        <v>591</v>
      </c>
      <c r="D185" s="8">
        <v>8803463015718</v>
      </c>
      <c r="E185" s="7" t="s">
        <v>635</v>
      </c>
      <c r="F185" s="7"/>
      <c r="G185" s="9" t="s">
        <v>636</v>
      </c>
      <c r="H185" s="9" t="s">
        <v>637</v>
      </c>
      <c r="I185" s="10">
        <v>26000</v>
      </c>
      <c r="J185" s="26" t="s">
        <v>599</v>
      </c>
      <c r="K185" s="11">
        <v>48</v>
      </c>
      <c r="L185" s="11">
        <v>12</v>
      </c>
      <c r="M185" s="11">
        <v>35</v>
      </c>
      <c r="N185" s="11">
        <v>27</v>
      </c>
      <c r="O185" s="11">
        <v>14</v>
      </c>
      <c r="P185" s="11">
        <v>4.8</v>
      </c>
      <c r="Q185" s="12">
        <v>12730</v>
      </c>
      <c r="R185" s="29"/>
      <c r="S185" s="29">
        <f t="shared" si="8"/>
        <v>0</v>
      </c>
      <c r="T185" s="29">
        <f t="shared" si="7"/>
        <v>0</v>
      </c>
    </row>
    <row r="186" spans="1:20" s="1" customFormat="1" ht="75.599999999999994" customHeight="1" x14ac:dyDescent="0.4">
      <c r="A186" s="5">
        <v>182</v>
      </c>
      <c r="B186" s="13" t="s">
        <v>117</v>
      </c>
      <c r="C186" s="7" t="s">
        <v>591</v>
      </c>
      <c r="D186" s="8">
        <v>8803463018719</v>
      </c>
      <c r="E186" s="7" t="s">
        <v>638</v>
      </c>
      <c r="F186" s="7"/>
      <c r="G186" s="9" t="s">
        <v>639</v>
      </c>
      <c r="H186" s="9" t="s">
        <v>640</v>
      </c>
      <c r="I186" s="10">
        <v>28000</v>
      </c>
      <c r="J186" s="26" t="s">
        <v>599</v>
      </c>
      <c r="K186" s="11">
        <v>48</v>
      </c>
      <c r="L186" s="11">
        <v>12</v>
      </c>
      <c r="M186" s="11">
        <v>35</v>
      </c>
      <c r="N186" s="11">
        <v>27</v>
      </c>
      <c r="O186" s="11">
        <v>14</v>
      </c>
      <c r="P186" s="11">
        <v>4.8</v>
      </c>
      <c r="Q186" s="12">
        <v>13710</v>
      </c>
      <c r="R186" s="29"/>
      <c r="S186" s="29">
        <f t="shared" si="8"/>
        <v>0</v>
      </c>
      <c r="T186" s="29">
        <f t="shared" si="7"/>
        <v>0</v>
      </c>
    </row>
    <row r="187" spans="1:20" s="1" customFormat="1" ht="75.599999999999994" customHeight="1" x14ac:dyDescent="0.4">
      <c r="A187" s="5">
        <v>183</v>
      </c>
      <c r="B187" s="13" t="s">
        <v>117</v>
      </c>
      <c r="C187" s="7" t="s">
        <v>591</v>
      </c>
      <c r="D187" s="8">
        <v>8803463016333</v>
      </c>
      <c r="E187" s="7" t="s">
        <v>641</v>
      </c>
      <c r="F187" s="7"/>
      <c r="G187" s="9" t="s">
        <v>642</v>
      </c>
      <c r="H187" s="9" t="s">
        <v>643</v>
      </c>
      <c r="I187" s="10">
        <v>19800</v>
      </c>
      <c r="J187" s="26" t="s">
        <v>644</v>
      </c>
      <c r="K187" s="11">
        <v>40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2">
        <v>9320</v>
      </c>
      <c r="R187" s="29"/>
      <c r="S187" s="29">
        <f t="shared" si="8"/>
        <v>0</v>
      </c>
      <c r="T187" s="29">
        <f t="shared" si="7"/>
        <v>0</v>
      </c>
    </row>
    <row r="188" spans="1:20" s="1" customFormat="1" ht="75.599999999999994" customHeight="1" x14ac:dyDescent="0.4">
      <c r="A188" s="5">
        <v>184</v>
      </c>
      <c r="B188" s="13" t="s">
        <v>117</v>
      </c>
      <c r="C188" s="7" t="s">
        <v>591</v>
      </c>
      <c r="D188" s="8">
        <v>8803463017880</v>
      </c>
      <c r="E188" s="7" t="s">
        <v>645</v>
      </c>
      <c r="F188" s="7"/>
      <c r="G188" s="9" t="s">
        <v>646</v>
      </c>
      <c r="H188" s="9" t="s">
        <v>647</v>
      </c>
      <c r="I188" s="10">
        <v>34000</v>
      </c>
      <c r="J188" s="26" t="s">
        <v>648</v>
      </c>
      <c r="K188" s="11">
        <v>48</v>
      </c>
      <c r="L188" s="11">
        <v>0</v>
      </c>
      <c r="M188" s="11">
        <v>0</v>
      </c>
      <c r="N188" s="11">
        <v>0</v>
      </c>
      <c r="O188" s="11">
        <v>0</v>
      </c>
      <c r="P188" s="11">
        <v>0</v>
      </c>
      <c r="Q188" s="12">
        <v>13400</v>
      </c>
      <c r="R188" s="29"/>
      <c r="S188" s="29">
        <f t="shared" si="8"/>
        <v>0</v>
      </c>
      <c r="T188" s="29">
        <f t="shared" si="7"/>
        <v>0</v>
      </c>
    </row>
    <row r="189" spans="1:20" s="1" customFormat="1" ht="75.599999999999994" customHeight="1" x14ac:dyDescent="0.4">
      <c r="A189" s="5">
        <v>185</v>
      </c>
      <c r="B189" s="36" t="s">
        <v>116</v>
      </c>
      <c r="C189" s="7" t="s">
        <v>591</v>
      </c>
      <c r="D189" s="8">
        <v>8803463018726</v>
      </c>
      <c r="E189" s="7" t="s">
        <v>649</v>
      </c>
      <c r="F189" s="7"/>
      <c r="G189" s="9" t="s">
        <v>650</v>
      </c>
      <c r="H189" s="9" t="s">
        <v>651</v>
      </c>
      <c r="I189" s="10">
        <v>23000</v>
      </c>
      <c r="J189" s="26" t="s">
        <v>275</v>
      </c>
      <c r="K189" s="11">
        <v>36</v>
      </c>
      <c r="L189" s="11">
        <v>0</v>
      </c>
      <c r="M189" s="11">
        <v>0</v>
      </c>
      <c r="N189" s="11">
        <v>0</v>
      </c>
      <c r="O189" s="11">
        <v>0</v>
      </c>
      <c r="P189" s="11">
        <v>0</v>
      </c>
      <c r="Q189" s="12">
        <v>10160</v>
      </c>
      <c r="R189" s="29"/>
      <c r="S189" s="29">
        <f t="shared" si="8"/>
        <v>0</v>
      </c>
      <c r="T189" s="29">
        <f t="shared" si="7"/>
        <v>0</v>
      </c>
    </row>
    <row r="190" spans="1:20" s="1" customFormat="1" ht="75.599999999999994" customHeight="1" x14ac:dyDescent="0.4">
      <c r="A190" s="5">
        <v>186</v>
      </c>
      <c r="B190" s="36" t="s">
        <v>116</v>
      </c>
      <c r="C190" s="7" t="s">
        <v>591</v>
      </c>
      <c r="D190" s="8">
        <v>8803463017934</v>
      </c>
      <c r="E190" s="7" t="s">
        <v>652</v>
      </c>
      <c r="F190" s="7"/>
      <c r="G190" s="9" t="s">
        <v>653</v>
      </c>
      <c r="H190" s="9" t="s">
        <v>654</v>
      </c>
      <c r="I190" s="10">
        <v>23000</v>
      </c>
      <c r="J190" s="26" t="s">
        <v>655</v>
      </c>
      <c r="K190" s="11">
        <v>48</v>
      </c>
      <c r="L190" s="11">
        <v>12</v>
      </c>
      <c r="M190" s="11">
        <v>0</v>
      </c>
      <c r="N190" s="11">
        <v>0</v>
      </c>
      <c r="O190" s="11">
        <v>0</v>
      </c>
      <c r="P190" s="11">
        <v>0</v>
      </c>
      <c r="Q190" s="12">
        <v>10820</v>
      </c>
      <c r="R190" s="29"/>
      <c r="S190" s="29">
        <f t="shared" si="8"/>
        <v>0</v>
      </c>
      <c r="T190" s="29">
        <f t="shared" si="7"/>
        <v>0</v>
      </c>
    </row>
    <row r="191" spans="1:20" s="1" customFormat="1" ht="75.599999999999994" customHeight="1" x14ac:dyDescent="0.4">
      <c r="A191" s="5">
        <v>187</v>
      </c>
      <c r="B191" s="13" t="s">
        <v>669</v>
      </c>
      <c r="C191" s="7" t="s">
        <v>591</v>
      </c>
      <c r="D191" s="8">
        <v>8803463017712</v>
      </c>
      <c r="E191" s="7" t="s">
        <v>656</v>
      </c>
      <c r="F191" s="7"/>
      <c r="G191" s="9" t="s">
        <v>657</v>
      </c>
      <c r="H191" s="9" t="s">
        <v>658</v>
      </c>
      <c r="I191" s="10">
        <v>34000</v>
      </c>
      <c r="J191" s="26" t="s">
        <v>648</v>
      </c>
      <c r="K191" s="11">
        <v>48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2">
        <v>13400</v>
      </c>
      <c r="R191" s="29"/>
      <c r="S191" s="29">
        <f t="shared" si="8"/>
        <v>0</v>
      </c>
      <c r="T191" s="29">
        <f t="shared" si="7"/>
        <v>0</v>
      </c>
    </row>
    <row r="192" spans="1:20" s="1" customFormat="1" ht="75.599999999999994" customHeight="1" x14ac:dyDescent="0.4">
      <c r="A192" s="5">
        <v>188</v>
      </c>
      <c r="B192" s="13" t="s">
        <v>670</v>
      </c>
      <c r="C192" s="7" t="s">
        <v>591</v>
      </c>
      <c r="D192" s="8">
        <v>8803463018108</v>
      </c>
      <c r="E192" s="7" t="s">
        <v>659</v>
      </c>
      <c r="F192" s="7"/>
      <c r="G192" s="9" t="s">
        <v>660</v>
      </c>
      <c r="H192" s="9" t="s">
        <v>661</v>
      </c>
      <c r="I192" s="10">
        <v>34000</v>
      </c>
      <c r="J192" s="26" t="s">
        <v>648</v>
      </c>
      <c r="K192" s="11">
        <v>48</v>
      </c>
      <c r="L192" s="11">
        <v>0</v>
      </c>
      <c r="M192" s="11">
        <v>0</v>
      </c>
      <c r="N192" s="11">
        <v>0</v>
      </c>
      <c r="O192" s="11">
        <v>0</v>
      </c>
      <c r="P192" s="11">
        <v>0</v>
      </c>
      <c r="Q192" s="12">
        <v>13400</v>
      </c>
      <c r="R192" s="29"/>
      <c r="S192" s="29">
        <f t="shared" si="8"/>
        <v>0</v>
      </c>
      <c r="T192" s="29">
        <f t="shared" si="7"/>
        <v>0</v>
      </c>
    </row>
    <row r="193" spans="1:20" s="1" customFormat="1" ht="75.599999999999994" customHeight="1" x14ac:dyDescent="0.4">
      <c r="A193" s="5">
        <v>189</v>
      </c>
      <c r="B193" s="13" t="s">
        <v>671</v>
      </c>
      <c r="C193" s="7" t="s">
        <v>591</v>
      </c>
      <c r="D193" s="8">
        <v>8803463017859</v>
      </c>
      <c r="E193" s="7" t="s">
        <v>662</v>
      </c>
      <c r="F193" s="7"/>
      <c r="G193" s="9" t="s">
        <v>663</v>
      </c>
      <c r="H193" s="9" t="s">
        <v>664</v>
      </c>
      <c r="I193" s="10">
        <v>34000</v>
      </c>
      <c r="J193" s="26" t="s">
        <v>648</v>
      </c>
      <c r="K193" s="11">
        <v>48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2">
        <v>13400</v>
      </c>
      <c r="R193" s="29"/>
      <c r="S193" s="29">
        <f t="shared" si="8"/>
        <v>0</v>
      </c>
      <c r="T193" s="29">
        <f t="shared" si="7"/>
        <v>0</v>
      </c>
    </row>
    <row r="194" spans="1:20" s="1" customFormat="1" ht="75.599999999999994" customHeight="1" x14ac:dyDescent="0.4">
      <c r="A194" s="59">
        <v>190</v>
      </c>
      <c r="B194" s="60" t="s">
        <v>671</v>
      </c>
      <c r="C194" s="61" t="s">
        <v>591</v>
      </c>
      <c r="D194" s="62">
        <v>8803463017927</v>
      </c>
      <c r="E194" s="61" t="s">
        <v>665</v>
      </c>
      <c r="F194" s="61"/>
      <c r="G194" s="63" t="s">
        <v>666</v>
      </c>
      <c r="H194" s="63" t="s">
        <v>667</v>
      </c>
      <c r="I194" s="64">
        <v>24000</v>
      </c>
      <c r="J194" s="65" t="s">
        <v>668</v>
      </c>
      <c r="K194" s="66">
        <v>12</v>
      </c>
      <c r="L194" s="66">
        <v>0</v>
      </c>
      <c r="M194" s="66">
        <v>0</v>
      </c>
      <c r="N194" s="66">
        <v>0</v>
      </c>
      <c r="O194" s="66">
        <v>0</v>
      </c>
      <c r="P194" s="66">
        <v>0</v>
      </c>
      <c r="Q194" s="12">
        <v>11740</v>
      </c>
      <c r="R194" s="75"/>
      <c r="S194" s="29">
        <f t="shared" si="8"/>
        <v>0</v>
      </c>
      <c r="T194" s="29">
        <f t="shared" si="7"/>
        <v>0</v>
      </c>
    </row>
  </sheetData>
  <autoFilter ref="D2:V194" xr:uid="{6817E25F-966C-4558-9FCC-88E125454D8A}"/>
  <mergeCells count="15">
    <mergeCell ref="S3:S4"/>
    <mergeCell ref="R3:R4"/>
    <mergeCell ref="T3:T4"/>
    <mergeCell ref="A3:A4"/>
    <mergeCell ref="B3:B4"/>
    <mergeCell ref="C3:C4"/>
    <mergeCell ref="E3:E4"/>
    <mergeCell ref="D3:D4"/>
    <mergeCell ref="G3:H3"/>
    <mergeCell ref="F3:F4"/>
    <mergeCell ref="I3:I4"/>
    <mergeCell ref="J3:J4"/>
    <mergeCell ref="K3:L3"/>
    <mergeCell ref="M3:O3"/>
    <mergeCell ref="Q3:Q4"/>
  </mergeCells>
  <phoneticPr fontId="3" type="noConversion"/>
  <conditionalFormatting sqref="E23">
    <cfRule type="duplicateValues" dxfId="2" priority="1"/>
  </conditionalFormatting>
  <conditionalFormatting sqref="D23"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VT_COSMETICS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YOOJIN JOUNG</dc:creator>
  <cp:lastModifiedBy>junghee do</cp:lastModifiedBy>
  <cp:lastPrinted>2024-12-03T07:08:29Z</cp:lastPrinted>
  <dcterms:created xsi:type="dcterms:W3CDTF">2024-04-22T01:49:38Z</dcterms:created>
  <dcterms:modified xsi:type="dcterms:W3CDTF">2026-05-22T04:47:47Z</dcterms:modified>
</cp:coreProperties>
</file>
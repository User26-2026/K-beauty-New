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J-sales6\Desktop\바이어\7. ALIANCE, VECTOR\2026\VEC-06 SPEEDYBOX\"/>
    </mc:Choice>
  </mc:AlternateContent>
  <xr:revisionPtr revIDLastSave="0" documentId="13_ncr:1_{32EBC962-C6E3-45F5-A40C-E0FC3DA14427}" xr6:coauthVersionLast="47" xr6:coauthVersionMax="47" xr10:uidLastSave="{00000000-0000-0000-0000-000000000000}"/>
  <bookViews>
    <workbookView xWindow="-120" yWindow="-120" windowWidth="29040" windowHeight="15720" tabRatio="677" activeTab="1" xr2:uid="{12215918-E76A-4498-8E54-26DF6E7C4489}"/>
  </bookViews>
  <sheets>
    <sheet name="Invoice" sheetId="2" r:id="rId1"/>
    <sheet name="Packing list" sheetId="1" r:id="rId2"/>
  </sheets>
  <definedNames>
    <definedName name="_xlnm._FilterDatabase" localSheetId="0" hidden="1">Invoice!$A$20:$G$28</definedName>
    <definedName name="_xlnm._FilterDatabase" localSheetId="1" hidden="1">'Packing list'!$A$21:$J$28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1" l="1"/>
  <c r="G24" i="1"/>
  <c r="G25" i="1"/>
  <c r="G26" i="1"/>
  <c r="G27" i="1"/>
  <c r="G22" i="1"/>
  <c r="G22" i="2"/>
  <c r="G23" i="2"/>
  <c r="G24" i="2"/>
  <c r="G25" i="2"/>
  <c r="G26" i="2"/>
  <c r="G21" i="2"/>
  <c r="H29" i="1" l="1"/>
  <c r="C29" i="1"/>
  <c r="F29" i="1"/>
  <c r="B28" i="2" l="1"/>
  <c r="E28" i="2"/>
  <c r="G28" i="2" l="1"/>
  <c r="E4" i="1" l="1"/>
</calcChain>
</file>

<file path=xl/sharedStrings.xml><?xml version="1.0" encoding="utf-8"?>
<sst xmlns="http://schemas.openxmlformats.org/spreadsheetml/2006/main" count="99" uniqueCount="72">
  <si>
    <t>PACKING LIST</t>
  </si>
  <si>
    <t>Aviation trade/Exporter</t>
  </si>
  <si>
    <t>No. &amp; date of invoice</t>
  </si>
  <si>
    <t>KJ H&amp;B CO. LTD</t>
    <phoneticPr fontId="5" type="noConversion"/>
  </si>
  <si>
    <t>#802, 223, Jangchungdan-ro,, JUNG-GU</t>
    <phoneticPr fontId="6" type="noConversion"/>
  </si>
  <si>
    <t>SEOUL, REPUBLIC OF KOREA</t>
    <phoneticPr fontId="6" type="noConversion"/>
  </si>
  <si>
    <t>T/T BASE</t>
  </si>
  <si>
    <t>(TEL : +82-10-8020-2288)</t>
    <phoneticPr fontId="6" type="noConversion"/>
  </si>
  <si>
    <t>For Account &amp; Risk of Messrs</t>
  </si>
  <si>
    <t>Notify party</t>
  </si>
  <si>
    <t>SAME AS ABOVE</t>
  </si>
  <si>
    <t>Port of loading</t>
  </si>
  <si>
    <t>Final destination</t>
  </si>
  <si>
    <t>Carrier</t>
  </si>
  <si>
    <t>Sailing on or,About</t>
  </si>
  <si>
    <t>Description of goods</t>
  </si>
  <si>
    <t>N-Weight</t>
  </si>
  <si>
    <t>G-Weight</t>
  </si>
  <si>
    <t>CARTONS</t>
  </si>
  <si>
    <t>W*L*H</t>
  </si>
  <si>
    <t>QUANTITY</t>
  </si>
  <si>
    <t>TOTAL :</t>
  </si>
  <si>
    <t>KJ H&amp;B CO., LTD</t>
    <phoneticPr fontId="5" type="noConversion"/>
  </si>
  <si>
    <t>#802, 223, Jangchungdan-ro,, JUNG-GU</t>
    <phoneticPr fontId="5" type="noConversion"/>
  </si>
  <si>
    <t>Seoul, Republic of Korea</t>
  </si>
  <si>
    <t>(TEL : +82-10-8020-2288)</t>
  </si>
  <si>
    <t>Remarks</t>
    <phoneticPr fontId="5" type="noConversion"/>
  </si>
  <si>
    <t>*T/T BASE</t>
    <phoneticPr fontId="5" type="noConversion"/>
  </si>
  <si>
    <t>*FOB KOREA</t>
    <phoneticPr fontId="5" type="noConversion"/>
  </si>
  <si>
    <t>Final destination</t>
    <phoneticPr fontId="5" type="noConversion"/>
  </si>
  <si>
    <t>Marks and numbers of PKGS</t>
  </si>
  <si>
    <t>AMOUNT</t>
  </si>
  <si>
    <t>Total</t>
    <phoneticPr fontId="3" type="noConversion"/>
  </si>
  <si>
    <t>HS Code</t>
    <phoneticPr fontId="3" type="noConversion"/>
  </si>
  <si>
    <t xml:space="preserve"> </t>
    <phoneticPr fontId="3" type="noConversion"/>
  </si>
  <si>
    <t>Shipping Marks</t>
    <phoneticPr fontId="3" type="noConversion"/>
  </si>
  <si>
    <t>PT/NO</t>
    <phoneticPr fontId="3" type="noConversion"/>
  </si>
  <si>
    <t>U/PRICE KRW</t>
    <phoneticPr fontId="5" type="noConversion"/>
  </si>
  <si>
    <t>SAME AS ABOVE</t>
    <phoneticPr fontId="3" type="noConversion"/>
  </si>
  <si>
    <t xml:space="preserve">COMMERCIAL INVOICE </t>
    <phoneticPr fontId="3" type="noConversion"/>
  </si>
  <si>
    <t>3304.99.1000</t>
  </si>
  <si>
    <t>BARCODE</t>
    <phoneticPr fontId="3" type="noConversion"/>
  </si>
  <si>
    <t>EXP DATE</t>
    <phoneticPr fontId="3" type="noConversion"/>
  </si>
  <si>
    <r>
      <rPr>
        <b/>
        <sz val="10"/>
        <rFont val="Calibri"/>
        <family val="3"/>
        <charset val="204"/>
      </rPr>
      <t>VEC-06</t>
    </r>
    <r>
      <rPr>
        <b/>
        <sz val="10"/>
        <rFont val="맑은 고딕"/>
        <family val="3"/>
        <charset val="129"/>
        <scheme val="major"/>
      </rPr>
      <t xml:space="preserve">                                                                23, JUNE 2026</t>
    </r>
    <phoneticPr fontId="5" type="noConversion"/>
  </si>
  <si>
    <t>Asia International</t>
  </si>
  <si>
    <t>Kyrgyz Republic, Bishkek, Sverdlovsk district, st. Lermontova, 35A.</t>
  </si>
  <si>
    <t>INN: 02604202210244</t>
  </si>
  <si>
    <t>BISHKEK CITY, KYRGYZSTAN</t>
    <phoneticPr fontId="5" type="noConversion"/>
  </si>
  <si>
    <t>INCHEON, KOREA</t>
    <phoneticPr fontId="3" type="noConversion"/>
  </si>
  <si>
    <t>INCHEON, KOREA</t>
    <phoneticPr fontId="5" type="noConversion"/>
  </si>
  <si>
    <t>CELIMAX DUAL BARRIER CREAMY TONER [150ml]</t>
  </si>
  <si>
    <t>3304.99.2000</t>
  </si>
  <si>
    <t>ENOUGH Premium Ultra X10 cover up Collagen foundation #13 [100ml]</t>
  </si>
  <si>
    <t>ENOUGH Premium Rich Gold Double Wear Radiance Foundation #13 [100ml]</t>
  </si>
  <si>
    <t>ENOUGH Premium Rich Gold Double Wear Radiance Foundation #21 [100ml]</t>
  </si>
  <si>
    <t>ENOUGH Gold snail moisture foundation #21 [100ml]</t>
  </si>
  <si>
    <t>ENOUGH Gold snail moisture foundation #13 [100ml]</t>
  </si>
  <si>
    <t>37.5*25*16.5</t>
  </si>
  <si>
    <t>8809606850475</t>
  </si>
  <si>
    <t>20280923</t>
  </si>
  <si>
    <t>42*41.5*17</t>
  </si>
  <si>
    <t>8809605870993</t>
  </si>
  <si>
    <t>8809605871938</t>
  </si>
  <si>
    <t>8809605871945</t>
  </si>
  <si>
    <t>43*43*17</t>
  </si>
  <si>
    <t>8809474498809</t>
  </si>
  <si>
    <t>8809474498816</t>
  </si>
  <si>
    <t>20290427</t>
  </si>
  <si>
    <t>20290108</t>
  </si>
  <si>
    <t>20290510</t>
  </si>
  <si>
    <t>20290413</t>
  </si>
  <si>
    <t>20280918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</si>
</sst>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0.0_);[Red]\(0.0\)"/>
    <numFmt numFmtId="177" formatCode="0.00000_);[Red]\(0.00000\)"/>
    <numFmt numFmtId="178" formatCode="0_);[Red]\(0\)"/>
    <numFmt numFmtId="179" formatCode="_-[$₩-412]* #,##0.00_-;\-[$₩-412]* #,##0.00_-;_-[$₩-412]* &quot;-&quot;??_-;_-@_-"/>
    <numFmt numFmtId="180" formatCode="#,##0.0"/>
    <numFmt numFmtId="181" formatCode="_-[$₩-412]* #,##0_-;\-[$₩-412]* #,##0_-;_-[$₩-412]* &quot;-&quot;??_-;_-@_-"/>
  </numFmts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Arial"/>
      <family val="2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2"/>
      <color rgb="FF000000"/>
      <name val="宋体"/>
      <family val="3"/>
      <charset val="129"/>
    </font>
    <font>
      <sz val="11"/>
      <color rgb="FF00000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4"/>
      <name val="맑은 고딕"/>
      <family val="3"/>
      <charset val="129"/>
      <scheme val="major"/>
    </font>
    <font>
      <b/>
      <sz val="11"/>
      <name val="Arial"/>
      <family val="2"/>
    </font>
    <font>
      <b/>
      <sz val="11"/>
      <name val="맑은 고딕"/>
      <family val="3"/>
      <charset val="129"/>
      <scheme val="major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11"/>
      <name val="맑은 고딕"/>
      <family val="2"/>
      <charset val="129"/>
      <scheme val="minor"/>
    </font>
    <font>
      <b/>
      <sz val="10"/>
      <name val="Calibri"/>
      <family val="3"/>
      <charset val="204"/>
    </font>
    <font>
      <sz val="10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b/>
      <sz val="9"/>
      <name val="굴림"/>
      <family val="3"/>
      <charset val="129"/>
    </font>
    <font>
      <b/>
      <sz val="1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11"/>
      <color rgb="FF000000"/>
      <name val="굴림"/>
      <family val="3"/>
      <charset val="129"/>
    </font>
    <font>
      <b/>
      <sz val="10"/>
      <name val="맑은 고딕"/>
      <family val="3"/>
      <charset val="204"/>
      <scheme val="major"/>
    </font>
    <font>
      <u/>
      <sz val="11"/>
      <color theme="10"/>
      <name val="맑은 고딕"/>
      <family val="2"/>
      <charset val="129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 diagonalUp="1" diagonalDown="1">
      <left/>
      <right/>
      <top style="medium">
        <color indexed="64"/>
      </top>
      <bottom/>
      <diagonal/>
    </border>
    <border diagonalUp="1" diagonalDown="1"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 diagonalUp="1" diagonalDown="1">
      <left style="medium">
        <color indexed="64"/>
      </left>
      <right/>
      <top/>
      <bottom style="medium">
        <color indexed="64"/>
      </bottom>
      <diagonal/>
    </border>
    <border diagonalUp="1" diagonalDown="1">
      <left/>
      <right/>
      <top/>
      <bottom style="medium">
        <color indexed="64"/>
      </bottom>
      <diagonal/>
    </border>
    <border diagonalUp="1" diagonalDown="1">
      <left/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/>
      <top/>
      <bottom/>
      <diagonal/>
    </border>
    <border diagonalUp="1" diagonalDown="1"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 diagonalUp="1" diagonalDown="1"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Up="1" diagonalDown="1">
      <left style="thin">
        <color indexed="64"/>
      </left>
      <right/>
      <top style="medium">
        <color indexed="64"/>
      </top>
      <bottom/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7" fillId="0" borderId="0"/>
    <xf numFmtId="0" fontId="8" fillId="2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0" fontId="16" fillId="0" borderId="0" xfId="3" applyFont="1">
      <alignment vertical="center"/>
    </xf>
    <xf numFmtId="0" fontId="16" fillId="0" borderId="0" xfId="4" applyFont="1" applyAlignment="1">
      <alignment vertical="center"/>
    </xf>
    <xf numFmtId="0" fontId="15" fillId="0" borderId="2" xfId="4" applyFont="1" applyBorder="1" applyAlignment="1">
      <alignment horizontal="center" vertical="center"/>
    </xf>
    <xf numFmtId="176" fontId="15" fillId="0" borderId="2" xfId="4" applyNumberFormat="1" applyFont="1" applyBorder="1" applyAlignment="1">
      <alignment horizontal="center" vertical="center"/>
    </xf>
    <xf numFmtId="0" fontId="15" fillId="0" borderId="0" xfId="4" applyFont="1" applyAlignment="1">
      <alignment horizontal="center" vertical="center"/>
    </xf>
    <xf numFmtId="0" fontId="15" fillId="0" borderId="0" xfId="4" applyFont="1" applyAlignment="1">
      <alignment vertical="center"/>
    </xf>
    <xf numFmtId="0" fontId="15" fillId="0" borderId="10" xfId="4" applyFont="1" applyBorder="1" applyAlignment="1">
      <alignment horizontal="left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>
      <alignment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>
      <alignment vertical="center"/>
    </xf>
    <xf numFmtId="0" fontId="15" fillId="0" borderId="20" xfId="4" applyFont="1" applyBorder="1" applyAlignment="1">
      <alignment horizontal="left" vertical="center"/>
    </xf>
    <xf numFmtId="0" fontId="15" fillId="0" borderId="10" xfId="4" quotePrefix="1" applyFont="1" applyBorder="1" applyAlignment="1">
      <alignment horizontal="left" vertical="center"/>
    </xf>
    <xf numFmtId="0" fontId="23" fillId="0" borderId="21" xfId="4" applyFont="1" applyBorder="1" applyAlignment="1">
      <alignment horizontal="left" vertical="center"/>
    </xf>
    <xf numFmtId="178" fontId="17" fillId="0" borderId="32" xfId="0" applyNumberFormat="1" applyFont="1" applyBorder="1" applyAlignment="1">
      <alignment horizontal="center" vertical="center"/>
    </xf>
    <xf numFmtId="0" fontId="15" fillId="0" borderId="17" xfId="4" applyFont="1" applyBorder="1" applyAlignment="1">
      <alignment vertical="center"/>
    </xf>
    <xf numFmtId="0" fontId="15" fillId="0" borderId="18" xfId="4" applyFont="1" applyBorder="1" applyAlignment="1">
      <alignment horizontal="center" vertical="center"/>
    </xf>
    <xf numFmtId="176" fontId="15" fillId="0" borderId="18" xfId="4" applyNumberFormat="1" applyFont="1" applyBorder="1" applyAlignment="1">
      <alignment horizontal="center" vertical="center"/>
    </xf>
    <xf numFmtId="0" fontId="16" fillId="0" borderId="0" xfId="3" applyFont="1" applyAlignment="1">
      <alignment horizontal="center" vertical="center"/>
    </xf>
    <xf numFmtId="176" fontId="16" fillId="0" borderId="0" xfId="3" applyNumberFormat="1" applyFont="1" applyAlignment="1">
      <alignment horizontal="center" vertical="center"/>
    </xf>
    <xf numFmtId="177" fontId="16" fillId="0" borderId="0" xfId="3" applyNumberFormat="1" applyFont="1">
      <alignment vertical="center"/>
    </xf>
    <xf numFmtId="178" fontId="16" fillId="0" borderId="0" xfId="3" applyNumberFormat="1" applyFont="1" applyAlignment="1">
      <alignment horizontal="center" vertical="center"/>
    </xf>
    <xf numFmtId="0" fontId="15" fillId="0" borderId="3" xfId="4" applyFont="1" applyBorder="1" applyAlignment="1">
      <alignment vertical="center"/>
    </xf>
    <xf numFmtId="176" fontId="15" fillId="0" borderId="0" xfId="4" applyNumberFormat="1" applyFont="1" applyAlignment="1">
      <alignment horizontal="center" vertical="center"/>
    </xf>
    <xf numFmtId="0" fontId="15" fillId="0" borderId="11" xfId="4" applyFont="1" applyBorder="1" applyAlignment="1">
      <alignment vertical="center"/>
    </xf>
    <xf numFmtId="0" fontId="15" fillId="0" borderId="19" xfId="4" applyFont="1" applyBorder="1" applyAlignment="1">
      <alignment vertical="center"/>
    </xf>
    <xf numFmtId="179" fontId="17" fillId="0" borderId="18" xfId="12" applyNumberFormat="1" applyFont="1" applyFill="1" applyBorder="1" applyAlignment="1">
      <alignment vertical="center"/>
    </xf>
    <xf numFmtId="179" fontId="18" fillId="0" borderId="0" xfId="12" applyNumberFormat="1" applyFont="1" applyFill="1">
      <alignment vertical="center"/>
    </xf>
    <xf numFmtId="0" fontId="18" fillId="0" borderId="0" xfId="0" applyFont="1">
      <alignment vertical="center"/>
    </xf>
    <xf numFmtId="178" fontId="17" fillId="0" borderId="10" xfId="4" applyNumberFormat="1" applyFont="1" applyBorder="1" applyAlignment="1">
      <alignment vertical="center"/>
    </xf>
    <xf numFmtId="178" fontId="17" fillId="0" borderId="9" xfId="4" applyNumberFormat="1" applyFont="1" applyBorder="1" applyAlignment="1">
      <alignment horizontal="center" vertical="center"/>
    </xf>
    <xf numFmtId="178" fontId="17" fillId="0" borderId="17" xfId="4" applyNumberFormat="1" applyFont="1" applyBorder="1" applyAlignment="1">
      <alignment vertical="center"/>
    </xf>
    <xf numFmtId="0" fontId="17" fillId="0" borderId="18" xfId="4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8" fontId="18" fillId="0" borderId="0" xfId="0" applyNumberFormat="1" applyFont="1">
      <alignment vertical="center"/>
    </xf>
    <xf numFmtId="179" fontId="18" fillId="0" borderId="0" xfId="0" applyNumberFormat="1" applyFont="1">
      <alignment vertical="center"/>
    </xf>
    <xf numFmtId="179" fontId="17" fillId="0" borderId="0" xfId="12" applyNumberFormat="1" applyFont="1" applyFill="1" applyBorder="1" applyAlignment="1">
      <alignment vertical="center"/>
    </xf>
    <xf numFmtId="179" fontId="17" fillId="0" borderId="11" xfId="4" applyNumberFormat="1" applyFont="1" applyBorder="1" applyAlignment="1">
      <alignment vertical="center"/>
    </xf>
    <xf numFmtId="179" fontId="17" fillId="0" borderId="19" xfId="4" applyNumberFormat="1" applyFont="1" applyBorder="1" applyAlignment="1">
      <alignment vertical="center"/>
    </xf>
    <xf numFmtId="0" fontId="17" fillId="0" borderId="0" xfId="4" applyFont="1" applyAlignment="1">
      <alignment vertical="center"/>
    </xf>
    <xf numFmtId="178" fontId="17" fillId="0" borderId="0" xfId="0" applyNumberFormat="1" applyFont="1" applyAlignment="1">
      <alignment horizontal="center" vertical="center"/>
    </xf>
    <xf numFmtId="0" fontId="17" fillId="0" borderId="12" xfId="4" applyFont="1" applyBorder="1" applyAlignment="1">
      <alignment horizontal="left" vertical="center"/>
    </xf>
    <xf numFmtId="178" fontId="17" fillId="0" borderId="14" xfId="4" applyNumberFormat="1" applyFont="1" applyBorder="1" applyAlignment="1">
      <alignment horizontal="center" vertical="center"/>
    </xf>
    <xf numFmtId="0" fontId="17" fillId="4" borderId="15" xfId="4" applyFont="1" applyFill="1" applyBorder="1" applyAlignment="1">
      <alignment vertical="center"/>
    </xf>
    <xf numFmtId="0" fontId="17" fillId="4" borderId="0" xfId="4" applyFont="1" applyFill="1" applyAlignment="1">
      <alignment horizontal="center" vertical="center"/>
    </xf>
    <xf numFmtId="178" fontId="17" fillId="4" borderId="16" xfId="4" applyNumberFormat="1" applyFont="1" applyFill="1" applyBorder="1" applyAlignment="1">
      <alignment horizontal="center" vertical="center"/>
    </xf>
    <xf numFmtId="0" fontId="17" fillId="4" borderId="10" xfId="4" applyFont="1" applyFill="1" applyBorder="1" applyAlignment="1">
      <alignment vertical="center"/>
    </xf>
    <xf numFmtId="178" fontId="17" fillId="4" borderId="11" xfId="4" applyNumberFormat="1" applyFont="1" applyFill="1" applyBorder="1" applyAlignment="1">
      <alignment horizontal="center" vertical="center"/>
    </xf>
    <xf numFmtId="0" fontId="15" fillId="0" borderId="2" xfId="4" applyFont="1" applyBorder="1" applyAlignment="1">
      <alignment vertical="center"/>
    </xf>
    <xf numFmtId="0" fontId="15" fillId="0" borderId="0" xfId="4" applyFont="1" applyAlignment="1">
      <alignment horizontal="left" vertical="center"/>
    </xf>
    <xf numFmtId="0" fontId="4" fillId="0" borderId="10" xfId="4" applyFont="1" applyBorder="1" applyAlignment="1">
      <alignment horizontal="center" vertical="center"/>
    </xf>
    <xf numFmtId="0" fontId="4" fillId="0" borderId="0" xfId="4" applyFont="1" applyAlignment="1">
      <alignment vertical="center"/>
    </xf>
    <xf numFmtId="0" fontId="4" fillId="0" borderId="0" xfId="4" applyFont="1" applyAlignment="1">
      <alignment horizontal="center" vertical="center"/>
    </xf>
    <xf numFmtId="0" fontId="4" fillId="0" borderId="11" xfId="4" applyFont="1" applyBorder="1" applyAlignment="1">
      <alignment vertical="center"/>
    </xf>
    <xf numFmtId="178" fontId="17" fillId="4" borderId="0" xfId="4" applyNumberFormat="1" applyFont="1" applyFill="1" applyAlignment="1">
      <alignment horizontal="center" vertical="center"/>
    </xf>
    <xf numFmtId="0" fontId="12" fillId="4" borderId="11" xfId="0" applyFont="1" applyFill="1" applyBorder="1">
      <alignment vertical="center"/>
    </xf>
    <xf numFmtId="0" fontId="17" fillId="0" borderId="13" xfId="4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178" fontId="13" fillId="0" borderId="46" xfId="0" applyNumberFormat="1" applyFont="1" applyBorder="1" applyAlignment="1">
      <alignment horizontal="center" vertical="center"/>
    </xf>
    <xf numFmtId="178" fontId="13" fillId="0" borderId="46" xfId="0" applyNumberFormat="1" applyFont="1" applyBorder="1" applyAlignment="1">
      <alignment horizontal="left" vertical="center"/>
    </xf>
    <xf numFmtId="3" fontId="13" fillId="0" borderId="46" xfId="0" applyNumberFormat="1" applyFont="1" applyBorder="1">
      <alignment vertical="center"/>
    </xf>
    <xf numFmtId="179" fontId="13" fillId="0" borderId="46" xfId="12" applyNumberFormat="1" applyFont="1" applyFill="1" applyBorder="1" applyAlignment="1">
      <alignment horizontal="right" vertical="center"/>
    </xf>
    <xf numFmtId="3" fontId="10" fillId="0" borderId="26" xfId="0" applyNumberFormat="1" applyFont="1" applyBorder="1" applyAlignment="1">
      <alignment horizontal="center" vertical="center"/>
    </xf>
    <xf numFmtId="4" fontId="15" fillId="0" borderId="2" xfId="4" applyNumberFormat="1" applyFont="1" applyBorder="1" applyAlignment="1">
      <alignment horizontal="center" vertical="center"/>
    </xf>
    <xf numFmtId="4" fontId="15" fillId="0" borderId="0" xfId="4" applyNumberFormat="1" applyFont="1" applyAlignment="1">
      <alignment horizontal="center" vertical="center"/>
    </xf>
    <xf numFmtId="4" fontId="15" fillId="0" borderId="18" xfId="4" applyNumberFormat="1" applyFont="1" applyBorder="1" applyAlignment="1">
      <alignment horizontal="center" vertical="center"/>
    </xf>
    <xf numFmtId="4" fontId="16" fillId="0" borderId="0" xfId="3" applyNumberFormat="1" applyFont="1">
      <alignment vertical="center"/>
    </xf>
    <xf numFmtId="4" fontId="16" fillId="0" borderId="0" xfId="3" applyNumberFormat="1" applyFont="1" applyAlignment="1">
      <alignment horizontal="center" vertical="center"/>
    </xf>
    <xf numFmtId="0" fontId="28" fillId="4" borderId="10" xfId="13" applyFill="1" applyBorder="1" applyAlignment="1">
      <alignment vertical="center"/>
    </xf>
    <xf numFmtId="0" fontId="17" fillId="4" borderId="0" xfId="4" applyFont="1" applyFill="1" applyAlignment="1">
      <alignment vertical="center"/>
    </xf>
    <xf numFmtId="0" fontId="17" fillId="4" borderId="11" xfId="4" applyFont="1" applyFill="1" applyBorder="1" applyAlignment="1">
      <alignment vertical="center"/>
    </xf>
    <xf numFmtId="0" fontId="17" fillId="4" borderId="0" xfId="4" applyFont="1" applyFill="1" applyAlignment="1">
      <alignment vertical="center" wrapText="1"/>
    </xf>
    <xf numFmtId="0" fontId="17" fillId="4" borderId="11" xfId="4" applyFont="1" applyFill="1" applyBorder="1" applyAlignment="1">
      <alignment vertical="center" wrapText="1"/>
    </xf>
    <xf numFmtId="181" fontId="10" fillId="0" borderId="24" xfId="0" applyNumberFormat="1" applyFont="1" applyBorder="1" applyAlignment="1">
      <alignment horizontal="right" vertical="center"/>
    </xf>
    <xf numFmtId="0" fontId="21" fillId="0" borderId="49" xfId="4" applyFont="1" applyBorder="1" applyAlignment="1">
      <alignment vertical="center"/>
    </xf>
    <xf numFmtId="0" fontId="21" fillId="0" borderId="50" xfId="4" applyFont="1" applyBorder="1" applyAlignment="1">
      <alignment horizontal="center" vertical="center"/>
    </xf>
    <xf numFmtId="178" fontId="17" fillId="0" borderId="51" xfId="4" applyNumberFormat="1" applyFont="1" applyBorder="1" applyAlignment="1">
      <alignment horizontal="center" vertical="center"/>
    </xf>
    <xf numFmtId="178" fontId="17" fillId="0" borderId="52" xfId="4" applyNumberFormat="1" applyFont="1" applyBorder="1" applyAlignment="1">
      <alignment horizontal="center" vertical="center"/>
    </xf>
    <xf numFmtId="178" fontId="17" fillId="0" borderId="52" xfId="4" applyNumberFormat="1" applyFont="1" applyBorder="1" applyAlignment="1">
      <alignment vertical="center"/>
    </xf>
    <xf numFmtId="179" fontId="17" fillId="0" borderId="53" xfId="12" applyNumberFormat="1" applyFont="1" applyFill="1" applyBorder="1" applyAlignment="1">
      <alignment horizontal="center" vertical="center" wrapText="1"/>
    </xf>
    <xf numFmtId="179" fontId="17" fillId="0" borderId="54" xfId="4" applyNumberFormat="1" applyFont="1" applyBorder="1" applyAlignment="1">
      <alignment horizontal="center" vertical="center"/>
    </xf>
    <xf numFmtId="3" fontId="10" fillId="0" borderId="28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/>
    </xf>
    <xf numFmtId="3" fontId="10" fillId="0" borderId="28" xfId="0" applyNumberFormat="1" applyFont="1" applyBorder="1" applyAlignment="1">
      <alignment horizontal="right" vertical="center"/>
    </xf>
    <xf numFmtId="3" fontId="10" fillId="0" borderId="23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3" xfId="0" applyFont="1" applyBorder="1" applyAlignment="1">
      <alignment horizontal="left" vertical="center"/>
    </xf>
    <xf numFmtId="3" fontId="10" fillId="0" borderId="23" xfId="0" applyNumberFormat="1" applyFont="1" applyBorder="1" applyAlignment="1">
      <alignment horizontal="right" vertical="center"/>
    </xf>
    <xf numFmtId="181" fontId="10" fillId="0" borderId="48" xfId="0" applyNumberFormat="1" applyFont="1" applyBorder="1" applyAlignment="1">
      <alignment horizontal="right" vertical="center"/>
    </xf>
    <xf numFmtId="0" fontId="10" fillId="0" borderId="26" xfId="0" applyFont="1" applyBorder="1" applyAlignment="1">
      <alignment horizontal="left" vertical="center"/>
    </xf>
    <xf numFmtId="3" fontId="10" fillId="0" borderId="26" xfId="0" applyNumberFormat="1" applyFont="1" applyBorder="1" applyAlignment="1">
      <alignment horizontal="right" vertical="center"/>
    </xf>
    <xf numFmtId="3" fontId="13" fillId="5" borderId="46" xfId="0" applyNumberFormat="1" applyFont="1" applyFill="1" applyBorder="1" applyAlignment="1">
      <alignment horizontal="center" vertical="center"/>
    </xf>
    <xf numFmtId="181" fontId="13" fillId="5" borderId="47" xfId="0" applyNumberFormat="1" applyFont="1" applyFill="1" applyBorder="1" applyAlignment="1">
      <alignment horizontal="right" vertical="center"/>
    </xf>
    <xf numFmtId="0" fontId="12" fillId="0" borderId="2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49" fontId="21" fillId="0" borderId="17" xfId="0" applyNumberFormat="1" applyFont="1" applyBorder="1" applyAlignment="1">
      <alignment horizontal="center" vertical="center"/>
    </xf>
    <xf numFmtId="49" fontId="21" fillId="0" borderId="19" xfId="0" applyNumberFormat="1" applyFont="1" applyBorder="1" applyAlignment="1">
      <alignment horizontal="center" vertical="center"/>
    </xf>
    <xf numFmtId="49" fontId="17" fillId="0" borderId="10" xfId="4" applyNumberFormat="1" applyFont="1" applyBorder="1" applyAlignment="1">
      <alignment horizontal="left" vertical="center"/>
    </xf>
    <xf numFmtId="49" fontId="17" fillId="0" borderId="0" xfId="4" applyNumberFormat="1" applyFont="1" applyAlignment="1">
      <alignment horizontal="left" vertical="center"/>
    </xf>
    <xf numFmtId="49" fontId="17" fillId="0" borderId="11" xfId="4" applyNumberFormat="1" applyFont="1" applyBorder="1" applyAlignment="1">
      <alignment horizontal="left" vertical="center"/>
    </xf>
    <xf numFmtId="0" fontId="17" fillId="0" borderId="17" xfId="4" applyFont="1" applyBorder="1" applyAlignment="1">
      <alignment horizontal="left" vertical="center"/>
    </xf>
    <xf numFmtId="0" fontId="17" fillId="0" borderId="18" xfId="4" applyFont="1" applyBorder="1" applyAlignment="1">
      <alignment horizontal="left" vertical="center"/>
    </xf>
    <xf numFmtId="0" fontId="17" fillId="0" borderId="19" xfId="4" applyFont="1" applyBorder="1" applyAlignment="1">
      <alignment horizontal="left" vertical="center"/>
    </xf>
    <xf numFmtId="0" fontId="17" fillId="0" borderId="1" xfId="4" applyFont="1" applyBorder="1" applyAlignment="1">
      <alignment horizontal="left" vertical="center"/>
    </xf>
    <xf numFmtId="0" fontId="17" fillId="0" borderId="2" xfId="4" applyFont="1" applyBorder="1" applyAlignment="1">
      <alignment horizontal="left" vertical="center"/>
    </xf>
    <xf numFmtId="0" fontId="17" fillId="0" borderId="3" xfId="4" applyFont="1" applyBorder="1" applyAlignment="1">
      <alignment horizontal="left" vertical="center"/>
    </xf>
    <xf numFmtId="0" fontId="20" fillId="0" borderId="12" xfId="4" applyFont="1" applyBorder="1" applyAlignment="1">
      <alignment horizontal="left" vertical="center"/>
    </xf>
    <xf numFmtId="0" fontId="20" fillId="0" borderId="13" xfId="4" applyFont="1" applyBorder="1" applyAlignment="1">
      <alignment horizontal="left" vertical="center"/>
    </xf>
    <xf numFmtId="0" fontId="20" fillId="0" borderId="14" xfId="4" applyFont="1" applyBorder="1" applyAlignment="1">
      <alignment horizontal="left" vertical="center"/>
    </xf>
    <xf numFmtId="0" fontId="26" fillId="0" borderId="15" xfId="4" applyFont="1" applyBorder="1" applyAlignment="1">
      <alignment horizontal="left" vertical="center"/>
    </xf>
    <xf numFmtId="0" fontId="26" fillId="0" borderId="0" xfId="4" applyFont="1" applyAlignment="1">
      <alignment horizontal="left" vertical="center"/>
    </xf>
    <xf numFmtId="0" fontId="26" fillId="0" borderId="11" xfId="4" applyFont="1" applyBorder="1" applyAlignment="1">
      <alignment horizontal="left" vertical="center"/>
    </xf>
    <xf numFmtId="0" fontId="26" fillId="3" borderId="15" xfId="4" applyFont="1" applyFill="1" applyBorder="1" applyAlignment="1">
      <alignment horizontal="left" vertical="center"/>
    </xf>
    <xf numFmtId="0" fontId="26" fillId="3" borderId="0" xfId="4" applyFont="1" applyFill="1" applyAlignment="1">
      <alignment horizontal="left" vertical="center"/>
    </xf>
    <xf numFmtId="0" fontId="26" fillId="3" borderId="11" xfId="4" applyFont="1" applyFill="1" applyBorder="1" applyAlignment="1">
      <alignment horizontal="left" vertical="center"/>
    </xf>
    <xf numFmtId="0" fontId="26" fillId="0" borderId="15" xfId="4" quotePrefix="1" applyFont="1" applyBorder="1" applyAlignment="1">
      <alignment horizontal="left" vertical="center"/>
    </xf>
    <xf numFmtId="0" fontId="17" fillId="0" borderId="1" xfId="4" applyFont="1" applyBorder="1" applyAlignment="1">
      <alignment horizontal="center" vertical="center"/>
    </xf>
    <xf numFmtId="0" fontId="17" fillId="0" borderId="3" xfId="4" applyFont="1" applyBorder="1" applyAlignment="1">
      <alignment horizontal="center" vertical="center"/>
    </xf>
    <xf numFmtId="0" fontId="17" fillId="0" borderId="12" xfId="4" applyFont="1" applyBorder="1" applyAlignment="1">
      <alignment horizontal="center" vertical="center"/>
    </xf>
    <xf numFmtId="0" fontId="17" fillId="0" borderId="14" xfId="4" applyFont="1" applyBorder="1" applyAlignment="1">
      <alignment horizontal="center" vertical="center"/>
    </xf>
    <xf numFmtId="0" fontId="17" fillId="0" borderId="22" xfId="4" applyFont="1" applyBorder="1" applyAlignment="1">
      <alignment horizontal="center" vertical="center"/>
    </xf>
    <xf numFmtId="0" fontId="17" fillId="0" borderId="23" xfId="4" applyFont="1" applyBorder="1" applyAlignment="1">
      <alignment horizontal="center" vertical="center"/>
    </xf>
    <xf numFmtId="0" fontId="17" fillId="0" borderId="24" xfId="4" applyFont="1" applyBorder="1" applyAlignment="1">
      <alignment horizontal="center" vertical="center"/>
    </xf>
    <xf numFmtId="0" fontId="17" fillId="0" borderId="35" xfId="4" applyFont="1" applyBorder="1" applyAlignment="1">
      <alignment horizontal="center" vertical="center"/>
    </xf>
    <xf numFmtId="0" fontId="17" fillId="0" borderId="29" xfId="4" applyFont="1" applyBorder="1" applyAlignment="1">
      <alignment horizontal="center" vertical="center"/>
    </xf>
    <xf numFmtId="0" fontId="17" fillId="0" borderId="36" xfId="4" applyFont="1" applyBorder="1" applyAlignment="1">
      <alignment horizontal="center" vertical="center"/>
    </xf>
    <xf numFmtId="0" fontId="17" fillId="0" borderId="37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0" borderId="34" xfId="0" applyFont="1" applyBorder="1" applyAlignment="1">
      <alignment horizontal="left" vertical="center"/>
    </xf>
    <xf numFmtId="0" fontId="17" fillId="0" borderId="37" xfId="4" applyFont="1" applyBorder="1" applyAlignment="1">
      <alignment horizontal="left" vertical="center"/>
    </xf>
    <xf numFmtId="0" fontId="17" fillId="0" borderId="33" xfId="4" applyFont="1" applyBorder="1" applyAlignment="1">
      <alignment horizontal="left" vertical="center"/>
    </xf>
    <xf numFmtId="0" fontId="17" fillId="0" borderId="34" xfId="4" applyFont="1" applyBorder="1" applyAlignment="1">
      <alignment horizontal="left" vertical="center"/>
    </xf>
    <xf numFmtId="0" fontId="17" fillId="0" borderId="38" xfId="4" applyFont="1" applyBorder="1" applyAlignment="1">
      <alignment horizontal="left" vertical="center"/>
    </xf>
    <xf numFmtId="0" fontId="17" fillId="0" borderId="39" xfId="4" applyFont="1" applyBorder="1" applyAlignment="1">
      <alignment horizontal="left" vertical="center"/>
    </xf>
    <xf numFmtId="0" fontId="17" fillId="0" borderId="40" xfId="4" applyFont="1" applyBorder="1" applyAlignment="1">
      <alignment horizontal="left" vertical="center"/>
    </xf>
    <xf numFmtId="0" fontId="27" fillId="6" borderId="39" xfId="0" applyFont="1" applyFill="1" applyBorder="1" applyAlignment="1">
      <alignment horizontal="left" vertical="center"/>
    </xf>
    <xf numFmtId="0" fontId="17" fillId="6" borderId="39" xfId="0" applyFont="1" applyFill="1" applyBorder="1" applyAlignment="1">
      <alignment horizontal="left" vertical="center"/>
    </xf>
    <xf numFmtId="0" fontId="17" fillId="6" borderId="41" xfId="0" applyFont="1" applyFill="1" applyBorder="1" applyAlignment="1">
      <alignment horizontal="left" vertical="center"/>
    </xf>
    <xf numFmtId="0" fontId="17" fillId="0" borderId="30" xfId="4" applyFont="1" applyBorder="1" applyAlignment="1">
      <alignment horizontal="left" vertical="center"/>
    </xf>
    <xf numFmtId="0" fontId="17" fillId="0" borderId="42" xfId="4" applyFont="1" applyBorder="1" applyAlignment="1">
      <alignment horizontal="left" vertical="center"/>
    </xf>
    <xf numFmtId="0" fontId="17" fillId="0" borderId="31" xfId="4" applyFont="1" applyBorder="1" applyAlignment="1">
      <alignment horizontal="left" vertical="center"/>
    </xf>
    <xf numFmtId="0" fontId="17" fillId="0" borderId="7" xfId="4" applyFont="1" applyBorder="1" applyAlignment="1">
      <alignment horizontal="left" vertical="center" wrapText="1"/>
    </xf>
    <xf numFmtId="0" fontId="17" fillId="0" borderId="2" xfId="4" applyFont="1" applyBorder="1" applyAlignment="1">
      <alignment horizontal="left" vertical="center" wrapText="1"/>
    </xf>
    <xf numFmtId="0" fontId="17" fillId="0" borderId="9" xfId="4" applyFont="1" applyBorder="1" applyAlignment="1">
      <alignment horizontal="left" vertical="center" wrapText="1"/>
    </xf>
    <xf numFmtId="0" fontId="17" fillId="0" borderId="2" xfId="4" applyFont="1" applyBorder="1" applyAlignment="1">
      <alignment horizontal="center" vertical="center"/>
    </xf>
    <xf numFmtId="0" fontId="17" fillId="0" borderId="10" xfId="4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7" fillId="0" borderId="11" xfId="4" applyFont="1" applyBorder="1" applyAlignment="1">
      <alignment horizontal="center" vertical="center"/>
    </xf>
    <xf numFmtId="0" fontId="17" fillId="0" borderId="17" xfId="4" applyFont="1" applyBorder="1" applyAlignment="1">
      <alignment horizontal="center" vertical="center"/>
    </xf>
    <xf numFmtId="0" fontId="17" fillId="0" borderId="18" xfId="4" applyFont="1" applyBorder="1" applyAlignment="1">
      <alignment horizontal="center" vertical="center"/>
    </xf>
    <xf numFmtId="0" fontId="17" fillId="0" borderId="19" xfId="4" applyFont="1" applyBorder="1" applyAlignment="1">
      <alignment horizontal="center" vertical="center"/>
    </xf>
    <xf numFmtId="0" fontId="17" fillId="0" borderId="15" xfId="4" applyFont="1" applyBorder="1" applyAlignment="1">
      <alignment horizontal="left" vertical="center"/>
    </xf>
    <xf numFmtId="0" fontId="17" fillId="0" borderId="0" xfId="4" applyFont="1" applyAlignment="1">
      <alignment horizontal="left" vertical="center"/>
    </xf>
    <xf numFmtId="0" fontId="17" fillId="0" borderId="16" xfId="4" applyFont="1" applyBorder="1" applyAlignment="1">
      <alignment horizontal="left" vertical="center"/>
    </xf>
    <xf numFmtId="176" fontId="15" fillId="0" borderId="23" xfId="4" applyNumberFormat="1" applyFont="1" applyBorder="1" applyAlignment="1">
      <alignment horizontal="center" vertical="center"/>
    </xf>
    <xf numFmtId="4" fontId="15" fillId="0" borderId="23" xfId="4" applyNumberFormat="1" applyFont="1" applyBorder="1" applyAlignment="1">
      <alignment horizontal="center" vertical="center"/>
    </xf>
    <xf numFmtId="177" fontId="15" fillId="0" borderId="24" xfId="4" applyNumberFormat="1" applyFont="1" applyBorder="1" applyAlignment="1">
      <alignment horizontal="center" vertical="center"/>
    </xf>
    <xf numFmtId="0" fontId="15" fillId="0" borderId="23" xfId="4" applyFont="1" applyBorder="1" applyAlignment="1">
      <alignment horizontal="center" vertical="center"/>
    </xf>
    <xf numFmtId="0" fontId="15" fillId="0" borderId="7" xfId="4" applyFont="1" applyBorder="1" applyAlignment="1">
      <alignment horizontal="left" vertical="center"/>
    </xf>
    <xf numFmtId="0" fontId="15" fillId="0" borderId="8" xfId="4" applyFont="1" applyBorder="1" applyAlignment="1">
      <alignment horizontal="left" vertical="center"/>
    </xf>
    <xf numFmtId="0" fontId="15" fillId="0" borderId="9" xfId="4" applyFont="1" applyBorder="1" applyAlignment="1">
      <alignment horizontal="left" vertical="center"/>
    </xf>
    <xf numFmtId="0" fontId="23" fillId="0" borderId="12" xfId="4" applyFont="1" applyBorder="1" applyAlignment="1">
      <alignment horizontal="left" vertical="center"/>
    </xf>
    <xf numFmtId="0" fontId="23" fillId="0" borderId="13" xfId="4" applyFont="1" applyBorder="1" applyAlignment="1">
      <alignment horizontal="left" vertical="center"/>
    </xf>
    <xf numFmtId="0" fontId="23" fillId="0" borderId="14" xfId="4" applyFont="1" applyBorder="1" applyAlignment="1">
      <alignment horizontal="left" vertical="center"/>
    </xf>
    <xf numFmtId="0" fontId="15" fillId="0" borderId="1" xfId="4" applyFont="1" applyBorder="1" applyAlignment="1">
      <alignment horizontal="left" vertical="center"/>
    </xf>
    <xf numFmtId="0" fontId="15" fillId="0" borderId="2" xfId="4" applyFont="1" applyBorder="1" applyAlignment="1">
      <alignment horizontal="left" vertical="center"/>
    </xf>
    <xf numFmtId="0" fontId="15" fillId="0" borderId="3" xfId="4" applyFont="1" applyBorder="1" applyAlignment="1">
      <alignment horizontal="left" vertical="center"/>
    </xf>
    <xf numFmtId="0" fontId="15" fillId="0" borderId="22" xfId="4" applyFont="1" applyBorder="1" applyAlignment="1">
      <alignment horizontal="center" vertical="center"/>
    </xf>
    <xf numFmtId="49" fontId="15" fillId="0" borderId="30" xfId="0" applyNumberFormat="1" applyFont="1" applyBorder="1" applyAlignment="1">
      <alignment horizontal="center" vertical="center"/>
    </xf>
    <xf numFmtId="49" fontId="15" fillId="0" borderId="42" xfId="0" applyNumberFormat="1" applyFont="1" applyBorder="1" applyAlignment="1">
      <alignment horizontal="center" vertical="center"/>
    </xf>
    <xf numFmtId="49" fontId="15" fillId="0" borderId="31" xfId="0" applyNumberFormat="1" applyFont="1" applyBorder="1" applyAlignment="1">
      <alignment horizontal="center" vertical="center"/>
    </xf>
    <xf numFmtId="0" fontId="16" fillId="0" borderId="12" xfId="4" applyFont="1" applyBorder="1" applyAlignment="1">
      <alignment horizontal="left" vertical="center"/>
    </xf>
    <xf numFmtId="0" fontId="16" fillId="0" borderId="13" xfId="4" applyFont="1" applyBorder="1" applyAlignment="1">
      <alignment horizontal="left" vertical="center"/>
    </xf>
    <xf numFmtId="0" fontId="16" fillId="0" borderId="14" xfId="4" applyFont="1" applyBorder="1" applyAlignment="1">
      <alignment horizontal="left" vertical="center"/>
    </xf>
    <xf numFmtId="0" fontId="4" fillId="0" borderId="10" xfId="4" applyFont="1" applyBorder="1" applyAlignment="1">
      <alignment horizontal="left" vertical="center" wrapText="1"/>
    </xf>
    <xf numFmtId="0" fontId="4" fillId="0" borderId="0" xfId="4" applyFont="1" applyAlignment="1">
      <alignment horizontal="left" vertical="center" wrapText="1"/>
    </xf>
    <xf numFmtId="0" fontId="4" fillId="0" borderId="11" xfId="4" applyFont="1" applyBorder="1" applyAlignment="1">
      <alignment horizontal="left" vertical="center" wrapText="1"/>
    </xf>
    <xf numFmtId="0" fontId="15" fillId="0" borderId="8" xfId="4" applyFont="1" applyBorder="1" applyAlignment="1">
      <alignment horizontal="center" vertical="center"/>
    </xf>
    <xf numFmtId="0" fontId="4" fillId="0" borderId="10" xfId="4" applyFont="1" applyBorder="1" applyAlignment="1">
      <alignment horizontal="left" vertical="center"/>
    </xf>
    <xf numFmtId="0" fontId="4" fillId="0" borderId="0" xfId="4" applyFont="1" applyAlignment="1">
      <alignment horizontal="left" vertical="center"/>
    </xf>
    <xf numFmtId="0" fontId="4" fillId="0" borderId="11" xfId="4" applyFont="1" applyBorder="1" applyAlignment="1">
      <alignment horizontal="left" vertical="center"/>
    </xf>
    <xf numFmtId="0" fontId="15" fillId="0" borderId="15" xfId="4" applyFont="1" applyBorder="1" applyAlignment="1">
      <alignment horizontal="center" vertical="center"/>
    </xf>
    <xf numFmtId="0" fontId="15" fillId="0" borderId="0" xfId="4" applyFont="1" applyAlignment="1">
      <alignment horizontal="center" vertical="center"/>
    </xf>
    <xf numFmtId="0" fontId="15" fillId="0" borderId="16" xfId="4" applyFont="1" applyBorder="1" applyAlignment="1">
      <alignment horizontal="center" vertical="center"/>
    </xf>
    <xf numFmtId="0" fontId="16" fillId="0" borderId="13" xfId="4" applyFont="1" applyBorder="1" applyAlignment="1">
      <alignment horizontal="center" vertical="center"/>
    </xf>
    <xf numFmtId="0" fontId="15" fillId="0" borderId="15" xfId="4" applyFont="1" applyBorder="1" applyAlignment="1">
      <alignment horizontal="left" vertical="center"/>
    </xf>
    <xf numFmtId="0" fontId="15" fillId="0" borderId="44" xfId="4" applyFont="1" applyBorder="1" applyAlignment="1">
      <alignment horizontal="left" vertical="center"/>
    </xf>
    <xf numFmtId="0" fontId="15" fillId="0" borderId="16" xfId="4" applyFont="1" applyBorder="1" applyAlignment="1">
      <alignment horizontal="left" vertical="center"/>
    </xf>
    <xf numFmtId="0" fontId="16" fillId="0" borderId="1" xfId="3" applyFont="1" applyBorder="1" applyAlignment="1">
      <alignment horizontal="center" vertical="center"/>
    </xf>
    <xf numFmtId="0" fontId="16" fillId="0" borderId="2" xfId="3" applyFont="1" applyBorder="1" applyAlignment="1">
      <alignment horizontal="center" vertical="center"/>
    </xf>
    <xf numFmtId="0" fontId="16" fillId="0" borderId="3" xfId="3" applyFont="1" applyBorder="1" applyAlignment="1">
      <alignment horizontal="center" vertical="center"/>
    </xf>
    <xf numFmtId="0" fontId="15" fillId="0" borderId="4" xfId="4" applyFont="1" applyBorder="1" applyAlignment="1">
      <alignment horizontal="center" vertical="center"/>
    </xf>
    <xf numFmtId="0" fontId="15" fillId="0" borderId="5" xfId="4" applyFont="1" applyBorder="1" applyAlignment="1">
      <alignment horizontal="center" vertical="center"/>
    </xf>
    <xf numFmtId="0" fontId="15" fillId="0" borderId="6" xfId="4" applyFont="1" applyBorder="1" applyAlignment="1">
      <alignment horizontal="center" vertical="center"/>
    </xf>
    <xf numFmtId="0" fontId="15" fillId="0" borderId="7" xfId="3" applyFont="1" applyBorder="1" applyAlignment="1">
      <alignment horizontal="left" vertical="center"/>
    </xf>
    <xf numFmtId="0" fontId="15" fillId="0" borderId="8" xfId="3" applyFont="1" applyBorder="1" applyAlignment="1">
      <alignment horizontal="left" vertical="center"/>
    </xf>
    <xf numFmtId="0" fontId="15" fillId="0" borderId="9" xfId="3" applyFont="1" applyBorder="1" applyAlignment="1">
      <alignment horizontal="left" vertical="center"/>
    </xf>
    <xf numFmtId="15" fontId="22" fillId="0" borderId="12" xfId="4" applyNumberFormat="1" applyFont="1" applyBorder="1" applyAlignment="1">
      <alignment horizontal="left" vertical="center"/>
    </xf>
    <xf numFmtId="15" fontId="15" fillId="0" borderId="13" xfId="4" applyNumberFormat="1" applyFont="1" applyBorder="1" applyAlignment="1">
      <alignment horizontal="left" vertical="center"/>
    </xf>
    <xf numFmtId="15" fontId="15" fillId="0" borderId="13" xfId="4" applyNumberFormat="1" applyFont="1" applyBorder="1" applyAlignment="1">
      <alignment horizontal="center" vertical="center"/>
    </xf>
    <xf numFmtId="15" fontId="15" fillId="0" borderId="14" xfId="4" applyNumberFormat="1" applyFont="1" applyBorder="1" applyAlignment="1">
      <alignment horizontal="left" vertical="center"/>
    </xf>
    <xf numFmtId="0" fontId="10" fillId="0" borderId="26" xfId="0" applyFont="1" applyBorder="1" applyAlignment="1">
      <alignment horizontal="center" vertical="center"/>
    </xf>
    <xf numFmtId="181" fontId="10" fillId="0" borderId="27" xfId="0" applyNumberFormat="1" applyFont="1" applyBorder="1" applyAlignment="1">
      <alignment horizontal="right" vertical="center"/>
    </xf>
    <xf numFmtId="0" fontId="15" fillId="0" borderId="35" xfId="5" applyFont="1" applyBorder="1" applyAlignment="1">
      <alignment horizontal="center" vertical="center"/>
    </xf>
    <xf numFmtId="0" fontId="15" fillId="0" borderId="29" xfId="5" applyFont="1" applyBorder="1" applyAlignment="1">
      <alignment horizontal="center" vertical="center"/>
    </xf>
    <xf numFmtId="0" fontId="15" fillId="0" borderId="29" xfId="5" applyFont="1" applyBorder="1" applyAlignment="1">
      <alignment horizontal="center" vertical="center"/>
    </xf>
    <xf numFmtId="0" fontId="15" fillId="0" borderId="29" xfId="4" applyFont="1" applyBorder="1" applyAlignment="1">
      <alignment horizontal="center" vertical="center"/>
    </xf>
    <xf numFmtId="176" fontId="15" fillId="0" borderId="29" xfId="4" applyNumberFormat="1" applyFont="1" applyBorder="1" applyAlignment="1">
      <alignment horizontal="center" vertical="center"/>
    </xf>
    <xf numFmtId="4" fontId="15" fillId="0" borderId="29" xfId="4" applyNumberFormat="1" applyFont="1" applyBorder="1" applyAlignment="1">
      <alignment horizontal="center" vertical="center"/>
    </xf>
    <xf numFmtId="177" fontId="15" fillId="0" borderId="36" xfId="4" applyNumberFormat="1" applyFont="1" applyBorder="1" applyAlignment="1">
      <alignment horizontal="center" vertical="center"/>
    </xf>
    <xf numFmtId="0" fontId="24" fillId="0" borderId="17" xfId="3" applyFont="1" applyBorder="1" applyAlignment="1">
      <alignment horizontal="center" vertical="center"/>
    </xf>
    <xf numFmtId="0" fontId="24" fillId="0" borderId="19" xfId="3" applyFont="1" applyBorder="1" applyAlignment="1">
      <alignment horizontal="center" vertical="center"/>
    </xf>
    <xf numFmtId="178" fontId="24" fillId="5" borderId="55" xfId="1" applyNumberFormat="1" applyFont="1" applyFill="1" applyBorder="1" applyAlignment="1">
      <alignment horizontal="center" vertical="center"/>
    </xf>
    <xf numFmtId="0" fontId="24" fillId="0" borderId="56" xfId="4" applyFont="1" applyBorder="1" applyAlignment="1">
      <alignment horizontal="center" vertical="center"/>
    </xf>
    <xf numFmtId="0" fontId="24" fillId="0" borderId="57" xfId="4" applyFont="1" applyBorder="1" applyAlignment="1">
      <alignment horizontal="center" vertical="center"/>
    </xf>
    <xf numFmtId="41" fontId="24" fillId="0" borderId="57" xfId="2" applyFont="1" applyFill="1" applyBorder="1" applyAlignment="1">
      <alignment horizontal="center" vertical="center"/>
    </xf>
    <xf numFmtId="3" fontId="10" fillId="0" borderId="46" xfId="0" applyNumberFormat="1" applyFont="1" applyBorder="1" applyAlignment="1">
      <alignment horizontal="center" vertical="center"/>
    </xf>
    <xf numFmtId="4" fontId="24" fillId="5" borderId="57" xfId="2" applyNumberFormat="1" applyFont="1" applyFill="1" applyBorder="1" applyAlignment="1">
      <alignment horizontal="center" vertical="center"/>
    </xf>
    <xf numFmtId="177" fontId="24" fillId="0" borderId="58" xfId="4" applyNumberFormat="1" applyFont="1" applyBorder="1" applyAlignment="1">
      <alignment horizontal="center" vertical="center"/>
    </xf>
    <xf numFmtId="0" fontId="25" fillId="0" borderId="28" xfId="4" applyFont="1" applyBorder="1" applyAlignment="1">
      <alignment horizontal="center" vertical="center" wrapText="1"/>
    </xf>
    <xf numFmtId="180" fontId="10" fillId="0" borderId="28" xfId="0" applyNumberFormat="1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</cellXfs>
  <cellStyles count="14">
    <cellStyle name="40% - 강조색6 4" xfId="6" xr:uid="{695B21BD-A893-4B23-AF5E-CBCB7C8B9943}"/>
    <cellStyle name="백분율" xfId="12" builtinId="5"/>
    <cellStyle name="쉼표" xfId="1" builtinId="3"/>
    <cellStyle name="쉼표 [0]" xfId="2" builtinId="6"/>
    <cellStyle name="쉼표 [0] 2 14" xfId="11" xr:uid="{7C56F403-2F5D-433F-B248-F4FBFA423787}"/>
    <cellStyle name="표준" xfId="0" builtinId="0"/>
    <cellStyle name="표준 100" xfId="8" xr:uid="{1C6499F3-1028-48F6-B161-665ED45365C1}"/>
    <cellStyle name="표준 2" xfId="3" xr:uid="{B54BCAA6-BD72-4E28-B80C-B46039CB59E2}"/>
    <cellStyle name="표준 39" xfId="9" xr:uid="{5257BB67-A386-4CA7-83BD-2F47E4EE1425}"/>
    <cellStyle name="표준 41" xfId="10" xr:uid="{D13CD1E6-1C45-4920-95B4-DBFEB75738FA}"/>
    <cellStyle name="표준 99" xfId="7" xr:uid="{5E7064FA-4ACF-4FFB-931E-C7276169779C}"/>
    <cellStyle name="표준_final PI 6-30" xfId="4" xr:uid="{EA4ECEC4-2EBA-4BCF-A803-D30C1D8B0F35}"/>
    <cellStyle name="표준_to client 6-27" xfId="5" xr:uid="{E5F9D807-5DC0-4A39-82AE-755F8CBD48EB}"/>
    <cellStyle name="하이퍼링크" xfId="13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171993</xdr:colOff>
      <xdr:row>11</xdr:row>
      <xdr:rowOff>110939</xdr:rowOff>
    </xdr:from>
    <xdr:to>
      <xdr:col>6</xdr:col>
      <xdr:colOff>949494</xdr:colOff>
      <xdr:row>17</xdr:row>
      <xdr:rowOff>67237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EB6CFFF-D6A4-4FCF-9403-ED39995FD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8405" y="2508998"/>
          <a:ext cx="2828177" cy="13346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517362</xdr:colOff>
      <xdr:row>11</xdr:row>
      <xdr:rowOff>268382</xdr:rowOff>
    </xdr:from>
    <xdr:ext cx="3112939" cy="1485721"/>
    <xdr:pic>
      <xdr:nvPicPr>
        <xdr:cNvPr id="2" name="그림 1">
          <a:extLst>
            <a:ext uri="{FF2B5EF4-FFF2-40B4-BE49-F238E27FC236}">
              <a16:creationId xmlns:a16="http://schemas.microsoft.com/office/drawing/2014/main" id="{5DFA91EF-B577-4872-B937-FBE8CEC37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9244" y="3473264"/>
          <a:ext cx="3112939" cy="148572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69C7-895F-4843-9040-12854AF21355}">
  <dimension ref="A1:G28"/>
  <sheetViews>
    <sheetView topLeftCell="A10" zoomScale="85" zoomScaleNormal="85" workbookViewId="0">
      <selection activeCell="E28" sqref="E28"/>
    </sheetView>
  </sheetViews>
  <sheetFormatPr defaultRowHeight="16.5"/>
  <cols>
    <col min="1" max="1" width="17.125" style="29" customWidth="1"/>
    <col min="2" max="2" width="14.75" style="34" customWidth="1"/>
    <col min="3" max="3" width="24.25" style="35" customWidth="1"/>
    <col min="4" max="4" width="64.25" style="36" customWidth="1"/>
    <col min="5" max="5" width="10.625" style="29" customWidth="1"/>
    <col min="6" max="6" width="16.375" style="28" customWidth="1"/>
    <col min="7" max="7" width="19.125" style="37" customWidth="1"/>
    <col min="8" max="11" width="9" style="29" customWidth="1"/>
    <col min="12" max="12" width="8.375" style="29" customWidth="1"/>
    <col min="13" max="16384" width="9" style="29"/>
  </cols>
  <sheetData>
    <row r="1" spans="1:7">
      <c r="A1" s="124" t="s">
        <v>39</v>
      </c>
      <c r="B1" s="125"/>
      <c r="C1" s="125"/>
      <c r="D1" s="125"/>
      <c r="E1" s="125"/>
      <c r="F1" s="125"/>
      <c r="G1" s="126"/>
    </row>
    <row r="2" spans="1:7" ht="17.25" thickBot="1">
      <c r="A2" s="127"/>
      <c r="B2" s="128"/>
      <c r="C2" s="128"/>
      <c r="D2" s="128"/>
      <c r="E2" s="128"/>
      <c r="F2" s="128"/>
      <c r="G2" s="129"/>
    </row>
    <row r="3" spans="1:7" ht="17.25" thickBot="1">
      <c r="A3" s="130" t="s">
        <v>1</v>
      </c>
      <c r="B3" s="131"/>
      <c r="C3" s="132"/>
      <c r="D3" s="133" t="s">
        <v>2</v>
      </c>
      <c r="E3" s="134"/>
      <c r="F3" s="134"/>
      <c r="G3" s="135"/>
    </row>
    <row r="4" spans="1:7" ht="17.25" thickBot="1">
      <c r="A4" s="136" t="s">
        <v>22</v>
      </c>
      <c r="B4" s="137"/>
      <c r="C4" s="138"/>
      <c r="D4" s="139" t="s">
        <v>43</v>
      </c>
      <c r="E4" s="140"/>
      <c r="F4" s="140"/>
      <c r="G4" s="141"/>
    </row>
    <row r="5" spans="1:7">
      <c r="A5" s="145" t="s">
        <v>23</v>
      </c>
      <c r="B5" s="146"/>
      <c r="C5" s="147"/>
      <c r="D5" s="120"/>
      <c r="E5" s="148"/>
      <c r="F5" s="148"/>
      <c r="G5" s="121"/>
    </row>
    <row r="6" spans="1:7">
      <c r="A6" s="155" t="s">
        <v>24</v>
      </c>
      <c r="B6" s="156"/>
      <c r="C6" s="157"/>
      <c r="D6" s="149"/>
      <c r="E6" s="150"/>
      <c r="F6" s="150"/>
      <c r="G6" s="151"/>
    </row>
    <row r="7" spans="1:7" ht="17.25" thickBot="1">
      <c r="A7" s="43" t="s">
        <v>25</v>
      </c>
      <c r="B7" s="58"/>
      <c r="C7" s="44"/>
      <c r="D7" s="152"/>
      <c r="E7" s="153"/>
      <c r="F7" s="153"/>
      <c r="G7" s="154"/>
    </row>
    <row r="8" spans="1:7" ht="17.25" thickBot="1">
      <c r="A8" s="142" t="s">
        <v>8</v>
      </c>
      <c r="B8" s="143"/>
      <c r="C8" s="144"/>
      <c r="D8" s="107" t="s">
        <v>26</v>
      </c>
      <c r="E8" s="108"/>
      <c r="F8" s="108"/>
      <c r="G8" s="109"/>
    </row>
    <row r="9" spans="1:7">
      <c r="A9" s="45" t="s">
        <v>44</v>
      </c>
      <c r="B9" s="46"/>
      <c r="C9" s="47"/>
      <c r="D9" s="101" t="s">
        <v>27</v>
      </c>
      <c r="E9" s="102"/>
      <c r="F9" s="102"/>
      <c r="G9" s="103"/>
    </row>
    <row r="10" spans="1:7">
      <c r="A10" s="48" t="s">
        <v>45</v>
      </c>
      <c r="B10" s="71"/>
      <c r="C10" s="72"/>
      <c r="D10" s="101"/>
      <c r="E10" s="102"/>
      <c r="F10" s="102"/>
      <c r="G10" s="103"/>
    </row>
    <row r="11" spans="1:7">
      <c r="A11" s="48" t="s">
        <v>46</v>
      </c>
      <c r="B11" s="71"/>
      <c r="C11" s="72"/>
      <c r="D11" s="101" t="s">
        <v>28</v>
      </c>
      <c r="E11" s="102"/>
      <c r="F11" s="102"/>
      <c r="G11" s="103"/>
    </row>
    <row r="12" spans="1:7" ht="21.75" customHeight="1">
      <c r="A12" s="70"/>
      <c r="B12" s="46"/>
      <c r="C12" s="49"/>
      <c r="D12" s="30"/>
      <c r="E12" s="41"/>
      <c r="F12" s="38"/>
      <c r="G12" s="39"/>
    </row>
    <row r="13" spans="1:7" ht="17.25" thickBot="1">
      <c r="A13" s="104"/>
      <c r="B13" s="105"/>
      <c r="C13" s="106"/>
      <c r="D13" s="30"/>
      <c r="E13" s="41"/>
      <c r="F13" s="38"/>
      <c r="G13" s="39"/>
    </row>
    <row r="14" spans="1:7">
      <c r="A14" s="107" t="s">
        <v>9</v>
      </c>
      <c r="B14" s="108"/>
      <c r="C14" s="109"/>
      <c r="D14" s="113"/>
      <c r="E14" s="114"/>
      <c r="F14" s="114"/>
      <c r="G14" s="115"/>
    </row>
    <row r="15" spans="1:7" ht="17.25" thickBot="1">
      <c r="A15" s="110" t="s">
        <v>38</v>
      </c>
      <c r="B15" s="111"/>
      <c r="C15" s="112"/>
      <c r="D15" s="116"/>
      <c r="E15" s="117"/>
      <c r="F15" s="117"/>
      <c r="G15" s="118"/>
    </row>
    <row r="16" spans="1:7">
      <c r="A16" s="120" t="s">
        <v>11</v>
      </c>
      <c r="B16" s="121"/>
      <c r="C16" s="31" t="s">
        <v>29</v>
      </c>
      <c r="D16" s="113"/>
      <c r="E16" s="114"/>
      <c r="F16" s="114"/>
      <c r="G16" s="115"/>
    </row>
    <row r="17" spans="1:7" ht="17.25" thickBot="1">
      <c r="A17" s="122" t="s">
        <v>48</v>
      </c>
      <c r="B17" s="123"/>
      <c r="C17" s="42" t="s">
        <v>47</v>
      </c>
      <c r="D17" s="119"/>
      <c r="E17" s="114"/>
      <c r="F17" s="114"/>
      <c r="G17" s="115"/>
    </row>
    <row r="18" spans="1:7">
      <c r="A18" s="120" t="s">
        <v>13</v>
      </c>
      <c r="B18" s="121"/>
      <c r="C18" s="31" t="s">
        <v>14</v>
      </c>
      <c r="D18" s="30"/>
      <c r="E18" s="41"/>
      <c r="F18" s="38"/>
      <c r="G18" s="39"/>
    </row>
    <row r="19" spans="1:7" ht="19.5" customHeight="1" thickBot="1">
      <c r="A19" s="99"/>
      <c r="B19" s="100"/>
      <c r="C19" s="42"/>
      <c r="D19" s="32"/>
      <c r="E19" s="33"/>
      <c r="F19" s="27"/>
      <c r="G19" s="40"/>
    </row>
    <row r="20" spans="1:7" ht="25.5" customHeight="1" thickBot="1">
      <c r="A20" s="76" t="s">
        <v>30</v>
      </c>
      <c r="B20" s="77"/>
      <c r="C20" s="78" t="s">
        <v>33</v>
      </c>
      <c r="D20" s="79" t="s">
        <v>15</v>
      </c>
      <c r="E20" s="80" t="s">
        <v>20</v>
      </c>
      <c r="F20" s="81" t="s">
        <v>37</v>
      </c>
      <c r="G20" s="82" t="s">
        <v>31</v>
      </c>
    </row>
    <row r="21" spans="1:7" ht="23.25" customHeight="1">
      <c r="A21" s="96"/>
      <c r="B21" s="87">
        <v>625</v>
      </c>
      <c r="C21" s="88" t="s">
        <v>40</v>
      </c>
      <c r="D21" s="89" t="s">
        <v>50</v>
      </c>
      <c r="E21" s="90">
        <v>15000</v>
      </c>
      <c r="F21" s="90">
        <v>10060</v>
      </c>
      <c r="G21" s="75">
        <f>F21*E21</f>
        <v>150900000</v>
      </c>
    </row>
    <row r="22" spans="1:7" ht="23.25" customHeight="1">
      <c r="A22" s="97"/>
      <c r="B22" s="83">
        <v>10</v>
      </c>
      <c r="C22" s="84" t="s">
        <v>51</v>
      </c>
      <c r="D22" s="85" t="s">
        <v>52</v>
      </c>
      <c r="E22" s="86">
        <v>1000</v>
      </c>
      <c r="F22" s="86">
        <v>3880</v>
      </c>
      <c r="G22" s="91">
        <f t="shared" ref="G22:G26" si="0">F22*E22</f>
        <v>3880000</v>
      </c>
    </row>
    <row r="23" spans="1:7" ht="23.25" customHeight="1">
      <c r="A23" s="97"/>
      <c r="B23" s="83">
        <v>2</v>
      </c>
      <c r="C23" s="84" t="s">
        <v>51</v>
      </c>
      <c r="D23" s="85" t="s">
        <v>53</v>
      </c>
      <c r="E23" s="86">
        <v>200</v>
      </c>
      <c r="F23" s="86">
        <v>4006</v>
      </c>
      <c r="G23" s="91">
        <f t="shared" si="0"/>
        <v>801200</v>
      </c>
    </row>
    <row r="24" spans="1:7" ht="23.25" customHeight="1">
      <c r="A24" s="97"/>
      <c r="B24" s="83">
        <v>4</v>
      </c>
      <c r="C24" s="84" t="s">
        <v>51</v>
      </c>
      <c r="D24" s="85" t="s">
        <v>54</v>
      </c>
      <c r="E24" s="86">
        <v>400</v>
      </c>
      <c r="F24" s="86">
        <v>4006</v>
      </c>
      <c r="G24" s="91">
        <f t="shared" si="0"/>
        <v>1602400</v>
      </c>
    </row>
    <row r="25" spans="1:7" ht="23.25" customHeight="1">
      <c r="A25" s="97"/>
      <c r="B25" s="83">
        <v>7</v>
      </c>
      <c r="C25" s="84" t="s">
        <v>51</v>
      </c>
      <c r="D25" s="85" t="s">
        <v>56</v>
      </c>
      <c r="E25" s="86">
        <v>700</v>
      </c>
      <c r="F25" s="86">
        <v>3190</v>
      </c>
      <c r="G25" s="91">
        <f t="shared" si="0"/>
        <v>2233000</v>
      </c>
    </row>
    <row r="26" spans="1:7" ht="23.25" customHeight="1">
      <c r="A26" s="97"/>
      <c r="B26" s="83">
        <v>4</v>
      </c>
      <c r="C26" s="84" t="s">
        <v>51</v>
      </c>
      <c r="D26" s="85" t="s">
        <v>55</v>
      </c>
      <c r="E26" s="86">
        <v>400</v>
      </c>
      <c r="F26" s="86">
        <v>3094</v>
      </c>
      <c r="G26" s="91">
        <f t="shared" si="0"/>
        <v>1237600</v>
      </c>
    </row>
    <row r="27" spans="1:7" ht="23.25" customHeight="1" thickBot="1">
      <c r="A27" s="98"/>
      <c r="B27" s="64"/>
      <c r="C27" s="205"/>
      <c r="D27" s="92"/>
      <c r="E27" s="93"/>
      <c r="F27" s="93"/>
      <c r="G27" s="206"/>
    </row>
    <row r="28" spans="1:7" ht="36" customHeight="1" thickBot="1">
      <c r="A28" s="59" t="s">
        <v>32</v>
      </c>
      <c r="B28" s="94">
        <f>SUM(B21:B27)</f>
        <v>652</v>
      </c>
      <c r="C28" s="60"/>
      <c r="D28" s="61"/>
      <c r="E28" s="62">
        <f>SUM(E21:E27)</f>
        <v>17700</v>
      </c>
      <c r="F28" s="63"/>
      <c r="G28" s="95">
        <f>SUM(G21:G27)</f>
        <v>160654200</v>
      </c>
    </row>
  </sheetData>
  <autoFilter ref="A20:G28" xr:uid="{BA9FEBFB-B765-4A98-AE39-658B4715E395}"/>
  <mergeCells count="25">
    <mergeCell ref="A8:C8"/>
    <mergeCell ref="D8:G8"/>
    <mergeCell ref="D9:G9"/>
    <mergeCell ref="D10:G10"/>
    <mergeCell ref="A5:C5"/>
    <mergeCell ref="D5:G7"/>
    <mergeCell ref="A6:C6"/>
    <mergeCell ref="A1:G2"/>
    <mergeCell ref="A3:C3"/>
    <mergeCell ref="D3:G3"/>
    <mergeCell ref="A4:C4"/>
    <mergeCell ref="D4:G4"/>
    <mergeCell ref="A21:A27"/>
    <mergeCell ref="A19:B19"/>
    <mergeCell ref="D11:G11"/>
    <mergeCell ref="A13:C13"/>
    <mergeCell ref="A14:C14"/>
    <mergeCell ref="A15:C15"/>
    <mergeCell ref="D14:G14"/>
    <mergeCell ref="D15:G15"/>
    <mergeCell ref="D16:G16"/>
    <mergeCell ref="D17:G17"/>
    <mergeCell ref="A16:B16"/>
    <mergeCell ref="A17:B17"/>
    <mergeCell ref="A18:B18"/>
  </mergeCells>
  <phoneticPr fontId="3" type="noConversion"/>
  <conditionalFormatting sqref="D21:D28">
    <cfRule type="duplicateValues" dxfId="1" priority="125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8B308-02E2-4625-AC90-E64B882DB5E7}">
  <dimension ref="A1:J36"/>
  <sheetViews>
    <sheetView tabSelected="1" topLeftCell="A13" zoomScale="85" zoomScaleNormal="85" workbookViewId="0">
      <selection activeCell="D22" sqref="D22"/>
    </sheetView>
  </sheetViews>
  <sheetFormatPr defaultColWidth="9" defaultRowHeight="22.5" customHeight="1"/>
  <cols>
    <col min="1" max="1" width="10.75" style="19" customWidth="1"/>
    <col min="2" max="2" width="10.5" style="1" customWidth="1"/>
    <col min="3" max="3" width="12" style="19" bestFit="1" customWidth="1"/>
    <col min="4" max="4" width="24.5" style="1" bestFit="1" customWidth="1"/>
    <col min="5" max="5" width="69.25" style="1" customWidth="1"/>
    <col min="6" max="6" width="11.75" style="19" customWidth="1"/>
    <col min="7" max="7" width="10.375" style="20" customWidth="1"/>
    <col min="8" max="8" width="11.875" style="69" customWidth="1"/>
    <col min="9" max="9" width="19.875" style="21" bestFit="1" customWidth="1"/>
    <col min="10" max="10" width="18.125" style="1" customWidth="1"/>
    <col min="11" max="193" width="9" style="1"/>
    <col min="194" max="194" width="1.625" style="1" customWidth="1"/>
    <col min="195" max="195" width="12.125" style="1" customWidth="1"/>
    <col min="196" max="196" width="14.5" style="1" customWidth="1"/>
    <col min="197" max="197" width="17.5" style="1" customWidth="1"/>
    <col min="198" max="198" width="4" style="1" customWidth="1"/>
    <col min="199" max="199" width="9" style="1"/>
    <col min="200" max="200" width="12.625" style="1" customWidth="1"/>
    <col min="201" max="201" width="12.125" style="1" customWidth="1"/>
    <col min="202" max="203" width="11.625" style="1" customWidth="1"/>
    <col min="204" max="206" width="9" style="1"/>
    <col min="207" max="207" width="10.375" style="1" bestFit="1" customWidth="1"/>
    <col min="208" max="449" width="9" style="1"/>
    <col min="450" max="450" width="1.625" style="1" customWidth="1"/>
    <col min="451" max="451" width="12.125" style="1" customWidth="1"/>
    <col min="452" max="452" width="14.5" style="1" customWidth="1"/>
    <col min="453" max="453" width="17.5" style="1" customWidth="1"/>
    <col min="454" max="454" width="4" style="1" customWidth="1"/>
    <col min="455" max="455" width="9" style="1"/>
    <col min="456" max="456" width="12.625" style="1" customWidth="1"/>
    <col min="457" max="457" width="12.125" style="1" customWidth="1"/>
    <col min="458" max="459" width="11.625" style="1" customWidth="1"/>
    <col min="460" max="462" width="9" style="1"/>
    <col min="463" max="463" width="10.375" style="1" bestFit="1" customWidth="1"/>
    <col min="464" max="705" width="9" style="1"/>
    <col min="706" max="706" width="1.625" style="1" customWidth="1"/>
    <col min="707" max="707" width="12.125" style="1" customWidth="1"/>
    <col min="708" max="708" width="14.5" style="1" customWidth="1"/>
    <col min="709" max="709" width="17.5" style="1" customWidth="1"/>
    <col min="710" max="710" width="4" style="1" customWidth="1"/>
    <col min="711" max="711" width="9" style="1"/>
    <col min="712" max="712" width="12.625" style="1" customWidth="1"/>
    <col min="713" max="713" width="12.125" style="1" customWidth="1"/>
    <col min="714" max="715" width="11.625" style="1" customWidth="1"/>
    <col min="716" max="718" width="9" style="1"/>
    <col min="719" max="719" width="10.375" style="1" bestFit="1" customWidth="1"/>
    <col min="720" max="961" width="9" style="1"/>
    <col min="962" max="962" width="1.625" style="1" customWidth="1"/>
    <col min="963" max="963" width="12.125" style="1" customWidth="1"/>
    <col min="964" max="964" width="14.5" style="1" customWidth="1"/>
    <col min="965" max="965" width="17.5" style="1" customWidth="1"/>
    <col min="966" max="966" width="4" style="1" customWidth="1"/>
    <col min="967" max="967" width="9" style="1"/>
    <col min="968" max="968" width="12.625" style="1" customWidth="1"/>
    <col min="969" max="969" width="12.125" style="1" customWidth="1"/>
    <col min="970" max="971" width="11.625" style="1" customWidth="1"/>
    <col min="972" max="974" width="9" style="1"/>
    <col min="975" max="975" width="10.375" style="1" bestFit="1" customWidth="1"/>
    <col min="976" max="1217" width="9" style="1"/>
    <col min="1218" max="1218" width="1.625" style="1" customWidth="1"/>
    <col min="1219" max="1219" width="12.125" style="1" customWidth="1"/>
    <col min="1220" max="1220" width="14.5" style="1" customWidth="1"/>
    <col min="1221" max="1221" width="17.5" style="1" customWidth="1"/>
    <col min="1222" max="1222" width="4" style="1" customWidth="1"/>
    <col min="1223" max="1223" width="9" style="1"/>
    <col min="1224" max="1224" width="12.625" style="1" customWidth="1"/>
    <col min="1225" max="1225" width="12.125" style="1" customWidth="1"/>
    <col min="1226" max="1227" width="11.625" style="1" customWidth="1"/>
    <col min="1228" max="1230" width="9" style="1"/>
    <col min="1231" max="1231" width="10.375" style="1" bestFit="1" customWidth="1"/>
    <col min="1232" max="1473" width="9" style="1"/>
    <col min="1474" max="1474" width="1.625" style="1" customWidth="1"/>
    <col min="1475" max="1475" width="12.125" style="1" customWidth="1"/>
    <col min="1476" max="1476" width="14.5" style="1" customWidth="1"/>
    <col min="1477" max="1477" width="17.5" style="1" customWidth="1"/>
    <col min="1478" max="1478" width="4" style="1" customWidth="1"/>
    <col min="1479" max="1479" width="9" style="1"/>
    <col min="1480" max="1480" width="12.625" style="1" customWidth="1"/>
    <col min="1481" max="1481" width="12.125" style="1" customWidth="1"/>
    <col min="1482" max="1483" width="11.625" style="1" customWidth="1"/>
    <col min="1484" max="1486" width="9" style="1"/>
    <col min="1487" max="1487" width="10.375" style="1" bestFit="1" customWidth="1"/>
    <col min="1488" max="1729" width="9" style="1"/>
    <col min="1730" max="1730" width="1.625" style="1" customWidth="1"/>
    <col min="1731" max="1731" width="12.125" style="1" customWidth="1"/>
    <col min="1732" max="1732" width="14.5" style="1" customWidth="1"/>
    <col min="1733" max="1733" width="17.5" style="1" customWidth="1"/>
    <col min="1734" max="1734" width="4" style="1" customWidth="1"/>
    <col min="1735" max="1735" width="9" style="1"/>
    <col min="1736" max="1736" width="12.625" style="1" customWidth="1"/>
    <col min="1737" max="1737" width="12.125" style="1" customWidth="1"/>
    <col min="1738" max="1739" width="11.625" style="1" customWidth="1"/>
    <col min="1740" max="1742" width="9" style="1"/>
    <col min="1743" max="1743" width="10.375" style="1" bestFit="1" customWidth="1"/>
    <col min="1744" max="1985" width="9" style="1"/>
    <col min="1986" max="1986" width="1.625" style="1" customWidth="1"/>
    <col min="1987" max="1987" width="12.125" style="1" customWidth="1"/>
    <col min="1988" max="1988" width="14.5" style="1" customWidth="1"/>
    <col min="1989" max="1989" width="17.5" style="1" customWidth="1"/>
    <col min="1990" max="1990" width="4" style="1" customWidth="1"/>
    <col min="1991" max="1991" width="9" style="1"/>
    <col min="1992" max="1992" width="12.625" style="1" customWidth="1"/>
    <col min="1993" max="1993" width="12.125" style="1" customWidth="1"/>
    <col min="1994" max="1995" width="11.625" style="1" customWidth="1"/>
    <col min="1996" max="1998" width="9" style="1"/>
    <col min="1999" max="1999" width="10.375" style="1" bestFit="1" customWidth="1"/>
    <col min="2000" max="2241" width="9" style="1"/>
    <col min="2242" max="2242" width="1.625" style="1" customWidth="1"/>
    <col min="2243" max="2243" width="12.125" style="1" customWidth="1"/>
    <col min="2244" max="2244" width="14.5" style="1" customWidth="1"/>
    <col min="2245" max="2245" width="17.5" style="1" customWidth="1"/>
    <col min="2246" max="2246" width="4" style="1" customWidth="1"/>
    <col min="2247" max="2247" width="9" style="1"/>
    <col min="2248" max="2248" width="12.625" style="1" customWidth="1"/>
    <col min="2249" max="2249" width="12.125" style="1" customWidth="1"/>
    <col min="2250" max="2251" width="11.625" style="1" customWidth="1"/>
    <col min="2252" max="2254" width="9" style="1"/>
    <col min="2255" max="2255" width="10.375" style="1" bestFit="1" customWidth="1"/>
    <col min="2256" max="2497" width="9" style="1"/>
    <col min="2498" max="2498" width="1.625" style="1" customWidth="1"/>
    <col min="2499" max="2499" width="12.125" style="1" customWidth="1"/>
    <col min="2500" max="2500" width="14.5" style="1" customWidth="1"/>
    <col min="2501" max="2501" width="17.5" style="1" customWidth="1"/>
    <col min="2502" max="2502" width="4" style="1" customWidth="1"/>
    <col min="2503" max="2503" width="9" style="1"/>
    <col min="2504" max="2504" width="12.625" style="1" customWidth="1"/>
    <col min="2505" max="2505" width="12.125" style="1" customWidth="1"/>
    <col min="2506" max="2507" width="11.625" style="1" customWidth="1"/>
    <col min="2508" max="2510" width="9" style="1"/>
    <col min="2511" max="2511" width="10.375" style="1" bestFit="1" customWidth="1"/>
    <col min="2512" max="2753" width="9" style="1"/>
    <col min="2754" max="2754" width="1.625" style="1" customWidth="1"/>
    <col min="2755" max="2755" width="12.125" style="1" customWidth="1"/>
    <col min="2756" max="2756" width="14.5" style="1" customWidth="1"/>
    <col min="2757" max="2757" width="17.5" style="1" customWidth="1"/>
    <col min="2758" max="2758" width="4" style="1" customWidth="1"/>
    <col min="2759" max="2759" width="9" style="1"/>
    <col min="2760" max="2760" width="12.625" style="1" customWidth="1"/>
    <col min="2761" max="2761" width="12.125" style="1" customWidth="1"/>
    <col min="2762" max="2763" width="11.625" style="1" customWidth="1"/>
    <col min="2764" max="2766" width="9" style="1"/>
    <col min="2767" max="2767" width="10.375" style="1" bestFit="1" customWidth="1"/>
    <col min="2768" max="3009" width="9" style="1"/>
    <col min="3010" max="3010" width="1.625" style="1" customWidth="1"/>
    <col min="3011" max="3011" width="12.125" style="1" customWidth="1"/>
    <col min="3012" max="3012" width="14.5" style="1" customWidth="1"/>
    <col min="3013" max="3013" width="17.5" style="1" customWidth="1"/>
    <col min="3014" max="3014" width="4" style="1" customWidth="1"/>
    <col min="3015" max="3015" width="9" style="1"/>
    <col min="3016" max="3016" width="12.625" style="1" customWidth="1"/>
    <col min="3017" max="3017" width="12.125" style="1" customWidth="1"/>
    <col min="3018" max="3019" width="11.625" style="1" customWidth="1"/>
    <col min="3020" max="3022" width="9" style="1"/>
    <col min="3023" max="3023" width="10.375" style="1" bestFit="1" customWidth="1"/>
    <col min="3024" max="3265" width="9" style="1"/>
    <col min="3266" max="3266" width="1.625" style="1" customWidth="1"/>
    <col min="3267" max="3267" width="12.125" style="1" customWidth="1"/>
    <col min="3268" max="3268" width="14.5" style="1" customWidth="1"/>
    <col min="3269" max="3269" width="17.5" style="1" customWidth="1"/>
    <col min="3270" max="3270" width="4" style="1" customWidth="1"/>
    <col min="3271" max="3271" width="9" style="1"/>
    <col min="3272" max="3272" width="12.625" style="1" customWidth="1"/>
    <col min="3273" max="3273" width="12.125" style="1" customWidth="1"/>
    <col min="3274" max="3275" width="11.625" style="1" customWidth="1"/>
    <col min="3276" max="3278" width="9" style="1"/>
    <col min="3279" max="3279" width="10.375" style="1" bestFit="1" customWidth="1"/>
    <col min="3280" max="3521" width="9" style="1"/>
    <col min="3522" max="3522" width="1.625" style="1" customWidth="1"/>
    <col min="3523" max="3523" width="12.125" style="1" customWidth="1"/>
    <col min="3524" max="3524" width="14.5" style="1" customWidth="1"/>
    <col min="3525" max="3525" width="17.5" style="1" customWidth="1"/>
    <col min="3526" max="3526" width="4" style="1" customWidth="1"/>
    <col min="3527" max="3527" width="9" style="1"/>
    <col min="3528" max="3528" width="12.625" style="1" customWidth="1"/>
    <col min="3529" max="3529" width="12.125" style="1" customWidth="1"/>
    <col min="3530" max="3531" width="11.625" style="1" customWidth="1"/>
    <col min="3532" max="3534" width="9" style="1"/>
    <col min="3535" max="3535" width="10.375" style="1" bestFit="1" customWidth="1"/>
    <col min="3536" max="3777" width="9" style="1"/>
    <col min="3778" max="3778" width="1.625" style="1" customWidth="1"/>
    <col min="3779" max="3779" width="12.125" style="1" customWidth="1"/>
    <col min="3780" max="3780" width="14.5" style="1" customWidth="1"/>
    <col min="3781" max="3781" width="17.5" style="1" customWidth="1"/>
    <col min="3782" max="3782" width="4" style="1" customWidth="1"/>
    <col min="3783" max="3783" width="9" style="1"/>
    <col min="3784" max="3784" width="12.625" style="1" customWidth="1"/>
    <col min="3785" max="3785" width="12.125" style="1" customWidth="1"/>
    <col min="3786" max="3787" width="11.625" style="1" customWidth="1"/>
    <col min="3788" max="3790" width="9" style="1"/>
    <col min="3791" max="3791" width="10.375" style="1" bestFit="1" customWidth="1"/>
    <col min="3792" max="4033" width="9" style="1"/>
    <col min="4034" max="4034" width="1.625" style="1" customWidth="1"/>
    <col min="4035" max="4035" width="12.125" style="1" customWidth="1"/>
    <col min="4036" max="4036" width="14.5" style="1" customWidth="1"/>
    <col min="4037" max="4037" width="17.5" style="1" customWidth="1"/>
    <col min="4038" max="4038" width="4" style="1" customWidth="1"/>
    <col min="4039" max="4039" width="9" style="1"/>
    <col min="4040" max="4040" width="12.625" style="1" customWidth="1"/>
    <col min="4041" max="4041" width="12.125" style="1" customWidth="1"/>
    <col min="4042" max="4043" width="11.625" style="1" customWidth="1"/>
    <col min="4044" max="4046" width="9" style="1"/>
    <col min="4047" max="4047" width="10.375" style="1" bestFit="1" customWidth="1"/>
    <col min="4048" max="4289" width="9" style="1"/>
    <col min="4290" max="4290" width="1.625" style="1" customWidth="1"/>
    <col min="4291" max="4291" width="12.125" style="1" customWidth="1"/>
    <col min="4292" max="4292" width="14.5" style="1" customWidth="1"/>
    <col min="4293" max="4293" width="17.5" style="1" customWidth="1"/>
    <col min="4294" max="4294" width="4" style="1" customWidth="1"/>
    <col min="4295" max="4295" width="9" style="1"/>
    <col min="4296" max="4296" width="12.625" style="1" customWidth="1"/>
    <col min="4297" max="4297" width="12.125" style="1" customWidth="1"/>
    <col min="4298" max="4299" width="11.625" style="1" customWidth="1"/>
    <col min="4300" max="4302" width="9" style="1"/>
    <col min="4303" max="4303" width="10.375" style="1" bestFit="1" customWidth="1"/>
    <col min="4304" max="4545" width="9" style="1"/>
    <col min="4546" max="4546" width="1.625" style="1" customWidth="1"/>
    <col min="4547" max="4547" width="12.125" style="1" customWidth="1"/>
    <col min="4548" max="4548" width="14.5" style="1" customWidth="1"/>
    <col min="4549" max="4549" width="17.5" style="1" customWidth="1"/>
    <col min="4550" max="4550" width="4" style="1" customWidth="1"/>
    <col min="4551" max="4551" width="9" style="1"/>
    <col min="4552" max="4552" width="12.625" style="1" customWidth="1"/>
    <col min="4553" max="4553" width="12.125" style="1" customWidth="1"/>
    <col min="4554" max="4555" width="11.625" style="1" customWidth="1"/>
    <col min="4556" max="4558" width="9" style="1"/>
    <col min="4559" max="4559" width="10.375" style="1" bestFit="1" customWidth="1"/>
    <col min="4560" max="4801" width="9" style="1"/>
    <col min="4802" max="4802" width="1.625" style="1" customWidth="1"/>
    <col min="4803" max="4803" width="12.125" style="1" customWidth="1"/>
    <col min="4804" max="4804" width="14.5" style="1" customWidth="1"/>
    <col min="4805" max="4805" width="17.5" style="1" customWidth="1"/>
    <col min="4806" max="4806" width="4" style="1" customWidth="1"/>
    <col min="4807" max="4807" width="9" style="1"/>
    <col min="4808" max="4808" width="12.625" style="1" customWidth="1"/>
    <col min="4809" max="4809" width="12.125" style="1" customWidth="1"/>
    <col min="4810" max="4811" width="11.625" style="1" customWidth="1"/>
    <col min="4812" max="4814" width="9" style="1"/>
    <col min="4815" max="4815" width="10.375" style="1" bestFit="1" customWidth="1"/>
    <col min="4816" max="5057" width="9" style="1"/>
    <col min="5058" max="5058" width="1.625" style="1" customWidth="1"/>
    <col min="5059" max="5059" width="12.125" style="1" customWidth="1"/>
    <col min="5060" max="5060" width="14.5" style="1" customWidth="1"/>
    <col min="5061" max="5061" width="17.5" style="1" customWidth="1"/>
    <col min="5062" max="5062" width="4" style="1" customWidth="1"/>
    <col min="5063" max="5063" width="9" style="1"/>
    <col min="5064" max="5064" width="12.625" style="1" customWidth="1"/>
    <col min="5065" max="5065" width="12.125" style="1" customWidth="1"/>
    <col min="5066" max="5067" width="11.625" style="1" customWidth="1"/>
    <col min="5068" max="5070" width="9" style="1"/>
    <col min="5071" max="5071" width="10.375" style="1" bestFit="1" customWidth="1"/>
    <col min="5072" max="5313" width="9" style="1"/>
    <col min="5314" max="5314" width="1.625" style="1" customWidth="1"/>
    <col min="5315" max="5315" width="12.125" style="1" customWidth="1"/>
    <col min="5316" max="5316" width="14.5" style="1" customWidth="1"/>
    <col min="5317" max="5317" width="17.5" style="1" customWidth="1"/>
    <col min="5318" max="5318" width="4" style="1" customWidth="1"/>
    <col min="5319" max="5319" width="9" style="1"/>
    <col min="5320" max="5320" width="12.625" style="1" customWidth="1"/>
    <col min="5321" max="5321" width="12.125" style="1" customWidth="1"/>
    <col min="5322" max="5323" width="11.625" style="1" customWidth="1"/>
    <col min="5324" max="5326" width="9" style="1"/>
    <col min="5327" max="5327" width="10.375" style="1" bestFit="1" customWidth="1"/>
    <col min="5328" max="5569" width="9" style="1"/>
    <col min="5570" max="5570" width="1.625" style="1" customWidth="1"/>
    <col min="5571" max="5571" width="12.125" style="1" customWidth="1"/>
    <col min="5572" max="5572" width="14.5" style="1" customWidth="1"/>
    <col min="5573" max="5573" width="17.5" style="1" customWidth="1"/>
    <col min="5574" max="5574" width="4" style="1" customWidth="1"/>
    <col min="5575" max="5575" width="9" style="1"/>
    <col min="5576" max="5576" width="12.625" style="1" customWidth="1"/>
    <col min="5577" max="5577" width="12.125" style="1" customWidth="1"/>
    <col min="5578" max="5579" width="11.625" style="1" customWidth="1"/>
    <col min="5580" max="5582" width="9" style="1"/>
    <col min="5583" max="5583" width="10.375" style="1" bestFit="1" customWidth="1"/>
    <col min="5584" max="5825" width="9" style="1"/>
    <col min="5826" max="5826" width="1.625" style="1" customWidth="1"/>
    <col min="5827" max="5827" width="12.125" style="1" customWidth="1"/>
    <col min="5828" max="5828" width="14.5" style="1" customWidth="1"/>
    <col min="5829" max="5829" width="17.5" style="1" customWidth="1"/>
    <col min="5830" max="5830" width="4" style="1" customWidth="1"/>
    <col min="5831" max="5831" width="9" style="1"/>
    <col min="5832" max="5832" width="12.625" style="1" customWidth="1"/>
    <col min="5833" max="5833" width="12.125" style="1" customWidth="1"/>
    <col min="5834" max="5835" width="11.625" style="1" customWidth="1"/>
    <col min="5836" max="5838" width="9" style="1"/>
    <col min="5839" max="5839" width="10.375" style="1" bestFit="1" customWidth="1"/>
    <col min="5840" max="6081" width="9" style="1"/>
    <col min="6082" max="6082" width="1.625" style="1" customWidth="1"/>
    <col min="6083" max="6083" width="12.125" style="1" customWidth="1"/>
    <col min="6084" max="6084" width="14.5" style="1" customWidth="1"/>
    <col min="6085" max="6085" width="17.5" style="1" customWidth="1"/>
    <col min="6086" max="6086" width="4" style="1" customWidth="1"/>
    <col min="6087" max="6087" width="9" style="1"/>
    <col min="6088" max="6088" width="12.625" style="1" customWidth="1"/>
    <col min="6089" max="6089" width="12.125" style="1" customWidth="1"/>
    <col min="6090" max="6091" width="11.625" style="1" customWidth="1"/>
    <col min="6092" max="6094" width="9" style="1"/>
    <col min="6095" max="6095" width="10.375" style="1" bestFit="1" customWidth="1"/>
    <col min="6096" max="6337" width="9" style="1"/>
    <col min="6338" max="6338" width="1.625" style="1" customWidth="1"/>
    <col min="6339" max="6339" width="12.125" style="1" customWidth="1"/>
    <col min="6340" max="6340" width="14.5" style="1" customWidth="1"/>
    <col min="6341" max="6341" width="17.5" style="1" customWidth="1"/>
    <col min="6342" max="6342" width="4" style="1" customWidth="1"/>
    <col min="6343" max="6343" width="9" style="1"/>
    <col min="6344" max="6344" width="12.625" style="1" customWidth="1"/>
    <col min="6345" max="6345" width="12.125" style="1" customWidth="1"/>
    <col min="6346" max="6347" width="11.625" style="1" customWidth="1"/>
    <col min="6348" max="6350" width="9" style="1"/>
    <col min="6351" max="6351" width="10.375" style="1" bestFit="1" customWidth="1"/>
    <col min="6352" max="6593" width="9" style="1"/>
    <col min="6594" max="6594" width="1.625" style="1" customWidth="1"/>
    <col min="6595" max="6595" width="12.125" style="1" customWidth="1"/>
    <col min="6596" max="6596" width="14.5" style="1" customWidth="1"/>
    <col min="6597" max="6597" width="17.5" style="1" customWidth="1"/>
    <col min="6598" max="6598" width="4" style="1" customWidth="1"/>
    <col min="6599" max="6599" width="9" style="1"/>
    <col min="6600" max="6600" width="12.625" style="1" customWidth="1"/>
    <col min="6601" max="6601" width="12.125" style="1" customWidth="1"/>
    <col min="6602" max="6603" width="11.625" style="1" customWidth="1"/>
    <col min="6604" max="6606" width="9" style="1"/>
    <col min="6607" max="6607" width="10.375" style="1" bestFit="1" customWidth="1"/>
    <col min="6608" max="6849" width="9" style="1"/>
    <col min="6850" max="6850" width="1.625" style="1" customWidth="1"/>
    <col min="6851" max="6851" width="12.125" style="1" customWidth="1"/>
    <col min="6852" max="6852" width="14.5" style="1" customWidth="1"/>
    <col min="6853" max="6853" width="17.5" style="1" customWidth="1"/>
    <col min="6854" max="6854" width="4" style="1" customWidth="1"/>
    <col min="6855" max="6855" width="9" style="1"/>
    <col min="6856" max="6856" width="12.625" style="1" customWidth="1"/>
    <col min="6857" max="6857" width="12.125" style="1" customWidth="1"/>
    <col min="6858" max="6859" width="11.625" style="1" customWidth="1"/>
    <col min="6860" max="6862" width="9" style="1"/>
    <col min="6863" max="6863" width="10.375" style="1" bestFit="1" customWidth="1"/>
    <col min="6864" max="7105" width="9" style="1"/>
    <col min="7106" max="7106" width="1.625" style="1" customWidth="1"/>
    <col min="7107" max="7107" width="12.125" style="1" customWidth="1"/>
    <col min="7108" max="7108" width="14.5" style="1" customWidth="1"/>
    <col min="7109" max="7109" width="17.5" style="1" customWidth="1"/>
    <col min="7110" max="7110" width="4" style="1" customWidth="1"/>
    <col min="7111" max="7111" width="9" style="1"/>
    <col min="7112" max="7112" width="12.625" style="1" customWidth="1"/>
    <col min="7113" max="7113" width="12.125" style="1" customWidth="1"/>
    <col min="7114" max="7115" width="11.625" style="1" customWidth="1"/>
    <col min="7116" max="7118" width="9" style="1"/>
    <col min="7119" max="7119" width="10.375" style="1" bestFit="1" customWidth="1"/>
    <col min="7120" max="7361" width="9" style="1"/>
    <col min="7362" max="7362" width="1.625" style="1" customWidth="1"/>
    <col min="7363" max="7363" width="12.125" style="1" customWidth="1"/>
    <col min="7364" max="7364" width="14.5" style="1" customWidth="1"/>
    <col min="7365" max="7365" width="17.5" style="1" customWidth="1"/>
    <col min="7366" max="7366" width="4" style="1" customWidth="1"/>
    <col min="7367" max="7367" width="9" style="1"/>
    <col min="7368" max="7368" width="12.625" style="1" customWidth="1"/>
    <col min="7369" max="7369" width="12.125" style="1" customWidth="1"/>
    <col min="7370" max="7371" width="11.625" style="1" customWidth="1"/>
    <col min="7372" max="7374" width="9" style="1"/>
    <col min="7375" max="7375" width="10.375" style="1" bestFit="1" customWidth="1"/>
    <col min="7376" max="7617" width="9" style="1"/>
    <col min="7618" max="7618" width="1.625" style="1" customWidth="1"/>
    <col min="7619" max="7619" width="12.125" style="1" customWidth="1"/>
    <col min="7620" max="7620" width="14.5" style="1" customWidth="1"/>
    <col min="7621" max="7621" width="17.5" style="1" customWidth="1"/>
    <col min="7622" max="7622" width="4" style="1" customWidth="1"/>
    <col min="7623" max="7623" width="9" style="1"/>
    <col min="7624" max="7624" width="12.625" style="1" customWidth="1"/>
    <col min="7625" max="7625" width="12.125" style="1" customWidth="1"/>
    <col min="7626" max="7627" width="11.625" style="1" customWidth="1"/>
    <col min="7628" max="7630" width="9" style="1"/>
    <col min="7631" max="7631" width="10.375" style="1" bestFit="1" customWidth="1"/>
    <col min="7632" max="7873" width="9" style="1"/>
    <col min="7874" max="7874" width="1.625" style="1" customWidth="1"/>
    <col min="7875" max="7875" width="12.125" style="1" customWidth="1"/>
    <col min="7876" max="7876" width="14.5" style="1" customWidth="1"/>
    <col min="7877" max="7877" width="17.5" style="1" customWidth="1"/>
    <col min="7878" max="7878" width="4" style="1" customWidth="1"/>
    <col min="7879" max="7879" width="9" style="1"/>
    <col min="7880" max="7880" width="12.625" style="1" customWidth="1"/>
    <col min="7881" max="7881" width="12.125" style="1" customWidth="1"/>
    <col min="7882" max="7883" width="11.625" style="1" customWidth="1"/>
    <col min="7884" max="7886" width="9" style="1"/>
    <col min="7887" max="7887" width="10.375" style="1" bestFit="1" customWidth="1"/>
    <col min="7888" max="8129" width="9" style="1"/>
    <col min="8130" max="8130" width="1.625" style="1" customWidth="1"/>
    <col min="8131" max="8131" width="12.125" style="1" customWidth="1"/>
    <col min="8132" max="8132" width="14.5" style="1" customWidth="1"/>
    <col min="8133" max="8133" width="17.5" style="1" customWidth="1"/>
    <col min="8134" max="8134" width="4" style="1" customWidth="1"/>
    <col min="8135" max="8135" width="9" style="1"/>
    <col min="8136" max="8136" width="12.625" style="1" customWidth="1"/>
    <col min="8137" max="8137" width="12.125" style="1" customWidth="1"/>
    <col min="8138" max="8139" width="11.625" style="1" customWidth="1"/>
    <col min="8140" max="8142" width="9" style="1"/>
    <col min="8143" max="8143" width="10.375" style="1" bestFit="1" customWidth="1"/>
    <col min="8144" max="8385" width="9" style="1"/>
    <col min="8386" max="8386" width="1.625" style="1" customWidth="1"/>
    <col min="8387" max="8387" width="12.125" style="1" customWidth="1"/>
    <col min="8388" max="8388" width="14.5" style="1" customWidth="1"/>
    <col min="8389" max="8389" width="17.5" style="1" customWidth="1"/>
    <col min="8390" max="8390" width="4" style="1" customWidth="1"/>
    <col min="8391" max="8391" width="9" style="1"/>
    <col min="8392" max="8392" width="12.625" style="1" customWidth="1"/>
    <col min="8393" max="8393" width="12.125" style="1" customWidth="1"/>
    <col min="8394" max="8395" width="11.625" style="1" customWidth="1"/>
    <col min="8396" max="8398" width="9" style="1"/>
    <col min="8399" max="8399" width="10.375" style="1" bestFit="1" customWidth="1"/>
    <col min="8400" max="8641" width="9" style="1"/>
    <col min="8642" max="8642" width="1.625" style="1" customWidth="1"/>
    <col min="8643" max="8643" width="12.125" style="1" customWidth="1"/>
    <col min="8644" max="8644" width="14.5" style="1" customWidth="1"/>
    <col min="8645" max="8645" width="17.5" style="1" customWidth="1"/>
    <col min="8646" max="8646" width="4" style="1" customWidth="1"/>
    <col min="8647" max="8647" width="9" style="1"/>
    <col min="8648" max="8648" width="12.625" style="1" customWidth="1"/>
    <col min="8649" max="8649" width="12.125" style="1" customWidth="1"/>
    <col min="8650" max="8651" width="11.625" style="1" customWidth="1"/>
    <col min="8652" max="8654" width="9" style="1"/>
    <col min="8655" max="8655" width="10.375" style="1" bestFit="1" customWidth="1"/>
    <col min="8656" max="8897" width="9" style="1"/>
    <col min="8898" max="8898" width="1.625" style="1" customWidth="1"/>
    <col min="8899" max="8899" width="12.125" style="1" customWidth="1"/>
    <col min="8900" max="8900" width="14.5" style="1" customWidth="1"/>
    <col min="8901" max="8901" width="17.5" style="1" customWidth="1"/>
    <col min="8902" max="8902" width="4" style="1" customWidth="1"/>
    <col min="8903" max="8903" width="9" style="1"/>
    <col min="8904" max="8904" width="12.625" style="1" customWidth="1"/>
    <col min="8905" max="8905" width="12.125" style="1" customWidth="1"/>
    <col min="8906" max="8907" width="11.625" style="1" customWidth="1"/>
    <col min="8908" max="8910" width="9" style="1"/>
    <col min="8911" max="8911" width="10.375" style="1" bestFit="1" customWidth="1"/>
    <col min="8912" max="9153" width="9" style="1"/>
    <col min="9154" max="9154" width="1.625" style="1" customWidth="1"/>
    <col min="9155" max="9155" width="12.125" style="1" customWidth="1"/>
    <col min="9156" max="9156" width="14.5" style="1" customWidth="1"/>
    <col min="9157" max="9157" width="17.5" style="1" customWidth="1"/>
    <col min="9158" max="9158" width="4" style="1" customWidth="1"/>
    <col min="9159" max="9159" width="9" style="1"/>
    <col min="9160" max="9160" width="12.625" style="1" customWidth="1"/>
    <col min="9161" max="9161" width="12.125" style="1" customWidth="1"/>
    <col min="9162" max="9163" width="11.625" style="1" customWidth="1"/>
    <col min="9164" max="9166" width="9" style="1"/>
    <col min="9167" max="9167" width="10.375" style="1" bestFit="1" customWidth="1"/>
    <col min="9168" max="9409" width="9" style="1"/>
    <col min="9410" max="9410" width="1.625" style="1" customWidth="1"/>
    <col min="9411" max="9411" width="12.125" style="1" customWidth="1"/>
    <col min="9412" max="9412" width="14.5" style="1" customWidth="1"/>
    <col min="9413" max="9413" width="17.5" style="1" customWidth="1"/>
    <col min="9414" max="9414" width="4" style="1" customWidth="1"/>
    <col min="9415" max="9415" width="9" style="1"/>
    <col min="9416" max="9416" width="12.625" style="1" customWidth="1"/>
    <col min="9417" max="9417" width="12.125" style="1" customWidth="1"/>
    <col min="9418" max="9419" width="11.625" style="1" customWidth="1"/>
    <col min="9420" max="9422" width="9" style="1"/>
    <col min="9423" max="9423" width="10.375" style="1" bestFit="1" customWidth="1"/>
    <col min="9424" max="9665" width="9" style="1"/>
    <col min="9666" max="9666" width="1.625" style="1" customWidth="1"/>
    <col min="9667" max="9667" width="12.125" style="1" customWidth="1"/>
    <col min="9668" max="9668" width="14.5" style="1" customWidth="1"/>
    <col min="9669" max="9669" width="17.5" style="1" customWidth="1"/>
    <col min="9670" max="9670" width="4" style="1" customWidth="1"/>
    <col min="9671" max="9671" width="9" style="1"/>
    <col min="9672" max="9672" width="12.625" style="1" customWidth="1"/>
    <col min="9673" max="9673" width="12.125" style="1" customWidth="1"/>
    <col min="9674" max="9675" width="11.625" style="1" customWidth="1"/>
    <col min="9676" max="9678" width="9" style="1"/>
    <col min="9679" max="9679" width="10.375" style="1" bestFit="1" customWidth="1"/>
    <col min="9680" max="9921" width="9" style="1"/>
    <col min="9922" max="9922" width="1.625" style="1" customWidth="1"/>
    <col min="9923" max="9923" width="12.125" style="1" customWidth="1"/>
    <col min="9924" max="9924" width="14.5" style="1" customWidth="1"/>
    <col min="9925" max="9925" width="17.5" style="1" customWidth="1"/>
    <col min="9926" max="9926" width="4" style="1" customWidth="1"/>
    <col min="9927" max="9927" width="9" style="1"/>
    <col min="9928" max="9928" width="12.625" style="1" customWidth="1"/>
    <col min="9929" max="9929" width="12.125" style="1" customWidth="1"/>
    <col min="9930" max="9931" width="11.625" style="1" customWidth="1"/>
    <col min="9932" max="9934" width="9" style="1"/>
    <col min="9935" max="9935" width="10.375" style="1" bestFit="1" customWidth="1"/>
    <col min="9936" max="10177" width="9" style="1"/>
    <col min="10178" max="10178" width="1.625" style="1" customWidth="1"/>
    <col min="10179" max="10179" width="12.125" style="1" customWidth="1"/>
    <col min="10180" max="10180" width="14.5" style="1" customWidth="1"/>
    <col min="10181" max="10181" width="17.5" style="1" customWidth="1"/>
    <col min="10182" max="10182" width="4" style="1" customWidth="1"/>
    <col min="10183" max="10183" width="9" style="1"/>
    <col min="10184" max="10184" width="12.625" style="1" customWidth="1"/>
    <col min="10185" max="10185" width="12.125" style="1" customWidth="1"/>
    <col min="10186" max="10187" width="11.625" style="1" customWidth="1"/>
    <col min="10188" max="10190" width="9" style="1"/>
    <col min="10191" max="10191" width="10.375" style="1" bestFit="1" customWidth="1"/>
    <col min="10192" max="10433" width="9" style="1"/>
    <col min="10434" max="10434" width="1.625" style="1" customWidth="1"/>
    <col min="10435" max="10435" width="12.125" style="1" customWidth="1"/>
    <col min="10436" max="10436" width="14.5" style="1" customWidth="1"/>
    <col min="10437" max="10437" width="17.5" style="1" customWidth="1"/>
    <col min="10438" max="10438" width="4" style="1" customWidth="1"/>
    <col min="10439" max="10439" width="9" style="1"/>
    <col min="10440" max="10440" width="12.625" style="1" customWidth="1"/>
    <col min="10441" max="10441" width="12.125" style="1" customWidth="1"/>
    <col min="10442" max="10443" width="11.625" style="1" customWidth="1"/>
    <col min="10444" max="10446" width="9" style="1"/>
    <col min="10447" max="10447" width="10.375" style="1" bestFit="1" customWidth="1"/>
    <col min="10448" max="10689" width="9" style="1"/>
    <col min="10690" max="10690" width="1.625" style="1" customWidth="1"/>
    <col min="10691" max="10691" width="12.125" style="1" customWidth="1"/>
    <col min="10692" max="10692" width="14.5" style="1" customWidth="1"/>
    <col min="10693" max="10693" width="17.5" style="1" customWidth="1"/>
    <col min="10694" max="10694" width="4" style="1" customWidth="1"/>
    <col min="10695" max="10695" width="9" style="1"/>
    <col min="10696" max="10696" width="12.625" style="1" customWidth="1"/>
    <col min="10697" max="10697" width="12.125" style="1" customWidth="1"/>
    <col min="10698" max="10699" width="11.625" style="1" customWidth="1"/>
    <col min="10700" max="10702" width="9" style="1"/>
    <col min="10703" max="10703" width="10.375" style="1" bestFit="1" customWidth="1"/>
    <col min="10704" max="10945" width="9" style="1"/>
    <col min="10946" max="10946" width="1.625" style="1" customWidth="1"/>
    <col min="10947" max="10947" width="12.125" style="1" customWidth="1"/>
    <col min="10948" max="10948" width="14.5" style="1" customWidth="1"/>
    <col min="10949" max="10949" width="17.5" style="1" customWidth="1"/>
    <col min="10950" max="10950" width="4" style="1" customWidth="1"/>
    <col min="10951" max="10951" width="9" style="1"/>
    <col min="10952" max="10952" width="12.625" style="1" customWidth="1"/>
    <col min="10953" max="10953" width="12.125" style="1" customWidth="1"/>
    <col min="10954" max="10955" width="11.625" style="1" customWidth="1"/>
    <col min="10956" max="10958" width="9" style="1"/>
    <col min="10959" max="10959" width="10.375" style="1" bestFit="1" customWidth="1"/>
    <col min="10960" max="11201" width="9" style="1"/>
    <col min="11202" max="11202" width="1.625" style="1" customWidth="1"/>
    <col min="11203" max="11203" width="12.125" style="1" customWidth="1"/>
    <col min="11204" max="11204" width="14.5" style="1" customWidth="1"/>
    <col min="11205" max="11205" width="17.5" style="1" customWidth="1"/>
    <col min="11206" max="11206" width="4" style="1" customWidth="1"/>
    <col min="11207" max="11207" width="9" style="1"/>
    <col min="11208" max="11208" width="12.625" style="1" customWidth="1"/>
    <col min="11209" max="11209" width="12.125" style="1" customWidth="1"/>
    <col min="11210" max="11211" width="11.625" style="1" customWidth="1"/>
    <col min="11212" max="11214" width="9" style="1"/>
    <col min="11215" max="11215" width="10.375" style="1" bestFit="1" customWidth="1"/>
    <col min="11216" max="11457" width="9" style="1"/>
    <col min="11458" max="11458" width="1.625" style="1" customWidth="1"/>
    <col min="11459" max="11459" width="12.125" style="1" customWidth="1"/>
    <col min="11460" max="11460" width="14.5" style="1" customWidth="1"/>
    <col min="11461" max="11461" width="17.5" style="1" customWidth="1"/>
    <col min="11462" max="11462" width="4" style="1" customWidth="1"/>
    <col min="11463" max="11463" width="9" style="1"/>
    <col min="11464" max="11464" width="12.625" style="1" customWidth="1"/>
    <col min="11465" max="11465" width="12.125" style="1" customWidth="1"/>
    <col min="11466" max="11467" width="11.625" style="1" customWidth="1"/>
    <col min="11468" max="11470" width="9" style="1"/>
    <col min="11471" max="11471" width="10.375" style="1" bestFit="1" customWidth="1"/>
    <col min="11472" max="11713" width="9" style="1"/>
    <col min="11714" max="11714" width="1.625" style="1" customWidth="1"/>
    <col min="11715" max="11715" width="12.125" style="1" customWidth="1"/>
    <col min="11716" max="11716" width="14.5" style="1" customWidth="1"/>
    <col min="11717" max="11717" width="17.5" style="1" customWidth="1"/>
    <col min="11718" max="11718" width="4" style="1" customWidth="1"/>
    <col min="11719" max="11719" width="9" style="1"/>
    <col min="11720" max="11720" width="12.625" style="1" customWidth="1"/>
    <col min="11721" max="11721" width="12.125" style="1" customWidth="1"/>
    <col min="11722" max="11723" width="11.625" style="1" customWidth="1"/>
    <col min="11724" max="11726" width="9" style="1"/>
    <col min="11727" max="11727" width="10.375" style="1" bestFit="1" customWidth="1"/>
    <col min="11728" max="11969" width="9" style="1"/>
    <col min="11970" max="11970" width="1.625" style="1" customWidth="1"/>
    <col min="11971" max="11971" width="12.125" style="1" customWidth="1"/>
    <col min="11972" max="11972" width="14.5" style="1" customWidth="1"/>
    <col min="11973" max="11973" width="17.5" style="1" customWidth="1"/>
    <col min="11974" max="11974" width="4" style="1" customWidth="1"/>
    <col min="11975" max="11975" width="9" style="1"/>
    <col min="11976" max="11976" width="12.625" style="1" customWidth="1"/>
    <col min="11977" max="11977" width="12.125" style="1" customWidth="1"/>
    <col min="11978" max="11979" width="11.625" style="1" customWidth="1"/>
    <col min="11980" max="11982" width="9" style="1"/>
    <col min="11983" max="11983" width="10.375" style="1" bestFit="1" customWidth="1"/>
    <col min="11984" max="12225" width="9" style="1"/>
    <col min="12226" max="12226" width="1.625" style="1" customWidth="1"/>
    <col min="12227" max="12227" width="12.125" style="1" customWidth="1"/>
    <col min="12228" max="12228" width="14.5" style="1" customWidth="1"/>
    <col min="12229" max="12229" width="17.5" style="1" customWidth="1"/>
    <col min="12230" max="12230" width="4" style="1" customWidth="1"/>
    <col min="12231" max="12231" width="9" style="1"/>
    <col min="12232" max="12232" width="12.625" style="1" customWidth="1"/>
    <col min="12233" max="12233" width="12.125" style="1" customWidth="1"/>
    <col min="12234" max="12235" width="11.625" style="1" customWidth="1"/>
    <col min="12236" max="12238" width="9" style="1"/>
    <col min="12239" max="12239" width="10.375" style="1" bestFit="1" customWidth="1"/>
    <col min="12240" max="12481" width="9" style="1"/>
    <col min="12482" max="12482" width="1.625" style="1" customWidth="1"/>
    <col min="12483" max="12483" width="12.125" style="1" customWidth="1"/>
    <col min="12484" max="12484" width="14.5" style="1" customWidth="1"/>
    <col min="12485" max="12485" width="17.5" style="1" customWidth="1"/>
    <col min="12486" max="12486" width="4" style="1" customWidth="1"/>
    <col min="12487" max="12487" width="9" style="1"/>
    <col min="12488" max="12488" width="12.625" style="1" customWidth="1"/>
    <col min="12489" max="12489" width="12.125" style="1" customWidth="1"/>
    <col min="12490" max="12491" width="11.625" style="1" customWidth="1"/>
    <col min="12492" max="12494" width="9" style="1"/>
    <col min="12495" max="12495" width="10.375" style="1" bestFit="1" customWidth="1"/>
    <col min="12496" max="12737" width="9" style="1"/>
    <col min="12738" max="12738" width="1.625" style="1" customWidth="1"/>
    <col min="12739" max="12739" width="12.125" style="1" customWidth="1"/>
    <col min="12740" max="12740" width="14.5" style="1" customWidth="1"/>
    <col min="12741" max="12741" width="17.5" style="1" customWidth="1"/>
    <col min="12742" max="12742" width="4" style="1" customWidth="1"/>
    <col min="12743" max="12743" width="9" style="1"/>
    <col min="12744" max="12744" width="12.625" style="1" customWidth="1"/>
    <col min="12745" max="12745" width="12.125" style="1" customWidth="1"/>
    <col min="12746" max="12747" width="11.625" style="1" customWidth="1"/>
    <col min="12748" max="12750" width="9" style="1"/>
    <col min="12751" max="12751" width="10.375" style="1" bestFit="1" customWidth="1"/>
    <col min="12752" max="12993" width="9" style="1"/>
    <col min="12994" max="12994" width="1.625" style="1" customWidth="1"/>
    <col min="12995" max="12995" width="12.125" style="1" customWidth="1"/>
    <col min="12996" max="12996" width="14.5" style="1" customWidth="1"/>
    <col min="12997" max="12997" width="17.5" style="1" customWidth="1"/>
    <col min="12998" max="12998" width="4" style="1" customWidth="1"/>
    <col min="12999" max="12999" width="9" style="1"/>
    <col min="13000" max="13000" width="12.625" style="1" customWidth="1"/>
    <col min="13001" max="13001" width="12.125" style="1" customWidth="1"/>
    <col min="13002" max="13003" width="11.625" style="1" customWidth="1"/>
    <col min="13004" max="13006" width="9" style="1"/>
    <col min="13007" max="13007" width="10.375" style="1" bestFit="1" customWidth="1"/>
    <col min="13008" max="13249" width="9" style="1"/>
    <col min="13250" max="13250" width="1.625" style="1" customWidth="1"/>
    <col min="13251" max="13251" width="12.125" style="1" customWidth="1"/>
    <col min="13252" max="13252" width="14.5" style="1" customWidth="1"/>
    <col min="13253" max="13253" width="17.5" style="1" customWidth="1"/>
    <col min="13254" max="13254" width="4" style="1" customWidth="1"/>
    <col min="13255" max="13255" width="9" style="1"/>
    <col min="13256" max="13256" width="12.625" style="1" customWidth="1"/>
    <col min="13257" max="13257" width="12.125" style="1" customWidth="1"/>
    <col min="13258" max="13259" width="11.625" style="1" customWidth="1"/>
    <col min="13260" max="13262" width="9" style="1"/>
    <col min="13263" max="13263" width="10.375" style="1" bestFit="1" customWidth="1"/>
    <col min="13264" max="13505" width="9" style="1"/>
    <col min="13506" max="13506" width="1.625" style="1" customWidth="1"/>
    <col min="13507" max="13507" width="12.125" style="1" customWidth="1"/>
    <col min="13508" max="13508" width="14.5" style="1" customWidth="1"/>
    <col min="13509" max="13509" width="17.5" style="1" customWidth="1"/>
    <col min="13510" max="13510" width="4" style="1" customWidth="1"/>
    <col min="13511" max="13511" width="9" style="1"/>
    <col min="13512" max="13512" width="12.625" style="1" customWidth="1"/>
    <col min="13513" max="13513" width="12.125" style="1" customWidth="1"/>
    <col min="13514" max="13515" width="11.625" style="1" customWidth="1"/>
    <col min="13516" max="13518" width="9" style="1"/>
    <col min="13519" max="13519" width="10.375" style="1" bestFit="1" customWidth="1"/>
    <col min="13520" max="13761" width="9" style="1"/>
    <col min="13762" max="13762" width="1.625" style="1" customWidth="1"/>
    <col min="13763" max="13763" width="12.125" style="1" customWidth="1"/>
    <col min="13764" max="13764" width="14.5" style="1" customWidth="1"/>
    <col min="13765" max="13765" width="17.5" style="1" customWidth="1"/>
    <col min="13766" max="13766" width="4" style="1" customWidth="1"/>
    <col min="13767" max="13767" width="9" style="1"/>
    <col min="13768" max="13768" width="12.625" style="1" customWidth="1"/>
    <col min="13769" max="13769" width="12.125" style="1" customWidth="1"/>
    <col min="13770" max="13771" width="11.625" style="1" customWidth="1"/>
    <col min="13772" max="13774" width="9" style="1"/>
    <col min="13775" max="13775" width="10.375" style="1" bestFit="1" customWidth="1"/>
    <col min="13776" max="14017" width="9" style="1"/>
    <col min="14018" max="14018" width="1.625" style="1" customWidth="1"/>
    <col min="14019" max="14019" width="12.125" style="1" customWidth="1"/>
    <col min="14020" max="14020" width="14.5" style="1" customWidth="1"/>
    <col min="14021" max="14021" width="17.5" style="1" customWidth="1"/>
    <col min="14022" max="14022" width="4" style="1" customWidth="1"/>
    <col min="14023" max="14023" width="9" style="1"/>
    <col min="14024" max="14024" width="12.625" style="1" customWidth="1"/>
    <col min="14025" max="14025" width="12.125" style="1" customWidth="1"/>
    <col min="14026" max="14027" width="11.625" style="1" customWidth="1"/>
    <col min="14028" max="14030" width="9" style="1"/>
    <col min="14031" max="14031" width="10.375" style="1" bestFit="1" customWidth="1"/>
    <col min="14032" max="14273" width="9" style="1"/>
    <col min="14274" max="14274" width="1.625" style="1" customWidth="1"/>
    <col min="14275" max="14275" width="12.125" style="1" customWidth="1"/>
    <col min="14276" max="14276" width="14.5" style="1" customWidth="1"/>
    <col min="14277" max="14277" width="17.5" style="1" customWidth="1"/>
    <col min="14278" max="14278" width="4" style="1" customWidth="1"/>
    <col min="14279" max="14279" width="9" style="1"/>
    <col min="14280" max="14280" width="12.625" style="1" customWidth="1"/>
    <col min="14281" max="14281" width="12.125" style="1" customWidth="1"/>
    <col min="14282" max="14283" width="11.625" style="1" customWidth="1"/>
    <col min="14284" max="14286" width="9" style="1"/>
    <col min="14287" max="14287" width="10.375" style="1" bestFit="1" customWidth="1"/>
    <col min="14288" max="14529" width="9" style="1"/>
    <col min="14530" max="14530" width="1.625" style="1" customWidth="1"/>
    <col min="14531" max="14531" width="12.125" style="1" customWidth="1"/>
    <col min="14532" max="14532" width="14.5" style="1" customWidth="1"/>
    <col min="14533" max="14533" width="17.5" style="1" customWidth="1"/>
    <col min="14534" max="14534" width="4" style="1" customWidth="1"/>
    <col min="14535" max="14535" width="9" style="1"/>
    <col min="14536" max="14536" width="12.625" style="1" customWidth="1"/>
    <col min="14537" max="14537" width="12.125" style="1" customWidth="1"/>
    <col min="14538" max="14539" width="11.625" style="1" customWidth="1"/>
    <col min="14540" max="14542" width="9" style="1"/>
    <col min="14543" max="14543" width="10.375" style="1" bestFit="1" customWidth="1"/>
    <col min="14544" max="14785" width="9" style="1"/>
    <col min="14786" max="14786" width="1.625" style="1" customWidth="1"/>
    <col min="14787" max="14787" width="12.125" style="1" customWidth="1"/>
    <col min="14788" max="14788" width="14.5" style="1" customWidth="1"/>
    <col min="14789" max="14789" width="17.5" style="1" customWidth="1"/>
    <col min="14790" max="14790" width="4" style="1" customWidth="1"/>
    <col min="14791" max="14791" width="9" style="1"/>
    <col min="14792" max="14792" width="12.625" style="1" customWidth="1"/>
    <col min="14793" max="14793" width="12.125" style="1" customWidth="1"/>
    <col min="14794" max="14795" width="11.625" style="1" customWidth="1"/>
    <col min="14796" max="14798" width="9" style="1"/>
    <col min="14799" max="14799" width="10.375" style="1" bestFit="1" customWidth="1"/>
    <col min="14800" max="15041" width="9" style="1"/>
    <col min="15042" max="15042" width="1.625" style="1" customWidth="1"/>
    <col min="15043" max="15043" width="12.125" style="1" customWidth="1"/>
    <col min="15044" max="15044" width="14.5" style="1" customWidth="1"/>
    <col min="15045" max="15045" width="17.5" style="1" customWidth="1"/>
    <col min="15046" max="15046" width="4" style="1" customWidth="1"/>
    <col min="15047" max="15047" width="9" style="1"/>
    <col min="15048" max="15048" width="12.625" style="1" customWidth="1"/>
    <col min="15049" max="15049" width="12.125" style="1" customWidth="1"/>
    <col min="15050" max="15051" width="11.625" style="1" customWidth="1"/>
    <col min="15052" max="15054" width="9" style="1"/>
    <col min="15055" max="15055" width="10.375" style="1" bestFit="1" customWidth="1"/>
    <col min="15056" max="15297" width="9" style="1"/>
    <col min="15298" max="15298" width="1.625" style="1" customWidth="1"/>
    <col min="15299" max="15299" width="12.125" style="1" customWidth="1"/>
    <col min="15300" max="15300" width="14.5" style="1" customWidth="1"/>
    <col min="15301" max="15301" width="17.5" style="1" customWidth="1"/>
    <col min="15302" max="15302" width="4" style="1" customWidth="1"/>
    <col min="15303" max="15303" width="9" style="1"/>
    <col min="15304" max="15304" width="12.625" style="1" customWidth="1"/>
    <col min="15305" max="15305" width="12.125" style="1" customWidth="1"/>
    <col min="15306" max="15307" width="11.625" style="1" customWidth="1"/>
    <col min="15308" max="15310" width="9" style="1"/>
    <col min="15311" max="15311" width="10.375" style="1" bestFit="1" customWidth="1"/>
    <col min="15312" max="15553" width="9" style="1"/>
    <col min="15554" max="15554" width="1.625" style="1" customWidth="1"/>
    <col min="15555" max="15555" width="12.125" style="1" customWidth="1"/>
    <col min="15556" max="15556" width="14.5" style="1" customWidth="1"/>
    <col min="15557" max="15557" width="17.5" style="1" customWidth="1"/>
    <col min="15558" max="15558" width="4" style="1" customWidth="1"/>
    <col min="15559" max="15559" width="9" style="1"/>
    <col min="15560" max="15560" width="12.625" style="1" customWidth="1"/>
    <col min="15561" max="15561" width="12.125" style="1" customWidth="1"/>
    <col min="15562" max="15563" width="11.625" style="1" customWidth="1"/>
    <col min="15564" max="15566" width="9" style="1"/>
    <col min="15567" max="15567" width="10.375" style="1" bestFit="1" customWidth="1"/>
    <col min="15568" max="15809" width="9" style="1"/>
    <col min="15810" max="15810" width="1.625" style="1" customWidth="1"/>
    <col min="15811" max="15811" width="12.125" style="1" customWidth="1"/>
    <col min="15812" max="15812" width="14.5" style="1" customWidth="1"/>
    <col min="15813" max="15813" width="17.5" style="1" customWidth="1"/>
    <col min="15814" max="15814" width="4" style="1" customWidth="1"/>
    <col min="15815" max="15815" width="9" style="1"/>
    <col min="15816" max="15816" width="12.625" style="1" customWidth="1"/>
    <col min="15817" max="15817" width="12.125" style="1" customWidth="1"/>
    <col min="15818" max="15819" width="11.625" style="1" customWidth="1"/>
    <col min="15820" max="15822" width="9" style="1"/>
    <col min="15823" max="15823" width="10.375" style="1" bestFit="1" customWidth="1"/>
    <col min="15824" max="16065" width="9" style="1"/>
    <col min="16066" max="16066" width="1.625" style="1" customWidth="1"/>
    <col min="16067" max="16067" width="12.125" style="1" customWidth="1"/>
    <col min="16068" max="16068" width="14.5" style="1" customWidth="1"/>
    <col min="16069" max="16069" width="17.5" style="1" customWidth="1"/>
    <col min="16070" max="16070" width="4" style="1" customWidth="1"/>
    <col min="16071" max="16071" width="9" style="1"/>
    <col min="16072" max="16072" width="12.625" style="1" customWidth="1"/>
    <col min="16073" max="16073" width="12.125" style="1" customWidth="1"/>
    <col min="16074" max="16075" width="11.625" style="1" customWidth="1"/>
    <col min="16076" max="16078" width="9" style="1"/>
    <col min="16079" max="16079" width="10.375" style="1" bestFit="1" customWidth="1"/>
    <col min="16080" max="16384" width="9" style="1"/>
  </cols>
  <sheetData>
    <row r="1" spans="1:9" ht="22.5" customHeight="1" thickBot="1">
      <c r="A1" s="192"/>
      <c r="B1" s="193"/>
      <c r="C1" s="193"/>
      <c r="D1" s="193"/>
      <c r="E1" s="193"/>
      <c r="F1" s="193"/>
      <c r="G1" s="193"/>
      <c r="H1" s="193"/>
      <c r="I1" s="194"/>
    </row>
    <row r="2" spans="1:9" ht="22.5" customHeight="1" thickBot="1">
      <c r="A2" s="195" t="s">
        <v>0</v>
      </c>
      <c r="B2" s="196"/>
      <c r="C2" s="196"/>
      <c r="D2" s="196"/>
      <c r="E2" s="196"/>
      <c r="F2" s="196"/>
      <c r="G2" s="196"/>
      <c r="H2" s="196"/>
      <c r="I2" s="197"/>
    </row>
    <row r="3" spans="1:9" ht="22.5" customHeight="1">
      <c r="A3" s="198" t="s">
        <v>1</v>
      </c>
      <c r="B3" s="199"/>
      <c r="C3" s="199"/>
      <c r="D3" s="200"/>
      <c r="E3" s="162" t="s">
        <v>2</v>
      </c>
      <c r="F3" s="163"/>
      <c r="G3" s="163"/>
      <c r="H3" s="181"/>
      <c r="I3" s="164"/>
    </row>
    <row r="4" spans="1:9" s="2" customFormat="1" ht="22.5" customHeight="1" thickBot="1">
      <c r="A4" s="182" t="s">
        <v>3</v>
      </c>
      <c r="B4" s="183"/>
      <c r="C4" s="183"/>
      <c r="D4" s="184"/>
      <c r="E4" s="201" t="str">
        <f>Invoice!D4</f>
        <v>VEC-06                                                                23, JUNE 2026</v>
      </c>
      <c r="F4" s="202"/>
      <c r="G4" s="202"/>
      <c r="H4" s="203"/>
      <c r="I4" s="204"/>
    </row>
    <row r="5" spans="1:9" s="2" customFormat="1" ht="22.5" customHeight="1">
      <c r="A5" s="178" t="s">
        <v>4</v>
      </c>
      <c r="B5" s="179"/>
      <c r="C5" s="179"/>
      <c r="D5" s="180"/>
      <c r="E5" s="162"/>
      <c r="F5" s="163"/>
      <c r="G5" s="163"/>
      <c r="H5" s="181"/>
      <c r="I5" s="164"/>
    </row>
    <row r="6" spans="1:9" s="2" customFormat="1" ht="22.5" customHeight="1">
      <c r="A6" s="182" t="s">
        <v>5</v>
      </c>
      <c r="B6" s="183"/>
      <c r="C6" s="183"/>
      <c r="D6" s="184"/>
      <c r="E6" s="185" t="s">
        <v>6</v>
      </c>
      <c r="F6" s="186"/>
      <c r="G6" s="186"/>
      <c r="H6" s="186"/>
      <c r="I6" s="187"/>
    </row>
    <row r="7" spans="1:9" s="2" customFormat="1" ht="22.5" customHeight="1" thickBot="1">
      <c r="A7" s="52" t="s">
        <v>7</v>
      </c>
      <c r="B7" s="53"/>
      <c r="C7" s="54"/>
      <c r="D7" s="55"/>
      <c r="E7" s="175"/>
      <c r="F7" s="176"/>
      <c r="G7" s="176"/>
      <c r="H7" s="188"/>
      <c r="I7" s="177"/>
    </row>
    <row r="8" spans="1:9" s="2" customFormat="1" ht="22.5" customHeight="1">
      <c r="A8" s="168" t="s">
        <v>8</v>
      </c>
      <c r="B8" s="169"/>
      <c r="C8" s="169"/>
      <c r="D8" s="170"/>
      <c r="E8" s="50"/>
      <c r="F8" s="3"/>
      <c r="G8" s="4"/>
      <c r="H8" s="65"/>
      <c r="I8" s="23"/>
    </row>
    <row r="9" spans="1:9" s="2" customFormat="1" ht="22.5" customHeight="1">
      <c r="A9" s="45" t="s">
        <v>44</v>
      </c>
      <c r="B9" s="46"/>
      <c r="C9" s="56"/>
      <c r="D9" s="57"/>
      <c r="E9" s="6"/>
      <c r="F9" s="5"/>
      <c r="G9" s="24"/>
      <c r="H9" s="66"/>
      <c r="I9" s="25"/>
    </row>
    <row r="10" spans="1:9" s="2" customFormat="1" ht="22.5" customHeight="1">
      <c r="A10" s="48" t="s">
        <v>45</v>
      </c>
      <c r="B10" s="73"/>
      <c r="C10" s="73"/>
      <c r="D10" s="74"/>
      <c r="E10" s="6"/>
      <c r="F10" s="5"/>
      <c r="G10" s="24"/>
      <c r="H10" s="66"/>
      <c r="I10" s="25"/>
    </row>
    <row r="11" spans="1:9" s="2" customFormat="1" ht="22.5" customHeight="1">
      <c r="A11" s="48" t="s">
        <v>46</v>
      </c>
      <c r="B11" s="73"/>
      <c r="C11" s="73"/>
      <c r="D11" s="74"/>
      <c r="E11" s="6"/>
      <c r="F11" s="5"/>
      <c r="G11" s="24"/>
      <c r="H11" s="66"/>
      <c r="I11" s="25"/>
    </row>
    <row r="12" spans="1:9" s="2" customFormat="1" ht="22.5" customHeight="1">
      <c r="A12" s="70"/>
      <c r="B12" s="46"/>
      <c r="C12" s="56"/>
      <c r="D12" s="57"/>
      <c r="E12" s="51"/>
      <c r="F12" s="5"/>
      <c r="G12" s="24"/>
      <c r="H12" s="66"/>
      <c r="I12" s="25"/>
    </row>
    <row r="13" spans="1:9" s="2" customFormat="1" ht="22.5" customHeight="1" thickBot="1">
      <c r="A13" s="8"/>
      <c r="B13" s="9"/>
      <c r="C13" s="10"/>
      <c r="D13" s="11"/>
      <c r="E13" s="51"/>
      <c r="F13" s="5"/>
      <c r="G13" s="24"/>
      <c r="H13" s="66"/>
      <c r="I13" s="25"/>
    </row>
    <row r="14" spans="1:9" s="2" customFormat="1" ht="22.5" customHeight="1">
      <c r="A14" s="189" t="s">
        <v>9</v>
      </c>
      <c r="B14" s="190"/>
      <c r="C14" s="190"/>
      <c r="D14" s="191"/>
      <c r="E14" s="7"/>
      <c r="F14" s="5"/>
      <c r="G14" s="24"/>
      <c r="H14" s="66"/>
      <c r="I14" s="25"/>
    </row>
    <row r="15" spans="1:9" s="2" customFormat="1" ht="22.5" customHeight="1" thickBot="1">
      <c r="A15" s="175" t="s">
        <v>10</v>
      </c>
      <c r="B15" s="176"/>
      <c r="C15" s="176"/>
      <c r="D15" s="177"/>
      <c r="E15" s="7"/>
      <c r="F15" s="5"/>
      <c r="G15" s="24"/>
      <c r="H15" s="66"/>
      <c r="I15" s="25"/>
    </row>
    <row r="16" spans="1:9" s="2" customFormat="1" ht="22.5" customHeight="1">
      <c r="A16" s="162" t="s">
        <v>11</v>
      </c>
      <c r="B16" s="163"/>
      <c r="C16" s="164"/>
      <c r="D16" s="12" t="s">
        <v>12</v>
      </c>
      <c r="E16" s="13"/>
      <c r="F16" s="5"/>
      <c r="G16" s="24"/>
      <c r="H16" s="66"/>
      <c r="I16" s="25"/>
    </row>
    <row r="17" spans="1:10" s="2" customFormat="1" ht="22.5" customHeight="1" thickBot="1">
      <c r="A17" s="165" t="s">
        <v>49</v>
      </c>
      <c r="B17" s="166"/>
      <c r="C17" s="167"/>
      <c r="D17" s="14" t="s">
        <v>47</v>
      </c>
      <c r="E17" s="7"/>
      <c r="F17" s="5"/>
      <c r="G17" s="24"/>
      <c r="H17" s="66"/>
      <c r="I17" s="25"/>
    </row>
    <row r="18" spans="1:10" s="2" customFormat="1" ht="22.5" customHeight="1" thickBot="1">
      <c r="A18" s="168" t="s">
        <v>13</v>
      </c>
      <c r="B18" s="169"/>
      <c r="C18" s="170"/>
      <c r="D18" s="12" t="s">
        <v>14</v>
      </c>
      <c r="E18" s="7"/>
      <c r="F18" s="5"/>
      <c r="G18" s="24"/>
      <c r="H18" s="66"/>
      <c r="I18" s="25"/>
    </row>
    <row r="19" spans="1:10" s="2" customFormat="1" ht="22.5" customHeight="1" thickBot="1">
      <c r="A19" s="172"/>
      <c r="B19" s="173"/>
      <c r="C19" s="174"/>
      <c r="D19" s="15"/>
      <c r="E19" s="16"/>
      <c r="F19" s="17"/>
      <c r="G19" s="18"/>
      <c r="H19" s="67"/>
      <c r="I19" s="26"/>
    </row>
    <row r="20" spans="1:10" s="6" customFormat="1" ht="22.5" customHeight="1">
      <c r="A20" s="171" t="s">
        <v>35</v>
      </c>
      <c r="B20" s="161"/>
      <c r="C20" s="161"/>
      <c r="D20" s="161"/>
      <c r="E20" s="161" t="s">
        <v>15</v>
      </c>
      <c r="F20" s="161"/>
      <c r="G20" s="158" t="s">
        <v>16</v>
      </c>
      <c r="H20" s="159" t="s">
        <v>17</v>
      </c>
      <c r="I20" s="160" t="s">
        <v>41</v>
      </c>
    </row>
    <row r="21" spans="1:10" s="5" customFormat="1" ht="22.5" customHeight="1">
      <c r="A21" s="207" t="s">
        <v>36</v>
      </c>
      <c r="B21" s="208"/>
      <c r="C21" s="209" t="s">
        <v>18</v>
      </c>
      <c r="D21" s="209" t="s">
        <v>19</v>
      </c>
      <c r="E21" s="210" t="s">
        <v>15</v>
      </c>
      <c r="F21" s="210" t="s">
        <v>20</v>
      </c>
      <c r="G21" s="211"/>
      <c r="H21" s="212"/>
      <c r="I21" s="213"/>
      <c r="J21" s="5" t="s">
        <v>42</v>
      </c>
    </row>
    <row r="22" spans="1:10" s="2" customFormat="1" ht="22.5" customHeight="1">
      <c r="A22" s="223"/>
      <c r="B22" s="223"/>
      <c r="C22" s="83">
        <v>625</v>
      </c>
      <c r="D22" s="84" t="s">
        <v>57</v>
      </c>
      <c r="E22" s="85" t="s">
        <v>50</v>
      </c>
      <c r="F22" s="83">
        <v>15000</v>
      </c>
      <c r="G22" s="83">
        <f>H22-C22*0.5</f>
        <v>3500</v>
      </c>
      <c r="H22" s="224">
        <v>3812.5</v>
      </c>
      <c r="I22" s="84" t="s">
        <v>58</v>
      </c>
      <c r="J22" s="225" t="s">
        <v>59</v>
      </c>
    </row>
    <row r="23" spans="1:10" s="2" customFormat="1" ht="22.5" customHeight="1">
      <c r="A23" s="223"/>
      <c r="B23" s="223"/>
      <c r="C23" s="83">
        <v>10</v>
      </c>
      <c r="D23" s="84" t="s">
        <v>60</v>
      </c>
      <c r="E23" s="85" t="s">
        <v>52</v>
      </c>
      <c r="F23" s="83">
        <v>1000</v>
      </c>
      <c r="G23" s="83">
        <f t="shared" ref="G23:G27" si="0">H23-C23*0.5</f>
        <v>145</v>
      </c>
      <c r="H23" s="224">
        <v>150</v>
      </c>
      <c r="I23" s="84" t="s">
        <v>61</v>
      </c>
      <c r="J23" s="225" t="s">
        <v>67</v>
      </c>
    </row>
    <row r="24" spans="1:10" s="2" customFormat="1" ht="22.5" customHeight="1">
      <c r="A24" s="223"/>
      <c r="B24" s="223"/>
      <c r="C24" s="83">
        <v>2</v>
      </c>
      <c r="D24" s="84" t="s">
        <v>60</v>
      </c>
      <c r="E24" s="85" t="s">
        <v>53</v>
      </c>
      <c r="F24" s="83">
        <v>200</v>
      </c>
      <c r="G24" s="83">
        <f t="shared" si="0"/>
        <v>29</v>
      </c>
      <c r="H24" s="224">
        <v>30</v>
      </c>
      <c r="I24" s="84" t="s">
        <v>62</v>
      </c>
      <c r="J24" s="225" t="s">
        <v>68</v>
      </c>
    </row>
    <row r="25" spans="1:10" s="2" customFormat="1" ht="22.5" customHeight="1">
      <c r="A25" s="223"/>
      <c r="B25" s="223"/>
      <c r="C25" s="83">
        <v>4</v>
      </c>
      <c r="D25" s="84" t="s">
        <v>60</v>
      </c>
      <c r="E25" s="85" t="s">
        <v>54</v>
      </c>
      <c r="F25" s="83">
        <v>400</v>
      </c>
      <c r="G25" s="83">
        <f t="shared" si="0"/>
        <v>58</v>
      </c>
      <c r="H25" s="224">
        <v>60</v>
      </c>
      <c r="I25" s="84" t="s">
        <v>63</v>
      </c>
      <c r="J25" s="225" t="s">
        <v>69</v>
      </c>
    </row>
    <row r="26" spans="1:10" s="2" customFormat="1" ht="22.5" customHeight="1">
      <c r="A26" s="223"/>
      <c r="B26" s="223"/>
      <c r="C26" s="83">
        <v>7</v>
      </c>
      <c r="D26" s="84" t="s">
        <v>64</v>
      </c>
      <c r="E26" s="85" t="s">
        <v>56</v>
      </c>
      <c r="F26" s="83">
        <v>700</v>
      </c>
      <c r="G26" s="83">
        <f t="shared" si="0"/>
        <v>101.5</v>
      </c>
      <c r="H26" s="224">
        <v>105</v>
      </c>
      <c r="I26" s="84" t="s">
        <v>65</v>
      </c>
      <c r="J26" s="225" t="s">
        <v>70</v>
      </c>
    </row>
    <row r="27" spans="1:10" s="2" customFormat="1" ht="22.5" customHeight="1">
      <c r="A27" s="223"/>
      <c r="B27" s="223"/>
      <c r="C27" s="83">
        <v>4</v>
      </c>
      <c r="D27" s="84" t="s">
        <v>64</v>
      </c>
      <c r="E27" s="85" t="s">
        <v>55</v>
      </c>
      <c r="F27" s="83">
        <v>400</v>
      </c>
      <c r="G27" s="83">
        <f t="shared" si="0"/>
        <v>58</v>
      </c>
      <c r="H27" s="224">
        <v>60</v>
      </c>
      <c r="I27" s="84" t="s">
        <v>66</v>
      </c>
      <c r="J27" s="225" t="s">
        <v>71</v>
      </c>
    </row>
    <row r="28" spans="1:10" s="2" customFormat="1" ht="22.5" customHeight="1">
      <c r="A28" s="223"/>
      <c r="B28" s="223"/>
      <c r="C28" s="83"/>
      <c r="D28" s="84"/>
      <c r="E28" s="85"/>
      <c r="F28" s="83"/>
      <c r="G28" s="83"/>
      <c r="H28" s="224"/>
      <c r="I28" s="84"/>
      <c r="J28" s="85"/>
    </row>
    <row r="29" spans="1:10" s="6" customFormat="1" ht="42.75" customHeight="1" thickBot="1">
      <c r="A29" s="214" t="s">
        <v>21</v>
      </c>
      <c r="B29" s="215"/>
      <c r="C29" s="216">
        <f>SUM(C22:C28)</f>
        <v>652</v>
      </c>
      <c r="D29" s="217"/>
      <c r="E29" s="218"/>
      <c r="F29" s="219">
        <f>SUM(F22:F28)</f>
        <v>17700</v>
      </c>
      <c r="G29" s="220"/>
      <c r="H29" s="221">
        <f>SUM(H22:H28)</f>
        <v>4217.5</v>
      </c>
      <c r="I29" s="222"/>
    </row>
    <row r="30" spans="1:10" ht="22.5" customHeight="1">
      <c r="D30" s="1" t="s">
        <v>34</v>
      </c>
      <c r="G30" s="19"/>
      <c r="H30" s="68"/>
      <c r="I30" s="1"/>
    </row>
    <row r="31" spans="1:10" ht="22.5" customHeight="1">
      <c r="C31" s="22"/>
    </row>
    <row r="33" spans="3:3" ht="22.5" customHeight="1">
      <c r="C33" s="22"/>
    </row>
    <row r="35" spans="3:3" ht="22.5" customHeight="1">
      <c r="C35" s="22"/>
    </row>
    <row r="36" spans="3:3" ht="22.5" customHeight="1">
      <c r="C36" s="22"/>
    </row>
  </sheetData>
  <autoFilter ref="A21:J28" xr:uid="{1220AC6E-D1C0-4F19-94CC-AD00BABA0346}">
    <filterColumn colId="0" showButton="0"/>
  </autoFilter>
  <mergeCells count="26">
    <mergeCell ref="A1:I1"/>
    <mergeCell ref="A2:I2"/>
    <mergeCell ref="A3:D3"/>
    <mergeCell ref="E3:I3"/>
    <mergeCell ref="A4:D4"/>
    <mergeCell ref="E4:I4"/>
    <mergeCell ref="A15:D15"/>
    <mergeCell ref="A5:D5"/>
    <mergeCell ref="E5:I5"/>
    <mergeCell ref="A6:D6"/>
    <mergeCell ref="E6:I6"/>
    <mergeCell ref="E7:I7"/>
    <mergeCell ref="A8:D8"/>
    <mergeCell ref="A14:D14"/>
    <mergeCell ref="A16:C16"/>
    <mergeCell ref="A17:C17"/>
    <mergeCell ref="A18:C18"/>
    <mergeCell ref="A20:D20"/>
    <mergeCell ref="A19:C19"/>
    <mergeCell ref="A29:B29"/>
    <mergeCell ref="G20:G21"/>
    <mergeCell ref="H20:H21"/>
    <mergeCell ref="I20:I21"/>
    <mergeCell ref="A21:B21"/>
    <mergeCell ref="E20:F20"/>
    <mergeCell ref="A22:B28"/>
  </mergeCells>
  <phoneticPr fontId="3" type="noConversion"/>
  <conditionalFormatting sqref="E22:E28">
    <cfRule type="duplicateValues" dxfId="0" priority="126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Invoice</vt:lpstr>
      <vt:lpstr>Packing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KJ-sales6</cp:lastModifiedBy>
  <dcterms:created xsi:type="dcterms:W3CDTF">2023-08-17T02:39:53Z</dcterms:created>
  <dcterms:modified xsi:type="dcterms:W3CDTF">2026-06-23T02:02:25Z</dcterms:modified>
</cp:coreProperties>
</file>